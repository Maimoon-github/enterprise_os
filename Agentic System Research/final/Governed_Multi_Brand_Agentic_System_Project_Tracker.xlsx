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b4a1e67d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racker" sheetId="1" r:id="R7c0743fc9117499e"/>
    <x:sheet xmlns:r="http://schemas.openxmlformats.org/officeDocument/2006/relationships" name="Gantt" sheetId="2" r:id="Rdad462ad11e64783"/>
    <x:sheet xmlns:r="http://schemas.openxmlformats.org/officeDocument/2006/relationships" name="Dashboard" sheetId="3" r:id="Rb55421ecb69743e7"/>
    <x:sheet xmlns:r="http://schemas.openxmlformats.org/officeDocument/2006/relationships" name="Resources" sheetId="4" r:id="R1776f274864a463f"/>
    <x:sheet xmlns:r="http://schemas.openxmlformats.org/officeDocument/2006/relationships" name="Assumptions &amp; Gaps" sheetId="5" r:id="Rf5de2a5354a843f2"/>
    <x:sheet xmlns:r="http://schemas.openxmlformats.org/officeDocument/2006/relationships" name="Instructions" sheetId="6" r:id="R9ae8af38ca4d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%"/>
    <x:numFmt numFmtId="203" formatCode="d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B5563"/>
      <x:name val="Carlito"/>
    </x:font>
    <x:font>
      <x:i/>
      <x:sz val="11"/>
      <x:color rgb="FF4B556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9"/>
      <x:color rgb="FFFFFFFF"/>
      <x:name val="Carlito"/>
    </x:font>
    <x:font>
      <x:b/>
      <x:sz val="9"/>
      <x:color rgb="FF4B5563"/>
      <x:name val="Carlito"/>
    </x:font>
    <x:font>
      <x:b/>
      <x:sz val="20"/>
      <x:color rgb="FF16324F"/>
      <x:name val="Carlito"/>
    </x:font>
    <x:font>
      <x:sz val="9"/>
      <x:name val="Carlito"/>
    </x:font>
    <x:font>
      <x:sz val="1"/>
      <x:color rgb="FFFFFFFF"/>
      <x:name val="Carlito"/>
    </x:font>
    <x:font>
      <x:b/>
      <x:sz val="11"/>
      <x:color rgb="FF6D28D9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4F6"/>
      </x:patternFill>
    </x:fill>
    <x:fill>
      <x:patternFill patternType="solid">
        <x:fgColor rgb="FFEAF2F8"/>
      </x:patternFill>
    </x:fill>
    <x:fill>
      <x:patternFill patternType="solid">
        <x:fgColor rgb="FFFFFBEA"/>
      </x:patternFill>
    </x:fill>
    <x:fill>
      <x:patternFill patternType="solid">
        <x:fgColor rgb="FFEEF3F8"/>
      </x:patternFill>
    </x:fill>
    <x:fill>
      <x:patternFill patternType="solid">
        <x:fgColor rgb="FF2F6690"/>
      </x:patternFill>
    </x:fill>
    <x:fill>
      <x:patternFill patternType="solid">
        <x:fgColor rgb="FFDCE6F1"/>
      </x:patternFill>
    </x:fill>
    <x:fill>
      <x:patternFill patternType="solid">
        <x:fgColor rgb="FFE5E7EB"/>
      </x:patternFill>
    </x:fill>
    <x:fill>
      <x:patternFill patternType="solid">
        <x:fgColor rgb="FFF7FAFC"/>
      </x:patternFill>
    </x:fill>
    <x:fill>
      <x:patternFill patternType="solid">
        <x:fgColor rgb="FF27313D"/>
      </x:patternFill>
    </x:fill>
    <x:fill>
      <x:patternFill patternType="solid">
        <x:fgColor rgb="FFFFFFFF"/>
      </x:patternFill>
    </x:fill>
    <x:fill>
      <x:patternFill patternType="solid">
        <x:fgColor rgb="FFF3E8FF"/>
      </x:patternFill>
    </x:fill>
  </x:fills>
  <x:borders count="2">
    <x:border/>
    <x:border/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/>
    </x:xf>
    <x:xf numFmtId="201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8" borderId="0" xfId="0" applyNumberFormat="1" applyFont="1" applyFill="1" applyBorder="1"/>
    <x:xf numFmtId="203" fontId="6" fillId="8" borderId="0" xfId="0" applyNumberFormat="1" applyFont="1" applyFill="1" applyBorder="1"/>
    <x:xf numFmtId="203" fontId="6" fillId="8" borderId="0" xfId="0" applyNumberFormat="1" applyFont="1" applyFill="1" applyBorder="1" applyAlignment="1">
      <x:alignment horizontal="center"/>
    </x:xf>
    <x:xf numFmtId="203" fontId="0" fillId="8" borderId="1" xfId="0" applyNumberFormat="1" applyFont="1" applyFill="1" applyBorder="1"/>
    <x:xf numFmtId="203" fontId="6" fillId="8" borderId="1" xfId="0" applyNumberFormat="1" applyFont="1" applyFill="1" applyBorder="1"/>
    <x:xf numFmtId="203" fontId="6" fillId="8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3" fontId="6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/>
    </x:xf>
    <x:xf numFmtId="203" fontId="6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/>
    </x:xf>
    <x:xf numFmtId="203" fontId="2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/>
    </x:xf>
    <x:xf numFmtId="203" fontId="2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 applyAlignment="1">
      <x:alignment horizontal="center" vertical="center"/>
    </x:xf>
    <x:xf numFmtId="201" fontId="9" fillId="10" borderId="0" xfId="0" applyNumberFormat="1" applyFont="1" applyFill="1" applyBorder="1" applyAlignment="1">
      <x:alignment horizontal="center" vertical="center"/>
    </x:xf>
    <x:xf numFmtId="201" fontId="9" fillId="10" borderId="1" xfId="0" applyNumberFormat="1" applyFont="1" applyFill="1" applyBorder="1" applyAlignment="1">
      <x:alignment horizontal="center" vertical="center"/>
    </x:xf>
    <x:xf numFmtId="202" fontId="9" fillId="10" borderId="0" xfId="0" applyNumberFormat="1" applyFont="1" applyFill="1" applyBorder="1" applyAlignment="1">
      <x:alignment horizontal="center" vertical="center"/>
    </x:xf>
    <x:xf numFmtId="202" fontId="9" fillId="10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2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202" fontId="10" fillId="0" borderId="1" xfId="0" applyNumberFormat="1" applyFont="1" applyFill="1" applyBorder="1"/>
    <x:xf numFmtId="202" fontId="10" fillId="0" borderId="1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wrapText="1"/>
    </x:xf>
    <x:xf numFmtId="0" fontId="10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11" fillId="0" borderId="0" xfId="0" applyNumberFormat="1" applyFont="1" applyFill="1" applyBorder="1"/>
    <x:xf numFmtId="200" fontId="11" fillId="0" borderId="1" xfId="0" applyNumberFormat="1" applyFont="1" applyFill="1" applyBorder="1"/>
    <x:xf numFmtId="200" fontId="11" fillId="12" borderId="0" xfId="0" applyNumberFormat="1" applyFont="1" applyFill="1" applyBorder="1"/>
    <x:xf numFmtId="200" fontId="11" fillId="12" borderId="1" xfId="0" applyNumberFormat="1" applyFont="1" applyFill="1" applyBorder="1"/>
    <x:xf numFmtId="0" fontId="0" fillId="13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 applyAlignment="1">
      <x:alignment vertical="top" wrapText="1"/>
    </x:xf>
    <x:xf numFmtId="200" fontId="0" fillId="13" borderId="0" xfId="0" applyNumberFormat="1" applyFont="1" applyFill="1" applyBorder="1" applyAlignment="1">
      <x:alignment vertical="top"/>
    </x:xf>
    <x:xf numFmtId="201" fontId="0" fillId="13" borderId="0" xfId="0" applyNumberFormat="1" applyFont="1" applyFill="1" applyBorder="1" applyAlignment="1">
      <x:alignment vertical="top"/>
    </x:xf>
    <x:xf numFmtId="202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/>
    </x:xf>
    <x:xf numFmtId="0" fontId="0" fillId="13" borderId="1" xfId="0" applyNumberFormat="1" applyFont="1" applyFill="1" applyBorder="1" applyAlignment="1">
      <x:alignment vertical="top" wrapText="1"/>
    </x:xf>
    <x:xf numFmtId="200" fontId="0" fillId="13" borderId="1" xfId="0" applyNumberFormat="1" applyFont="1" applyFill="1" applyBorder="1" applyAlignment="1">
      <x:alignment vertical="top"/>
    </x:xf>
    <x:xf numFmtId="201" fontId="0" fillId="13" borderId="1" xfId="0" applyNumberFormat="1" applyFont="1" applyFill="1" applyBorder="1" applyAlignment="1">
      <x:alignment vertical="top"/>
    </x:xf>
    <x:xf numFmtId="202" fontId="0" fillId="13" borderId="1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 applyAlignment="1">
      <x:alignment vertical="top"/>
    </x:xf>
    <x:xf numFmtId="0" fontId="12" fillId="13" borderId="0" xfId="0" applyNumberFormat="1" applyFont="1" applyFill="1" applyBorder="1" applyAlignment="1">
      <x:alignment vertical="top" wrapText="1"/>
    </x:xf>
    <x:xf numFmtId="200" fontId="12" fillId="13" borderId="0" xfId="0" applyNumberFormat="1" applyFont="1" applyFill="1" applyBorder="1" applyAlignment="1">
      <x:alignment vertical="top"/>
    </x:xf>
    <x:xf numFmtId="201" fontId="12" fillId="13" borderId="0" xfId="0" applyNumberFormat="1" applyFont="1" applyFill="1" applyBorder="1" applyAlignment="1">
      <x:alignment vertical="top"/>
    </x:xf>
    <x:xf numFmtId="202" fontId="12" fillId="13" borderId="0" xfId="0" applyNumberFormat="1" applyFont="1" applyFill="1" applyBorder="1" applyAlignment="1">
      <x:alignment vertical="top" wrapText="1"/>
    </x:xf>
    <x:xf numFmtId="0" fontId="12" fillId="13" borderId="1" xfId="0" applyNumberFormat="1" applyFont="1" applyFill="1" applyBorder="1" applyAlignment="1">
      <x:alignment vertical="top"/>
    </x:xf>
    <x:xf numFmtId="0" fontId="12" fillId="13" borderId="1" xfId="0" applyNumberFormat="1" applyFont="1" applyFill="1" applyBorder="1" applyAlignment="1">
      <x:alignment vertical="top" wrapText="1"/>
    </x:xf>
    <x:xf numFmtId="200" fontId="12" fillId="13" borderId="1" xfId="0" applyNumberFormat="1" applyFont="1" applyFill="1" applyBorder="1" applyAlignment="1">
      <x:alignment vertical="top"/>
    </x:xf>
    <x:xf numFmtId="201" fontId="12" fillId="13" borderId="1" xfId="0" applyNumberFormat="1" applyFont="1" applyFill="1" applyBorder="1" applyAlignment="1">
      <x:alignment vertical="top"/>
    </x:xf>
    <x:xf numFmtId="202" fontId="12" fillId="1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8"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563EB"/>
      </x:font>
      <x:fill>
        <x:patternFill patternType="solid">
          <x:bgColor rgb="FFE8F0FE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6B46C1"/>
      </x:font>
    </x:dxf>
    <x:dxf>
      <x:fill>
        <x:patternFill patternType="solid">
          <x:bgColor rgb="FFF7F7F7"/>
        </x:patternFill>
      </x:fill>
    </x:dxf>
    <x:dxf>
      <x:fill>
        <x:patternFill patternType="solid">
          <x:bgColor rgb="FFD9DEE5"/>
        </x:patternFill>
      </x:fill>
    </x:dxf>
    <x:dxf>
      <x:fill>
        <x:patternFill patternType="solid">
          <x:bgColor rgb="FFBFD3F5"/>
        </x:patternFill>
      </x:fill>
    </x:dxf>
    <x:dxf>
      <x:fill>
        <x:patternFill patternType="solid">
          <x:bgColor rgb="FFCDE8D2"/>
        </x:patternFill>
      </x:fill>
    </x:dxf>
    <x:dxf>
      <x:fill>
        <x:patternFill patternType="solid">
          <x:bgColor rgb="FFF3B8B4"/>
        </x:patternFill>
      </x:fill>
    </x:dxf>
    <x:dxf>
      <x:fill>
        <x:patternFill patternType="solid">
          <x:bgColor rgb="FFF7D7A3"/>
        </x:patternFill>
      </x:fill>
    </x:dxf>
    <x:dxf>
      <x:fill>
        <x:patternFill patternType="solid">
          <x:bgColor rgb="FF4F9D69"/>
        </x:patternFill>
      </x:fill>
    </x:dxf>
    <x:dxf>
      <x:font>
        <x:b/>
        <x:sz val="13"/>
        <x:color rgb="FF6B46C1"/>
      </x:font>
      <x:fill>
        <x:patternFill patternType="solid">
          <x:bgColor rgb="FFF1ECFB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ill>
        <x:patternFill patternType="solid">
          <x:bgColor rgb="FFEEF4FB"/>
        </x:patternFill>
      </x:fill>
    </x:dxf>
    <x:dxf>
      <x:fill>
        <x:patternFill patternType="solid">
          <x:bgColor rgb="FFF0F7F5"/>
        </x:patternFill>
      </x:fill>
    </x:dxf>
    <x:dxf>
      <x:fill>
        <x:patternFill patternType="solid">
          <x:bgColor rgb="FFF5F1FB"/>
        </x:patternFill>
      </x:fill>
    </x:dxf>
    <x:dxf>
      <x:fill>
        <x:patternFill patternType="solid">
          <x:bgColor rgb="FFF8F4EA"/>
        </x:patternFill>
      </x:fill>
    </x:dxf>
    <x:dxf>
      <x:fill>
        <x:patternFill patternType="solid">
          <x:bgColor rgb="FFEDF7F1"/>
        </x:patternFill>
      </x:fill>
    </x:dxf>
    <x:dxf>
      <x:fill>
        <x:patternFill patternType="solid">
          <x:bgColor rgb="FFFCEFEF"/>
        </x:patternFill>
      </x:fill>
    </x:dxf>
    <x:dxf>
      <x:fill>
        <x:patternFill patternType="solid">
          <x:bgColor rgb="FFF2F3F5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2F6690"/>
      </x:font>
      <x:fill>
        <x:patternFill patternType="solid">
          <x:bgColor rgb="FFEAF2F8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6B46C1"/>
      </x:font>
      <x:fill>
        <x:patternFill patternType="solid">
          <x:bgColor rgb="FFF1ECF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97d1fed6f4ddb" /><Relationship Type="http://schemas.openxmlformats.org/officeDocument/2006/relationships/theme" Target="/xl/theme/theme1.xml" Id="R3d1a4e6647db453b" /><Relationship Type="http://schemas.openxmlformats.org/officeDocument/2006/relationships/sharedStrings" Target="/xl/sharedStrings.xml" Id="R453b1d618bfb4d48" /><Relationship Type="http://schemas.openxmlformats.org/officeDocument/2006/relationships/worksheet" Target="/xl/worksheets/sheet1.xml" Id="R7c0743fc9117499e" /><Relationship Type="http://schemas.openxmlformats.org/officeDocument/2006/relationships/worksheet" Target="/xl/worksheets/sheet2.xml" Id="Rdad462ad11e64783" /><Relationship Type="http://schemas.openxmlformats.org/officeDocument/2006/relationships/worksheet" Target="/xl/worksheets/sheet3.xml" Id="Rb55421ecb69743e7" /><Relationship Type="http://schemas.openxmlformats.org/officeDocument/2006/relationships/worksheet" Target="/xl/worksheets/sheet4.xml" Id="R1776f274864a463f" /><Relationship Type="http://schemas.openxmlformats.org/officeDocument/2006/relationships/worksheet" Target="/xl/worksheets/sheet5.xml" Id="Rf5de2a5354a843f2" /><Relationship Type="http://schemas.openxmlformats.org/officeDocument/2006/relationships/worksheet" Target="/xl/worksheets/sheet6.xml" Id="R9ae8af38ca4d4a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50e531d5fb4e64" /><Relationship Type="http://schemas.openxmlformats.org/officeDocument/2006/relationships/chart" Target="/xl/drawings/charts/chart2.xml" Id="Rb0df2c3fe9084789" /><Relationship Type="http://schemas.openxmlformats.org/officeDocument/2006/relationships/chart" Target="/xl/drawings/charts/chart3.xml" Id="R07815a65ecb94c3b" /><Relationship Type="http://schemas.openxmlformats.org/officeDocument/2006/relationships/chart" Target="/xl/drawings/charts/chart4.xml" Id="R1c93010e38fc46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Task Count</c:v>
          </c:tx>
          <c:cat>
            <c:strRef>
              <c:f>'Dashboard'!$N$3:$N$7</c:f>
              <c:strCache>
                <c:ptCount val="0"/>
              </c:strCache>
            </c:strRef>
          </c:cat>
          <c:val>
            <c:numRef>
              <c:f>'Dashboard'!$O$3:$O$7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 by Phase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Average Progress</c:v>
          </c:tx>
          <c:cat>
            <c:strRef>
              <c:f>'Dashboard'!$Q$3:$Q$9</c:f>
              <c:strCache>
                <c:ptCount val="0"/>
              </c:strCache>
            </c:strRef>
          </c:cat>
          <c:val>
            <c:numRef>
              <c:f>'Dashboard'!$R$3:$R$9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Resource / Owner (Key Loads)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Assigned Tasks</c:v>
          </c:tx>
          <c:cat>
            <c:strRef>
              <c:f>'Dashboard'!$T$3:$T$12</c:f>
              <c:strCache>
                <c:ptCount val="0"/>
              </c:strCache>
            </c:strRef>
          </c:cat>
          <c:val>
            <c:numRef>
              <c:f>'Dashboard'!$U$3:$U$12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Milestones — Completed vs Remaining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'Dashboard'!$W$3:$W$4</c:f>
              <c:strCache>
                <c:ptCount val="0"/>
              </c:strCache>
            </c:strRef>
          </c:cat>
          <c:val>
            <c:numRef>
              <c:f>'Dashboard'!$X$3:$X$4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50e531d5fb4e64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f2c3fe9084789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815a65ecb94c3b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93010e38fc46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6:Q47" headerRowCount="1" totalsRowCount="0" totalsRowShown="0">
  <x:tableColumns count="17">
    <x:tableColumn id="1" name="Task ID"/>
    <x:tableColumn id="2" name="Phase"/>
    <x:tableColumn id="3" name="Task Name"/>
    <x:tableColumn id="4" name="Description"/>
    <x:tableColumn id="5" name="Deliverable / Output"/>
    <x:tableColumn id="6" name="Start Date"/>
    <x:tableColumn id="7" name="End Date"/>
    <x:tableColumn id="8" name="Duration"/>
    <x:tableColumn id="9" name="Predecessor"/>
    <x:tableColumn id="10" name="Dependency Type"/>
    <x:tableColumn id="11" name="Milestone"/>
    <x:tableColumn id="12" name="Resource / Owner"/>
    <x:tableColumn id="13" name="Priority"/>
    <x:tableColumn id="14" name="Status"/>
    <x:tableColumn id="15" name="Progress %"/>
    <x:tableColumn id="16" name="Schedule Health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sTable" displayName="ResourcesTable" ref="A5:I36" headerRowCount="1" totalsRowCount="0" totalsRowShown="0">
  <x:tableColumns count="9">
    <x:tableColumn id="1" name="Resource"/>
    <x:tableColumn id="2" name="Total Assigned Tasks"/>
    <x:tableColumn id="3" name="Completed"/>
    <x:tableColumn id="4" name="In Progress"/>
    <x:tableColumn id="5" name="Remaining"/>
    <x:tableColumn id="6" name="Average Progress"/>
    <x:tableColumn id="7" name="Notes"/>
    <x:tableColumn id="8" name="Overlap Indicator"/>
    <x:tableColumn id="9" name="Source Assigned Tas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sTable" displayName="GapsTable" ref="A3:E11" headerRowCount="1" totalsRowCount="0" totalsRowShown="0">
  <x:tableColumns count="5">
    <x:tableColumn id="1" name="Label"/>
    <x:tableColumn id="2" name="Source Field / Item"/>
    <x:tableColumn id="3" name="Issue"/>
    <x:tableColumn id="4" name="Resolution Used in Workbook"/>
    <x:tableColumn id="5" name="User Action Nee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tructionsTable" displayName="InstructionsTable" ref="A3:D13" headerRowCount="1" totalsRowCount="0" totalsRowShown="0">
  <x:tableColumns count="4">
    <x:tableColumn id="1" name="#"/>
    <x:tableColumn id="2" name="Action"/>
    <x:tableColumn id="3" name="How to Use"/>
    <x:tableColumn id="4" name="Importa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37ab6aafa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77ed5c252fb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0fa6fd088e549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ced957f5546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3f0a66761514f2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40" hidden="0" customWidth="1"/>
    <x:col min="5" max="5" width="40" hidden="0" customWidth="1"/>
    <x:col min="6" max="6" width="12" hidden="0" customWidth="1"/>
    <x:col min="7" max="7" width="12" hidden="0" customWidth="1"/>
    <x:col min="8" max="8" width="10" hidden="0" customWidth="1"/>
    <x:col min="9" max="9" width="18" hidden="0" customWidth="1"/>
    <x:col min="10" max="10" width="12" hidden="0" customWidth="1"/>
    <x:col min="11" max="11" width="10" hidden="0" customWidth="1"/>
    <x:col min="12" max="12" width="42" hidden="0" customWidth="1"/>
    <x:col min="13" max="13" width="10" hidden="0" customWidth="1"/>
    <x:col min="14" max="14" width="14" hidden="0" customWidth="1"/>
    <x:col min="15" max="15" width="11" hidden="0" customWidth="1"/>
    <x:col min="16" max="16" width="20" hidden="0" customWidth="1"/>
    <x:col min="17" max="17" width="48" hidden="0" customWidth="1"/>
    <x:col min="20" max="20" width="1.2000000476837158" hidden="0" customWidth="1"/>
    <x:col min="21" max="21" width="1.2000000476837158" hidden="0" customWidth="1"/>
    <x:col min="22" max="22" width="1.2000000476837158" hidden="0" customWidth="1"/>
    <x:col min="23" max="23" width="1.2000000476837158" hidden="0" customWidth="1"/>
    <x:col min="24" max="24" width="1.2000000476837158" hidden="0" customWidth="1"/>
    <x:col min="25" max="25" width="1.2000000476837158" hidden="0" customWidth="1"/>
    <x:col min="26" max="26" width="1.2000000476837158" hidden="0" customWidth="1"/>
    <x:col min="27" max="27" width="1.2000000476837158" hidden="0" customWidth="1"/>
    <x:col min="28" max="28" width="1.2000000476837158" hidden="0" customWidth="1"/>
    <x:col min="29" max="29" width="1.2000000476837158" hidden="0" customWidth="1"/>
    <x:col min="30" max="30" width="1.2000000476837158" hidden="0" customWidth="1"/>
    <x:col min="31" max="31" width="1.2000000476837158" hidden="0" customWidth="1"/>
    <x:col min="32" max="32" width="1.2000000476837158" hidden="0" customWidth="1"/>
    <x:col min="33" max="33" width="1.2000000476837158" hidden="0" customWidth="1"/>
    <x:col min="34" max="34" width="1.2000000476837158" hidden="0" customWidth="1"/>
    <x:col min="35" max="35" width="1.2000000476837158" hidden="0" customWidth="1"/>
    <x:col min="36" max="36" width="1.2000000476837158" hidden="0" customWidth="1"/>
    <x:col min="37" max="37" width="1.2000000476837158" hidden="0" customWidth="1"/>
    <x:col min="38" max="38" width="1.2000000476837158" hidden="0" customWidth="1"/>
    <x:col min="39" max="39" width="1.2000000476837158" hidden="0" customWidth="1"/>
    <x:col min="40" max="40" width="1.2000000476837158" hidden="0" customWidth="1"/>
  </x:cols>
  <x:sheetData>
    <x:row r="1" ht="30" customHeight="1">
      <x:c r="A1" s="4" t="str">
        <x:v>Governed Multi-Brand Agentic System — Project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13" t="str">
        <x:v>Project Start</x:v>
      </x:c>
      <x:c r="B2" s="16" t="n">
        <x:v>46276</x:v>
      </x:c>
      <x:c r="C2" s="13" t="str">
        <x:v>Project End</x:v>
      </x:c>
      <x:c r="D2" s="16" t="n">
        <x:v>46309</x:v>
      </x:c>
      <x:c r="E2" s="13" t="str">
        <x:v>Calendar Days</x:v>
      </x:c>
      <x:c r="F2" s="18" t="n">
        <x:f>D2-B2+1</x:f>
        <x:v>34</x:v>
      </x:c>
      <x:c r="G2" s="13" t="str">
        <x:v>Governance Model</x:v>
      </x:c>
      <x:c r="H2" s="10" t="str">
        <x:v>Model A</x:v>
      </x:c>
      <x:c r="I2" s="13" t="str">
        <x:v>Execution Boundary</x:v>
      </x:c>
      <x:c r="J2" s="10" t="str">
        <x:v>agent_sandbox (AIO Sandbox)</x:v>
      </x:c>
      <x:c r="K2" s="10"/>
      <x:c r="R2"/>
      <x:c r="S2" t="str">
        <x:v>T02</x:v>
      </x:c>
    </x:row>
    <x:row r="3">
      <x:c r="R3"/>
    </x:row>
    <x:row r="4" ht="28" customHeight="1">
      <x:c r="A4" s="22" t="str">
        <x:v>Editable inputs are highlighted pale yellow. Formula-driven columns are shaded blue-gray. Progress begins at 0%; Status auto-reconciles until you manually override a row (e.g., On Hold or Delayed).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/>
    </x:row>
    <x:row r="5">
      <x:c r="R5"/>
    </x:row>
    <x:row r="6" ht="32" customHeight="1">
      <x:c r="A6" s="29" t="str">
        <x:v>Task ID</x:v>
      </x:c>
      <x:c r="B6" s="29" t="str">
        <x:v>Phase</x:v>
      </x:c>
      <x:c r="C6" s="29" t="str">
        <x:v>Task Name</x:v>
      </x:c>
      <x:c r="D6" s="29" t="str">
        <x:v>Description</x:v>
      </x:c>
      <x:c r="E6" s="29" t="str">
        <x:v>Deliverable / Output</x:v>
      </x:c>
      <x:c r="F6" s="29" t="str">
        <x:v>Start Date</x:v>
      </x:c>
      <x:c r="G6" s="29" t="str">
        <x:v>End Date</x:v>
      </x:c>
      <x:c r="H6" s="29" t="str">
        <x:v>Duration</x:v>
      </x:c>
      <x:c r="I6" s="29" t="str">
        <x:v>Predecessor</x:v>
      </x:c>
      <x:c r="J6" s="29" t="str">
        <x:v>Dependency Type</x:v>
      </x:c>
      <x:c r="K6" s="29" t="str">
        <x:v>Milestone</x:v>
      </x:c>
      <x:c r="L6" s="29" t="str">
        <x:v>Resource / Owner</x:v>
      </x:c>
      <x:c r="M6" s="29" t="str">
        <x:v>Priority</x:v>
      </x:c>
      <x:c r="N6" s="29" t="str">
        <x:v>Status</x:v>
      </x:c>
      <x:c r="O6" s="29" t="str">
        <x:v>Progress %</x:v>
      </x:c>
      <x:c r="P6" s="29" t="str">
        <x:v>Schedule Health</x:v>
      </x:c>
      <x:c r="Q6" s="29" t="str">
        <x:v>Notes</x:v>
      </x:c>
      <x:c r="R6"/>
      <x:c r="T6" s="137" t="str">
        <x:v>Pred1</x:v>
      </x:c>
      <x:c r="U6" s="137" t="str">
        <x:v>Pred2</x:v>
      </x:c>
      <x:c r="V6" s="137" t="str">
        <x:v>Pred3</x:v>
      </x:c>
      <x:c r="W6" s="137" t="str">
        <x:v>Pred4</x:v>
      </x:c>
      <x:c r="X6" s="137" t="str">
        <x:v>Pred5</x:v>
      </x:c>
      <x:c r="Y6" s="137" t="str">
        <x:v>Pred6</x:v>
      </x:c>
      <x:c r="Z6" s="137" t="str">
        <x:v>Pred7</x:v>
      </x:c>
      <x:c r="AA6" s="137" t="str">
        <x:v>Pred Count</x:v>
      </x:c>
      <x:c r="AB6" s="137" t="str">
        <x:v>Valid Count</x:v>
      </x:c>
      <x:c r="AC6" s="137" t="str">
        <x:v>Self Cycle</x:v>
      </x:c>
      <x:c r="AD6" s="137" t="str">
        <x:v>Max Pred Start</x:v>
      </x:c>
      <x:c r="AE6" s="137" t="str">
        <x:v>Max Pred End</x:v>
      </x:c>
      <x:c r="AF6" s="137" t="str">
        <x:v>Conflict</x:v>
      </x:c>
      <x:c r="AG6" s="137" t="str">
        <x:v>Upcoming Task Key</x:v>
      </x:c>
      <x:c r="AH6" s="137" t="str">
        <x:v>Milestone Key</x:v>
      </x:c>
      <x:c r="AI6" s="137" t="str">
        <x:v>Approaching Key</x:v>
      </x:c>
      <x:c r="AJ6" s="137" t="str">
        <x:v>Attention Key</x:v>
      </x:c>
      <x:c r="AK6" s="137"/>
      <x:c r="AL6" s="137"/>
      <x:c r="AM6" s="137"/>
      <x:c r="AN6" s="137"/>
    </x:row>
    <x:row r="7" ht="38" customHeight="1">
      <x:c r="A7" s="52" t="str">
        <x:v>T01</x:v>
      </x:c>
      <x:c r="B7" s="54" t="str">
        <x:v>M1 · Governance, Policy &amp; Canonical State Initialization</x:v>
      </x:c>
      <x:c r="C7" s="54" t="str">
        <x:v>Define enterprise objectives, tenant scopes, and budget boundaries</x:v>
      </x:c>
      <x:c r="D7" s="54" t="str">
        <x:v>High strategic responsibility; inputs business goals at kickoff and accepts final delivery at project close.</x:v>
      </x:c>
      <x:c r="E7" s="54" t="str">
        <x:v>[INFERRED] Approved enterprise objectives, tenant scopes, and budget boundaries</x:v>
      </x:c>
      <x:c r="F7" s="56" t="n">
        <x:v>46276</x:v>
      </x:c>
      <x:c r="G7" s="56" t="n">
        <x:v>46277</x:v>
      </x:c>
      <x:c r="H7" s="60" t="n">
        <x:f>IF(OR(F7="",G7=""),"",G7-F7+1)</x:f>
        <x:v>2</x:v>
      </x:c>
      <x:c r="I7" s="54" t="str"/>
      <x:c r="J7" s="54" t="str"/>
      <x:c r="K7" s="54" t="str">
        <x:v>No</x:v>
      </x:c>
      <x:c r="L7" s="54" t="str">
        <x:v>Brand Stakeholder / Portfolio Owner</x:v>
      </x:c>
      <x:c r="M7" s="54" t="str"/>
      <x:c r="N7" s="54" t="str">
        <x:f>IF(O7=0,"Not Started",IF(O7=1,"Completed","In Progress"))</x:f>
        <x:v>Not Started</x:v>
      </x:c>
      <x:c r="O7" s="58" t="n">
        <x:v>0</x:v>
      </x:c>
      <x:c r="P7" s="62" t="str">
        <x:f>IF(A7="","",IF(COUNTIF(TasksTable[Task ID],A7)&gt;1,"Duplicate Task ID",IF(OR(F7="",G7=""),"Missing dates",IF(G7&lt;F7,"Invalid dates",IF(OR(F7&lt;$B$2,G7&gt;$D$2),"Outside window",IF(AA7=0,IF(N7="Delayed","Delayed",IF(N7="On Hold","On Hold","On Track")),IF(J7="","Missing dependency type",IF(AC7,"Dependency cycle",IF(AB7&lt;&gt;AA7,"Invalid predecessor",IF(AF7,"Dependency conflict",IF(N7="Delayed","Delayed",IF(N7="On Hold","On Hold","On Track"))))))))))))</x:f>
        <x:v>On Track</x:v>
      </x:c>
      <x:c r="Q7" s="54" t="str"/>
      <x:c r="R7"/>
      <x:c r="T7" s="137" t="str">
        <x:f>IF($A7="","",TRIM(MID(SUBSTITUTE(SUBSTITUTE(TRIM($I7)," ",""),",",REPT(" ",100)),1,100)))</x:f>
      </x:c>
      <x:c r="U7" s="137" t="str">
        <x:f>IF($A7="","",TRIM(MID(SUBSTITUTE(SUBSTITUTE(TRIM($I7)," ",""),",",REPT(" ",100)),101,100)))</x:f>
      </x:c>
      <x:c r="V7" s="137" t="str">
        <x:f>IF($A7="","",TRIM(MID(SUBSTITUTE(SUBSTITUTE(TRIM($I7)," ",""),",",REPT(" ",100)),201,100)))</x:f>
      </x:c>
      <x:c r="W7" s="137" t="str">
        <x:f>IF($A7="","",TRIM(MID(SUBSTITUTE(SUBSTITUTE(TRIM($I7)," ",""),",",REPT(" ",100)),301,100)))</x:f>
      </x:c>
      <x:c r="X7" s="137" t="str">
        <x:f>IF($A7="","",TRIM(MID(SUBSTITUTE(SUBSTITUTE(TRIM($I7)," ",""),",",REPT(" ",100)),401,100)))</x:f>
      </x:c>
      <x:c r="Y7" s="137" t="str">
        <x:f>IF($A7="","",TRIM(MID(SUBSTITUTE(SUBSTITUTE(TRIM($I7)," ",""),",",REPT(" ",100)),501,100)))</x:f>
      </x:c>
      <x:c r="Z7" s="137" t="str">
        <x:f>IF($A7="","",TRIM(MID(SUBSTITUTE(SUBSTITUTE(TRIM($I7)," ",""),",",REPT(" ",100)),601,100)))</x:f>
      </x:c>
      <x:c r="AA7" s="137" t="n">
        <x:f>IF($A7="","",IF(SUBSTITUTE(TRIM($I7)," ","")="",0,1+LEN(SUBSTITUTE(TRIM($I7)," ",""))-LEN(SUBSTITUTE(SUBSTITUTE(TRIM($I7)," ",""),",",""))))</x:f>
        <x:v>0</x:v>
      </x:c>
      <x:c r="AB7" s="137" t="n">
        <x:f>IF($A7="","",COUNTIF(TasksTable[Task ID],T7)+COUNTIF(TasksTable[Task ID],U7)+COUNTIF(TasksTable[Task ID],V7)+COUNTIF(TasksTable[Task ID],W7)+COUNTIF(TasksTable[Task ID],X7)+COUNTIF(TasksTable[Task ID],Y7)+COUNTIF(TasksTable[Task ID],Z7))</x:f>
        <x:v>0</x:v>
      </x:c>
      <x:c r="AC7" s="137" t="b">
        <x:f>IF($A7="",FALSE,OR(T7=$A7,U7=$A7,V7=$A7,W7=$A7,X7=$A7,Y7=$A7,Z7=$A7))</x:f>
        <x:v>0</x:v>
      </x:c>
      <x:c r="AD7" s="144" t="n">
        <x:f>IF(AA7=0,0,MAX(IFERROR(INDEX(TasksTable[Start Date],MATCH(T7,TasksTable[Task ID],0)),0),IFERROR(INDEX(TasksTable[Start Date],MATCH(U7,TasksTable[Task ID],0)),0),IFERROR(INDEX(TasksTable[Start Date],MATCH(V7,TasksTable[Task ID],0)),0),IFERROR(INDEX(TasksTable[Start Date],MATCH(W7,TasksTable[Task ID],0)),0),IFERROR(INDEX(TasksTable[Start Date],MATCH(X7,TasksTable[Task ID],0)),0),IFERROR(INDEX(TasksTable[Start Date],MATCH(Y7,TasksTable[Task ID],0)),0),IFERROR(INDEX(TasksTable[Start Date],MATCH(Z7,TasksTable[Task ID],0)),0)))</x:f>
        <x:v>0</x:v>
      </x:c>
      <x:c r="AE7" s="144" t="n">
        <x:f>IF(AA7=0,0,MAX(IFERROR(INDEX(TasksTable[End Date],MATCH(T7,TasksTable[Task ID],0)),0),IFERROR(INDEX(TasksTable[End Date],MATCH(U7,TasksTable[Task ID],0)),0),IFERROR(INDEX(TasksTable[End Date],MATCH(V7,TasksTable[Task ID],0)),0),IFERROR(INDEX(TasksTable[End Date],MATCH(W7,TasksTable[Task ID],0)),0),IFERROR(INDEX(TasksTable[End Date],MATCH(X7,TasksTable[Task ID],0)),0),IFERROR(INDEX(TasksTable[End Date],MATCH(Y7,TasksTable[Task ID],0)),0),IFERROR(INDEX(TasksTable[End Date],MATCH(Z7,TasksTable[Task ID],0)),0)))</x:f>
        <x:v>0</x:v>
      </x:c>
      <x:c r="AF7" s="137" t="b">
        <x:f>IF(OR($A7="",AA7=0),FALSE,SWITCH($J7,"FS",$F7&lt;AE7,"SS",$F7&lt;AD7,"FF",$G7&lt;AE7,"SF",$G7&lt;AD7,TRUE))</x:f>
        <x:v>0</x:v>
      </x:c>
      <x:c r="AG7" s="137" t="n">
        <x:f>IF(AND($A7&lt;&gt;"",$K7="No",$N7&lt;&gt;"Completed",$F7&gt;=TODAY()),$F7+ROW()/100000,"")</x:f>
        <x:v>46276.00007</x:v>
      </x:c>
      <x:c r="AH7" s="137" t="str">
        <x:f>IF(AND($A7&lt;&gt;"",$K7="Yes",$N7&lt;&gt;"Completed",$F7&gt;=TODAY()),$F7+ROW()/100000,"")</x:f>
      </x:c>
      <x:c r="AI7" s="137" t="n">
        <x:f>IF(AND($A7&lt;&gt;"",$K7="No",$N7&lt;&gt;"Completed",$G7&gt;=TODAY(),$G7&lt;=TODAY()+3),$G7+ROW()/100000,"")</x:f>
        <x:v>46277.00007</x:v>
      </x:c>
      <x:c r="AJ7" s="137" t="str">
        <x:f>IF(AND($A7&lt;&gt;"",$K7="No",OR($N7="Delayed",$P7="Dependency conflict")),$G7+ROW()/100000,"")</x:f>
      </x:c>
      <x:c r="AK7" s="137" t="n">
        <x:f>IF(AG7="","",COUNTIFS($AG$7:$AG$206,"&gt;0",$AG$7:$AG$206,"&lt;"&amp;AG7)+1)</x:f>
        <x:v>1</x:v>
      </x:c>
      <x:c r="AL7" s="137" t="str">
        <x:f>IF(AH7="","",COUNTIFS($AH$7:$AH$206,"&gt;0",$AH$7:$AH$206,"&lt;"&amp;AH7)+1)</x:f>
      </x:c>
      <x:c r="AM7" s="137" t="n">
        <x:f>IF(AI7="","",COUNTIFS($AI$7:$AI$206,"&gt;0",$AI$7:$AI$206,"&lt;"&amp;AI7)+1)</x:f>
        <x:v>1</x:v>
      </x:c>
      <x:c r="AN7" s="137" t="str">
        <x:f>IF(AJ7="","",COUNTIFS($AJ$7:$AJ$206,"&gt;0",$AJ$7:$AJ$206,"&lt;"&amp;AJ7)+1)</x:f>
      </x:c>
    </x:row>
    <x:row r="8" ht="38" customHeight="1">
      <x:c r="A8" s="52" t="str">
        <x:v>T02</x:v>
      </x:c>
      <x:c r="B8" s="54" t="str">
        <x:v>M1 · Governance, Policy &amp; Canonical State Initialization</x:v>
      </x:c>
      <x:c r="C8" s="54" t="str">
        <x:v>Configure machine-readable policy rules, autonomy tiers, and claim limits</x:v>
      </x:c>
      <x:c r="D8" s="54" t="str">
        <x:v>Automated policy rule definition; defines risk matrices and compliance envelopes.</x:v>
      </x:c>
      <x:c r="E8" s="54" t="str">
        <x:v>[INFERRED] Versioned policy rules, autonomy tiers, and claim limits</x:v>
      </x:c>
      <x:c r="F8" s="56" t="n">
        <x:v>46276</x:v>
      </x:c>
      <x:c r="G8" s="56" t="n">
        <x:v>46277</x:v>
      </x:c>
      <x:c r="H8" s="60" t="n">
        <x:f>IF(OR(F8="",G8=""),"",G8-F8+1)</x:f>
        <x:v>2</x:v>
      </x:c>
      <x:c r="I8" s="54" t="str"/>
      <x:c r="J8" s="54" t="str"/>
      <x:c r="K8" s="54" t="str">
        <x:v>No</x:v>
      </x:c>
      <x:c r="L8" s="54" t="str">
        <x:v>Enterprise Policy Engine</x:v>
      </x:c>
      <x:c r="M8" s="54" t="str"/>
      <x:c r="N8" s="54" t="str">
        <x:f>IF(O8=0,"Not Started",IF(O8=1,"Completed","In Progress"))</x:f>
        <x:v>Not Started</x:v>
      </x:c>
      <x:c r="O8" s="58" t="n">
        <x:v>0</x:v>
      </x:c>
      <x:c r="P8" s="62" t="str">
        <x:f>IF(A8="","",IF(COUNTIF(TasksTable[Task ID],A8)&gt;1,"Duplicate Task ID",IF(OR(F8="",G8=""),"Missing dates",IF(G8&lt;F8,"Invalid dates",IF(OR(F8&lt;$B$2,G8&gt;$D$2),"Outside window",IF(AA8=0,IF(N8="Delayed","Delayed",IF(N8="On Hold","On Hold","On Track")),IF(J8="","Missing dependency type",IF(AC8,"Dependency cycle",IF(AB8&lt;&gt;AA8,"Invalid predecessor",IF(AF8,"Dependency conflict",IF(N8="Delayed","Delayed",IF(N8="On Hold","On Hold","On Track"))))))))))))</x:f>
        <x:v>On Track</x:v>
      </x:c>
      <x:c r="Q8" s="54" t="str"/>
      <x:c r="R8"/>
      <x:c r="T8" s="137" t="str">
        <x:f>IF($A8="","",TRIM(MID(SUBSTITUTE(SUBSTITUTE(TRIM($I8)," ",""),",",REPT(" ",100)),1,100)))</x:f>
      </x:c>
      <x:c r="U8" s="137" t="str">
        <x:f>IF($A8="","",TRIM(MID(SUBSTITUTE(SUBSTITUTE(TRIM($I8)," ",""),",",REPT(" ",100)),101,100)))</x:f>
      </x:c>
      <x:c r="V8" s="137" t="str">
        <x:f>IF($A8="","",TRIM(MID(SUBSTITUTE(SUBSTITUTE(TRIM($I8)," ",""),",",REPT(" ",100)),201,100)))</x:f>
      </x:c>
      <x:c r="W8" s="137" t="str">
        <x:f>IF($A8="","",TRIM(MID(SUBSTITUTE(SUBSTITUTE(TRIM($I8)," ",""),",",REPT(" ",100)),301,100)))</x:f>
      </x:c>
      <x:c r="X8" s="137" t="str">
        <x:f>IF($A8="","",TRIM(MID(SUBSTITUTE(SUBSTITUTE(TRIM($I8)," ",""),",",REPT(" ",100)),401,100)))</x:f>
      </x:c>
      <x:c r="Y8" s="137" t="str">
        <x:f>IF($A8="","",TRIM(MID(SUBSTITUTE(SUBSTITUTE(TRIM($I8)," ",""),",",REPT(" ",100)),501,100)))</x:f>
      </x:c>
      <x:c r="Z8" s="137" t="str">
        <x:f>IF($A8="","",TRIM(MID(SUBSTITUTE(SUBSTITUTE(TRIM($I8)," ",""),",",REPT(" ",100)),601,100)))</x:f>
      </x:c>
      <x:c r="AA8" s="137" t="n">
        <x:f>IF($A8="","",IF(SUBSTITUTE(TRIM($I8)," ","")="",0,1+LEN(SUBSTITUTE(TRIM($I8)," ",""))-LEN(SUBSTITUTE(SUBSTITUTE(TRIM($I8)," ",""),",",""))))</x:f>
        <x:v>0</x:v>
      </x:c>
      <x:c r="AB8" s="137" t="n">
        <x:f>IF($A8="","",COUNTIF(TasksTable[Task ID],T8)+COUNTIF(TasksTable[Task ID],U8)+COUNTIF(TasksTable[Task ID],V8)+COUNTIF(TasksTable[Task ID],W8)+COUNTIF(TasksTable[Task ID],X8)+COUNTIF(TasksTable[Task ID],Y8)+COUNTIF(TasksTable[Task ID],Z8))</x:f>
        <x:v>0</x:v>
      </x:c>
      <x:c r="AC8" s="137" t="b">
        <x:f>IF($A8="",FALSE,OR(T8=$A8,U8=$A8,V8=$A8,W8=$A8,X8=$A8,Y8=$A8,Z8=$A8))</x:f>
        <x:v>0</x:v>
      </x:c>
      <x:c r="AD8" s="144" t="n">
        <x:f>IF(AA8=0,0,MAX(IFERROR(INDEX(TasksTable[Start Date],MATCH(T8,TasksTable[Task ID],0)),0),IFERROR(INDEX(TasksTable[Start Date],MATCH(U8,TasksTable[Task ID],0)),0),IFERROR(INDEX(TasksTable[Start Date],MATCH(V8,TasksTable[Task ID],0)),0),IFERROR(INDEX(TasksTable[Start Date],MATCH(W8,TasksTable[Task ID],0)),0),IFERROR(INDEX(TasksTable[Start Date],MATCH(X8,TasksTable[Task ID],0)),0),IFERROR(INDEX(TasksTable[Start Date],MATCH(Y8,TasksTable[Task ID],0)),0),IFERROR(INDEX(TasksTable[Start Date],MATCH(Z8,TasksTable[Task ID],0)),0)))</x:f>
        <x:v>0</x:v>
      </x:c>
      <x:c r="AE8" s="144" t="n">
        <x:f>IF(AA8=0,0,MAX(IFERROR(INDEX(TasksTable[End Date],MATCH(T8,TasksTable[Task ID],0)),0),IFERROR(INDEX(TasksTable[End Date],MATCH(U8,TasksTable[Task ID],0)),0),IFERROR(INDEX(TasksTable[End Date],MATCH(V8,TasksTable[Task ID],0)),0),IFERROR(INDEX(TasksTable[End Date],MATCH(W8,TasksTable[Task ID],0)),0),IFERROR(INDEX(TasksTable[End Date],MATCH(X8,TasksTable[Task ID],0)),0),IFERROR(INDEX(TasksTable[End Date],MATCH(Y8,TasksTable[Task ID],0)),0),IFERROR(INDEX(TasksTable[End Date],MATCH(Z8,TasksTable[Task ID],0)),0)))</x:f>
        <x:v>0</x:v>
      </x:c>
      <x:c r="AF8" s="137" t="b">
        <x:f>IF(OR($A8="",AA8=0),FALSE,SWITCH($J8,"FS",$F8&lt;AE8,"SS",$F8&lt;AD8,"FF",$G8&lt;AE8,"SF",$G8&lt;AD8,TRUE))</x:f>
        <x:v>0</x:v>
      </x:c>
      <x:c r="AG8" s="137" t="n">
        <x:f>IF(AND($A8&lt;&gt;"",$K8="No",$N8&lt;&gt;"Completed",$F8&gt;=TODAY()),$F8+ROW()/100000,"")</x:f>
        <x:v>46276.00008</x:v>
      </x:c>
      <x:c r="AH8" s="137" t="str">
        <x:f>IF(AND($A8&lt;&gt;"",$K8="Yes",$N8&lt;&gt;"Completed",$F8&gt;=TODAY()),$F8+ROW()/100000,"")</x:f>
      </x:c>
      <x:c r="AI8" s="137" t="n">
        <x:f>IF(AND($A8&lt;&gt;"",$K8="No",$N8&lt;&gt;"Completed",$G8&gt;=TODAY(),$G8&lt;=TODAY()+3),$G8+ROW()/100000,"")</x:f>
        <x:v>46277.00008</x:v>
      </x:c>
      <x:c r="AJ8" s="137" t="str">
        <x:f>IF(AND($A8&lt;&gt;"",$K8="No",OR($N8="Delayed",$P8="Dependency conflict")),$G8+ROW()/100000,"")</x:f>
      </x:c>
      <x:c r="AK8" s="137" t="n">
        <x:f>IF(AG8="","",COUNTIFS($AG$7:$AG$206,"&gt;0",$AG$7:$AG$206,"&lt;"&amp;AG8)+1)</x:f>
        <x:v>2</x:v>
      </x:c>
      <x:c r="AL8" s="137" t="str">
        <x:f>IF(AH8="","",COUNTIFS($AH$7:$AH$206,"&gt;0",$AH$7:$AH$206,"&lt;"&amp;AH8)+1)</x:f>
      </x:c>
      <x:c r="AM8" s="137" t="n">
        <x:f>IF(AI8="","",COUNTIFS($AI$7:$AI$206,"&gt;0",$AI$7:$AI$206,"&lt;"&amp;AI8)+1)</x:f>
        <x:v>2</x:v>
      </x:c>
      <x:c r="AN8" s="137" t="str">
        <x:f>IF(AJ8="","",COUNTIFS($AJ$7:$AJ$206,"&gt;0",$AJ$7:$AJ$206,"&lt;"&amp;AJ8)+1)</x:f>
      </x:c>
    </x:row>
    <x:row r="9" ht="38" customHeight="1">
      <x:c r="A9" s="52" t="str">
        <x:v>T03</x:v>
      </x:c>
      <x:c r="B9" s="54" t="str">
        <x:v>M1 · Governance, Policy &amp; Canonical State Initialization</x:v>
      </x:c>
      <x:c r="C9" s="54" t="str">
        <x:v>Establish Policy &amp; Authorization Boundary (PAB) evaluation rules</x:v>
      </x:c>
      <x:c r="D9" s="54" t="str">
        <x:v>Strategic intent &amp; policy rules must exist before PAB can enforce bounds.</x:v>
      </x:c>
      <x:c r="E9" s="54" t="str">
        <x:v>[INFERRED] PAB evaluation and authorization rule set</x:v>
      </x:c>
      <x:c r="F9" s="56" t="n">
        <x:v>46277</x:v>
      </x:c>
      <x:c r="G9" s="56" t="n">
        <x:v>46279</x:v>
      </x:c>
      <x:c r="H9" s="60" t="n">
        <x:f>IF(OR(F9="",G9=""),"",G9-F9+1)</x:f>
        <x:v>3</x:v>
      </x:c>
      <x:c r="I9" s="54" t="str">
        <x:v>T01, T02</x:v>
      </x:c>
      <x:c r="J9" s="54" t="str">
        <x:v>FS</x:v>
      </x:c>
      <x:c r="K9" s="54" t="str">
        <x:v>No</x:v>
      </x:c>
      <x:c r="L9" s="54" t="str">
        <x:v>Policy &amp; Authorization Boundary (PAB)</x:v>
      </x:c>
      <x:c r="M9" s="54" t="str"/>
      <x:c r="N9" s="54" t="str">
        <x:f>IF(O9=0,"Not Started",IF(O9=1,"Completed","In Progress"))</x:f>
        <x:v>Not Started</x:v>
      </x:c>
      <x:c r="O9" s="58" t="n">
        <x:v>0</x:v>
      </x:c>
      <x:c r="P9" s="62" t="str">
        <x:f>IF(A9="","",IF(COUNTIF(TasksTable[Task ID],A9)&gt;1,"Duplicate Task ID",IF(OR(F9="",G9=""),"Missing dates",IF(G9&lt;F9,"Invalid dates",IF(OR(F9&lt;$B$2,G9&gt;$D$2),"Outside window",IF(AA9=0,IF(N9="Delayed","Delayed",IF(N9="On Hold","On Hold","On Track")),IF(J9="","Missing dependency type",IF(AC9,"Dependency cycle",IF(AB9&lt;&gt;AA9,"Invalid predecessor",IF(AF9,"Dependency conflict",IF(N9="Delayed","Delayed",IF(N9="On Hold","On Hold","On Track"))))))))))))</x:f>
        <x:v>On Track</x:v>
      </x:c>
      <x:c r="Q9" s="54" t="str"/>
      <x:c r="R9"/>
      <x:c r="T9" s="137" t="str">
        <x:f>IF($A9="","",TRIM(MID(SUBSTITUTE(SUBSTITUTE(TRIM($I9)," ",""),",",REPT(" ",100)),1,100)))</x:f>
        <x:v>T01</x:v>
      </x:c>
      <x:c r="U9" s="137" t="str">
        <x:f>IF($A9="","",TRIM(MID(SUBSTITUTE(SUBSTITUTE(TRIM($I9)," ",""),",",REPT(" ",100)),101,100)))</x:f>
        <x:v>T02</x:v>
      </x:c>
      <x:c r="V9" s="137" t="str">
        <x:f>IF($A9="","",TRIM(MID(SUBSTITUTE(SUBSTITUTE(TRIM($I9)," ",""),",",REPT(" ",100)),201,100)))</x:f>
      </x:c>
      <x:c r="W9" s="137" t="str">
        <x:f>IF($A9="","",TRIM(MID(SUBSTITUTE(SUBSTITUTE(TRIM($I9)," ",""),",",REPT(" ",100)),301,100)))</x:f>
      </x:c>
      <x:c r="X9" s="137" t="str">
        <x:f>IF($A9="","",TRIM(MID(SUBSTITUTE(SUBSTITUTE(TRIM($I9)," ",""),",",REPT(" ",100)),401,100)))</x:f>
      </x:c>
      <x:c r="Y9" s="137" t="str">
        <x:f>IF($A9="","",TRIM(MID(SUBSTITUTE(SUBSTITUTE(TRIM($I9)," ",""),",",REPT(" ",100)),501,100)))</x:f>
      </x:c>
      <x:c r="Z9" s="137" t="str">
        <x:f>IF($A9="","",TRIM(MID(SUBSTITUTE(SUBSTITUTE(TRIM($I9)," ",""),",",REPT(" ",100)),601,100)))</x:f>
      </x:c>
      <x:c r="AA9" s="137" t="n">
        <x:f>IF($A9="","",IF(SUBSTITUTE(TRIM($I9)," ","")="",0,1+LEN(SUBSTITUTE(TRIM($I9)," ",""))-LEN(SUBSTITUTE(SUBSTITUTE(TRIM($I9)," ",""),",",""))))</x:f>
        <x:v>2</x:v>
      </x:c>
      <x:c r="AB9" s="137" t="n">
        <x:f>IF($A9="","",COUNTIF(TasksTable[Task ID],T9)+COUNTIF(TasksTable[Task ID],U9)+COUNTIF(TasksTable[Task ID],V9)+COUNTIF(TasksTable[Task ID],W9)+COUNTIF(TasksTable[Task ID],X9)+COUNTIF(TasksTable[Task ID],Y9)+COUNTIF(TasksTable[Task ID],Z9))</x:f>
        <x:v>2</x:v>
      </x:c>
      <x:c r="AC9" s="137" t="b">
        <x:f>IF($A9="",FALSE,OR(T9=$A9,U9=$A9,V9=$A9,W9=$A9,X9=$A9,Y9=$A9,Z9=$A9))</x:f>
        <x:v>0</x:v>
      </x:c>
      <x:c r="AD9" s="144" t="n">
        <x:f>IF(AA9=0,0,MAX(IFERROR(INDEX(TasksTable[Start Date],MATCH(T9,TasksTable[Task ID],0)),0),IFERROR(INDEX(TasksTable[Start Date],MATCH(U9,TasksTable[Task ID],0)),0),IFERROR(INDEX(TasksTable[Start Date],MATCH(V9,TasksTable[Task ID],0)),0),IFERROR(INDEX(TasksTable[Start Date],MATCH(W9,TasksTable[Task ID],0)),0),IFERROR(INDEX(TasksTable[Start Date],MATCH(X9,TasksTable[Task ID],0)),0),IFERROR(INDEX(TasksTable[Start Date],MATCH(Y9,TasksTable[Task ID],0)),0),IFERROR(INDEX(TasksTable[Start Date],MATCH(Z9,TasksTable[Task ID],0)),0)))</x:f>
        <x:v>46276</x:v>
      </x:c>
      <x:c r="AE9" s="144" t="n">
        <x:f>IF(AA9=0,0,MAX(IFERROR(INDEX(TasksTable[End Date],MATCH(T9,TasksTable[Task ID],0)),0),IFERROR(INDEX(TasksTable[End Date],MATCH(U9,TasksTable[Task ID],0)),0),IFERROR(INDEX(TasksTable[End Date],MATCH(V9,TasksTable[Task ID],0)),0),IFERROR(INDEX(TasksTable[End Date],MATCH(W9,TasksTable[Task ID],0)),0),IFERROR(INDEX(TasksTable[End Date],MATCH(X9,TasksTable[Task ID],0)),0),IFERROR(INDEX(TasksTable[End Date],MATCH(Y9,TasksTable[Task ID],0)),0),IFERROR(INDEX(TasksTable[End Date],MATCH(Z9,TasksTable[Task ID],0)),0)))</x:f>
        <x:v>46277</x:v>
      </x:c>
      <x:c r="AF9" s="137" t="b">
        <x:f>IF(OR($A9="",AA9=0),FALSE,SWITCH($J9,"FS",$F9&lt;AE9,"SS",$F9&lt;AD9,"FF",$G9&lt;AE9,"SF",$G9&lt;AD9,TRUE))</x:f>
        <x:v>0</x:v>
      </x:c>
      <x:c r="AG9" s="137" t="n">
        <x:f>IF(AND($A9&lt;&gt;"",$K9="No",$N9&lt;&gt;"Completed",$F9&gt;=TODAY()),$F9+ROW()/100000,"")</x:f>
        <x:v>46277.00009</x:v>
      </x:c>
      <x:c r="AH9" s="137" t="str">
        <x:f>IF(AND($A9&lt;&gt;"",$K9="Yes",$N9&lt;&gt;"Completed",$F9&gt;=TODAY()),$F9+ROW()/100000,"")</x:f>
      </x:c>
      <x:c r="AI9" s="137" t="str">
        <x:f>IF(AND($A9&lt;&gt;"",$K9="No",$N9&lt;&gt;"Completed",$G9&gt;=TODAY(),$G9&lt;=TODAY()+3),$G9+ROW()/100000,"")</x:f>
      </x:c>
      <x:c r="AJ9" s="137" t="str">
        <x:f>IF(AND($A9&lt;&gt;"",$K9="No",OR($N9="Delayed",$P9="Dependency conflict")),$G9+ROW()/100000,"")</x:f>
      </x:c>
      <x:c r="AK9" s="137" t="n">
        <x:f>IF(AG9="","",COUNTIFS($AG$7:$AG$206,"&gt;0",$AG$7:$AG$206,"&lt;"&amp;AG9)+1)</x:f>
        <x:v>3</x:v>
      </x:c>
      <x:c r="AL9" s="137" t="str">
        <x:f>IF(AH9="","",COUNTIFS($AH$7:$AH$206,"&gt;0",$AH$7:$AH$206,"&lt;"&amp;AH9)+1)</x:f>
      </x:c>
      <x:c r="AM9" s="137" t="str">
        <x:f>IF(AI9="","",COUNTIFS($AI$7:$AI$206,"&gt;0",$AI$7:$AI$206,"&lt;"&amp;AI9)+1)</x:f>
      </x:c>
      <x:c r="AN9" s="137" t="str">
        <x:f>IF(AJ9="","",COUNTIFS($AJ$7:$AJ$206,"&gt;0",$AJ$7:$AJ$206,"&lt;"&amp;AJ9)+1)</x:f>
      </x:c>
    </x:row>
    <x:row r="10" ht="38" customHeight="1">
      <x:c r="A10" s="52" t="str">
        <x:v>T04</x:v>
      </x:c>
      <x:c r="B10" s="54" t="str">
        <x:v>M1 · Governance, Policy &amp; Canonical State Initialization</x:v>
      </x:c>
      <x:c r="C10" s="54" t="str">
        <x:v>Initialize Canonical Task State Machine (CTS) and DAG execution schema</x:v>
      </x:c>
      <x:c r="D10" s="54" t="str">
        <x:v>Scope and budgets are prerequisites for Canonical Task State DAG initialization.</x:v>
      </x:c>
      <x:c r="E10" s="54" t="str">
        <x:v>[INFERRED] Canonical task lifecycle and DAG execution schema</x:v>
      </x:c>
      <x:c r="F10" s="56" t="n">
        <x:v>46277</x:v>
      </x:c>
      <x:c r="G10" s="56" t="n">
        <x:v>46279</x:v>
      </x:c>
      <x:c r="H10" s="60" t="n">
        <x:f>IF(OR(F10="",G10=""),"",G10-F10+1)</x:f>
        <x:v>3</x:v>
      </x:c>
      <x:c r="I10" s="54" t="str">
        <x:v>T01</x:v>
      </x:c>
      <x:c r="J10" s="54" t="str">
        <x:v>FS</x:v>
      </x:c>
      <x:c r="K10" s="54" t="str">
        <x:v>No</x:v>
      </x:c>
      <x:c r="L10" s="54" t="str">
        <x:v>Canonical Task State Machine (CTS)</x:v>
      </x:c>
      <x:c r="M10" s="54" t="str"/>
      <x:c r="N10" s="54" t="str">
        <x:f>IF(O10=0,"Not Started",IF(O10=1,"Completed","In Progress"))</x:f>
        <x:v>Not Started</x:v>
      </x:c>
      <x:c r="O10" s="58" t="n">
        <x:v>0</x:v>
      </x:c>
      <x:c r="P10" s="62" t="str">
        <x:f>IF(A10="","",IF(COUNTIF(TasksTable[Task ID],A10)&gt;1,"Duplicate Task ID",IF(OR(F10="",G10=""),"Missing dates",IF(G10&lt;F10,"Invalid dates",IF(OR(F10&lt;$B$2,G10&gt;$D$2),"Outside window",IF(AA10=0,IF(N10="Delayed","Delayed",IF(N10="On Hold","On Hold","On Track")),IF(J10="","Missing dependency type",IF(AC10,"Dependency cycle",IF(AB10&lt;&gt;AA10,"Invalid predecessor",IF(AF10,"Dependency conflict",IF(N10="Delayed","Delayed",IF(N10="On Hold","On Hold","On Track"))))))))))))</x:f>
        <x:v>On Track</x:v>
      </x:c>
      <x:c r="Q10" s="54" t="str"/>
      <x:c r="R10"/>
      <x:c r="T10" s="137" t="str">
        <x:f>IF($A10="","",TRIM(MID(SUBSTITUTE(SUBSTITUTE(TRIM($I10)," ",""),",",REPT(" ",100)),1,100)))</x:f>
        <x:v>T01</x:v>
      </x:c>
      <x:c r="U10" s="137" t="str">
        <x:f>IF($A10="","",TRIM(MID(SUBSTITUTE(SUBSTITUTE(TRIM($I10)," ",""),",",REPT(" ",100)),101,100)))</x:f>
      </x:c>
      <x:c r="V10" s="137" t="str">
        <x:f>IF($A10="","",TRIM(MID(SUBSTITUTE(SUBSTITUTE(TRIM($I10)," ",""),",",REPT(" ",100)),201,100)))</x:f>
      </x:c>
      <x:c r="W10" s="137" t="str">
        <x:f>IF($A10="","",TRIM(MID(SUBSTITUTE(SUBSTITUTE(TRIM($I10)," ",""),",",REPT(" ",100)),301,100)))</x:f>
      </x:c>
      <x:c r="X10" s="137" t="str">
        <x:f>IF($A10="","",TRIM(MID(SUBSTITUTE(SUBSTITUTE(TRIM($I10)," ",""),",",REPT(" ",100)),401,100)))</x:f>
      </x:c>
      <x:c r="Y10" s="137" t="str">
        <x:f>IF($A10="","",TRIM(MID(SUBSTITUTE(SUBSTITUTE(TRIM($I10)," ",""),",",REPT(" ",100)),501,100)))</x:f>
      </x:c>
      <x:c r="Z10" s="137" t="str">
        <x:f>IF($A10="","",TRIM(MID(SUBSTITUTE(SUBSTITUTE(TRIM($I10)," ",""),",",REPT(" ",100)),601,100)))</x:f>
      </x:c>
      <x:c r="AA10" s="137" t="n">
        <x:f>IF($A10="","",IF(SUBSTITUTE(TRIM($I10)," ","")="",0,1+LEN(SUBSTITUTE(TRIM($I10)," ",""))-LEN(SUBSTITUTE(SUBSTITUTE(TRIM($I10)," ",""),",",""))))</x:f>
        <x:v>1</x:v>
      </x:c>
      <x:c r="AB10" s="137" t="n">
        <x:f>IF($A10="","",COUNTIF(TasksTable[Task ID],T10)+COUNTIF(TasksTable[Task ID],U10)+COUNTIF(TasksTable[Task ID],V10)+COUNTIF(TasksTable[Task ID],W10)+COUNTIF(TasksTable[Task ID],X10)+COUNTIF(TasksTable[Task ID],Y10)+COUNTIF(TasksTable[Task ID],Z10))</x:f>
        <x:v>1</x:v>
      </x:c>
      <x:c r="AC10" s="137" t="b">
        <x:f>IF($A10="",FALSE,OR(T10=$A10,U10=$A10,V10=$A10,W10=$A10,X10=$A10,Y10=$A10,Z10=$A10))</x:f>
        <x:v>0</x:v>
      </x:c>
      <x:c r="AD10" s="144" t="n">
        <x:f>IF(AA10=0,0,MAX(IFERROR(INDEX(TasksTable[Start Date],MATCH(T10,TasksTable[Task ID],0)),0),IFERROR(INDEX(TasksTable[Start Date],MATCH(U10,TasksTable[Task ID],0)),0),IFERROR(INDEX(TasksTable[Start Date],MATCH(V10,TasksTable[Task ID],0)),0),IFERROR(INDEX(TasksTable[Start Date],MATCH(W10,TasksTable[Task ID],0)),0),IFERROR(INDEX(TasksTable[Start Date],MATCH(X10,TasksTable[Task ID],0)),0),IFERROR(INDEX(TasksTable[Start Date],MATCH(Y10,TasksTable[Task ID],0)),0),IFERROR(INDEX(TasksTable[Start Date],MATCH(Z10,TasksTable[Task ID],0)),0)))</x:f>
        <x:v>46276</x:v>
      </x:c>
      <x:c r="AE10" s="144" t="n">
        <x:f>IF(AA10=0,0,MAX(IFERROR(INDEX(TasksTable[End Date],MATCH(T10,TasksTable[Task ID],0)),0),IFERROR(INDEX(TasksTable[End Date],MATCH(U10,TasksTable[Task ID],0)),0),IFERROR(INDEX(TasksTable[End Date],MATCH(V10,TasksTable[Task ID],0)),0),IFERROR(INDEX(TasksTable[End Date],MATCH(W10,TasksTable[Task ID],0)),0),IFERROR(INDEX(TasksTable[End Date],MATCH(X10,TasksTable[Task ID],0)),0),IFERROR(INDEX(TasksTable[End Date],MATCH(Y10,TasksTable[Task ID],0)),0),IFERROR(INDEX(TasksTable[End Date],MATCH(Z10,TasksTable[Task ID],0)),0)))</x:f>
        <x:v>46277</x:v>
      </x:c>
      <x:c r="AF10" s="137" t="b">
        <x:f>IF(OR($A10="",AA10=0),FALSE,SWITCH($J10,"FS",$F10&lt;AE10,"SS",$F10&lt;AD10,"FF",$G10&lt;AE10,"SF",$G10&lt;AD10,TRUE))</x:f>
        <x:v>0</x:v>
      </x:c>
      <x:c r="AG10" s="137" t="n">
        <x:f>IF(AND($A10&lt;&gt;"",$K10="No",$N10&lt;&gt;"Completed",$F10&gt;=TODAY()),$F10+ROW()/100000,"")</x:f>
        <x:v>46277.0001</x:v>
      </x:c>
      <x:c r="AH10" s="137" t="str">
        <x:f>IF(AND($A10&lt;&gt;"",$K10="Yes",$N10&lt;&gt;"Completed",$F10&gt;=TODAY()),$F10+ROW()/100000,"")</x:f>
      </x:c>
      <x:c r="AI10" s="137" t="str">
        <x:f>IF(AND($A10&lt;&gt;"",$K10="No",$N10&lt;&gt;"Completed",$G10&gt;=TODAY(),$G10&lt;=TODAY()+3),$G10+ROW()/100000,"")</x:f>
      </x:c>
      <x:c r="AJ10" s="137" t="str">
        <x:f>IF(AND($A10&lt;&gt;"",$K10="No",OR($N10="Delayed",$P10="Dependency conflict")),$G10+ROW()/100000,"")</x:f>
      </x:c>
      <x:c r="AK10" s="137" t="n">
        <x:f>IF(AG10="","",COUNTIFS($AG$7:$AG$206,"&gt;0",$AG$7:$AG$206,"&lt;"&amp;AG10)+1)</x:f>
        <x:v>4</x:v>
      </x:c>
      <x:c r="AL10" s="137" t="str">
        <x:f>IF(AH10="","",COUNTIFS($AH$7:$AH$206,"&gt;0",$AH$7:$AH$206,"&lt;"&amp;AH10)+1)</x:f>
      </x:c>
      <x:c r="AM10" s="137" t="str">
        <x:f>IF(AI10="","",COUNTIFS($AI$7:$AI$206,"&gt;0",$AI$7:$AI$206,"&lt;"&amp;AI10)+1)</x:f>
      </x:c>
      <x:c r="AN10" s="137" t="str">
        <x:f>IF(AJ10="","",COUNTIFS($AJ$7:$AJ$206,"&gt;0",$AJ$7:$AJ$206,"&lt;"&amp;AJ10)+1)</x:f>
      </x:c>
    </x:row>
    <x:row r="11" ht="46" customHeight="1">
      <x:c r="A11" s="156" t="str">
        <x:v>M1</x:v>
      </x:c>
      <x:c r="B11" s="157" t="str">
        <x:v>M1 · Governance, Policy &amp; Canonical State Initialization</x:v>
      </x:c>
      <x:c r="C11" s="157" t="str">
        <x:v>Governance, Policy &amp; Canonical State Initialization</x:v>
      </x:c>
      <x:c r="D11" s="157" t="str">
        <x:v>Explicit checkpoint linked to T01, T02, T03, T04.</x:v>
      </x:c>
      <x:c r="E11" s="157" t="str">
        <x:v>Governance, Policy &amp; Canonical State Initialization</x:v>
      </x:c>
      <x:c r="F11" s="158" t="n">
        <x:v>46279</x:v>
      </x:c>
      <x:c r="G11" s="158" t="n">
        <x:v>46279</x:v>
      </x:c>
      <x:c r="H11" s="159" t="n">
        <x:f>IF(OR(F11="",G11=""),"",G11-F11+1)</x:f>
        <x:v>1</x:v>
      </x:c>
      <x:c r="I11" s="157" t="str">
        <x:v>T01, T02, T03, T04</x:v>
      </x:c>
      <x:c r="J11" s="157" t="str">
        <x:v>FS</x:v>
      </x:c>
      <x:c r="K11" s="157" t="str">
        <x:v>Yes</x:v>
      </x:c>
      <x:c r="L11" s="157" t="str">
        <x:v>Unassigned</x:v>
      </x:c>
      <x:c r="M11" s="157" t="str"/>
      <x:c r="N11" s="157" t="str">
        <x:f>IF(O11=0,"Not Started",IF(O11=1,"Completed","In Progress"))</x:f>
        <x:v>Not Started</x:v>
      </x:c>
      <x:c r="O11" s="160" t="n">
        <x:v>0</x:v>
      </x:c>
      <x:c r="P11" s="157" t="str">
        <x:f>IF(A11="","",IF(COUNTIF(TasksTable[Task ID],A11)&gt;1,"Duplicate Task ID",IF(OR(F11="",G11=""),"Missing dates",IF(G11&lt;F11,"Invalid dates",IF(OR(F11&lt;$B$2,G11&gt;$D$2),"Outside window",IF(AA11=0,IF(N11="Delayed","Delayed",IF(N11="On Hold","On Hold","On Track")),IF(J11="","Missing dependency type",IF(AC11,"Dependency cycle",IF(AB11&lt;&gt;AA11,"Invalid predecessor",IF(AF11,"Dependency conflict",IF(N11="Delayed","Delayed",IF(N11="On Hold","On Hold","On Track"))))))))))))</x:f>
        <x:v>On Track</x:v>
      </x:c>
      <x:c r="Q11" s="157" t="str">
        <x:v>[INFERRED] Milestone linkage is represented as FS predecessors from the source-listed linked tasks; source milestone status was inferred and is reset to 0%/Not Started per workbook requirement.</x:v>
      </x:c>
      <x:c r="R11"/>
      <x:c r="T11" s="137" t="str">
        <x:f>IF($A11="","",TRIM(MID(SUBSTITUTE(SUBSTITUTE(TRIM($I11)," ",""),",",REPT(" ",100)),1,100)))</x:f>
        <x:v>T01</x:v>
      </x:c>
      <x:c r="U11" s="137" t="str">
        <x:f>IF($A11="","",TRIM(MID(SUBSTITUTE(SUBSTITUTE(TRIM($I11)," ",""),",",REPT(" ",100)),101,100)))</x:f>
        <x:v>T02</x:v>
      </x:c>
      <x:c r="V11" s="137" t="str">
        <x:f>IF($A11="","",TRIM(MID(SUBSTITUTE(SUBSTITUTE(TRIM($I11)," ",""),",",REPT(" ",100)),201,100)))</x:f>
        <x:v>T03</x:v>
      </x:c>
      <x:c r="W11" s="137" t="str">
        <x:f>IF($A11="","",TRIM(MID(SUBSTITUTE(SUBSTITUTE(TRIM($I11)," ",""),",",REPT(" ",100)),301,100)))</x:f>
        <x:v>T04</x:v>
      </x:c>
      <x:c r="X11" s="137" t="str">
        <x:f>IF($A11="","",TRIM(MID(SUBSTITUTE(SUBSTITUTE(TRIM($I11)," ",""),",",REPT(" ",100)),401,100)))</x:f>
      </x:c>
      <x:c r="Y11" s="137" t="str">
        <x:f>IF($A11="","",TRIM(MID(SUBSTITUTE(SUBSTITUTE(TRIM($I11)," ",""),",",REPT(" ",100)),501,100)))</x:f>
      </x:c>
      <x:c r="Z11" s="137" t="str">
        <x:f>IF($A11="","",TRIM(MID(SUBSTITUTE(SUBSTITUTE(TRIM($I11)," ",""),",",REPT(" ",100)),601,100)))</x:f>
      </x:c>
      <x:c r="AA11" s="137" t="n">
        <x:f>IF($A11="","",IF(SUBSTITUTE(TRIM($I11)," ","")="",0,1+LEN(SUBSTITUTE(TRIM($I11)," ",""))-LEN(SUBSTITUTE(SUBSTITUTE(TRIM($I11)," ",""),",",""))))</x:f>
        <x:v>4</x:v>
      </x:c>
      <x:c r="AB11" s="137" t="n">
        <x:f>IF($A11="","",COUNTIF(TasksTable[Task ID],T11)+COUNTIF(TasksTable[Task ID],U11)+COUNTIF(TasksTable[Task ID],V11)+COUNTIF(TasksTable[Task ID],W11)+COUNTIF(TasksTable[Task ID],X11)+COUNTIF(TasksTable[Task ID],Y11)+COUNTIF(TasksTable[Task ID],Z11))</x:f>
        <x:v>4</x:v>
      </x:c>
      <x:c r="AC11" s="137" t="b">
        <x:f>IF($A11="",FALSE,OR(T11=$A11,U11=$A11,V11=$A11,W11=$A11,X11=$A11,Y11=$A11,Z11=$A11))</x:f>
        <x:v>0</x:v>
      </x:c>
      <x:c r="AD11" s="144" t="n">
        <x:f>IF(AA11=0,0,MAX(IFERROR(INDEX(TasksTable[Start Date],MATCH(T11,TasksTable[Task ID],0)),0),IFERROR(INDEX(TasksTable[Start Date],MATCH(U11,TasksTable[Task ID],0)),0),IFERROR(INDEX(TasksTable[Start Date],MATCH(V11,TasksTable[Task ID],0)),0),IFERROR(INDEX(TasksTable[Start Date],MATCH(W11,TasksTable[Task ID],0)),0),IFERROR(INDEX(TasksTable[Start Date],MATCH(X11,TasksTable[Task ID],0)),0),IFERROR(INDEX(TasksTable[Start Date],MATCH(Y11,TasksTable[Task ID],0)),0),IFERROR(INDEX(TasksTable[Start Date],MATCH(Z11,TasksTable[Task ID],0)),0)))</x:f>
        <x:v>46277</x:v>
      </x:c>
      <x:c r="AE11" s="144" t="n">
        <x:f>IF(AA11=0,0,MAX(IFERROR(INDEX(TasksTable[End Date],MATCH(T11,TasksTable[Task ID],0)),0),IFERROR(INDEX(TasksTable[End Date],MATCH(U11,TasksTable[Task ID],0)),0),IFERROR(INDEX(TasksTable[End Date],MATCH(V11,TasksTable[Task ID],0)),0),IFERROR(INDEX(TasksTable[End Date],MATCH(W11,TasksTable[Task ID],0)),0),IFERROR(INDEX(TasksTable[End Date],MATCH(X11,TasksTable[Task ID],0)),0),IFERROR(INDEX(TasksTable[End Date],MATCH(Y11,TasksTable[Task ID],0)),0),IFERROR(INDEX(TasksTable[End Date],MATCH(Z11,TasksTable[Task ID],0)),0)))</x:f>
        <x:v>46279</x:v>
      </x:c>
      <x:c r="AF11" s="137" t="b">
        <x:f>IF(OR($A11="",AA11=0),FALSE,SWITCH($J11,"FS",$F11&lt;AE11,"SS",$F11&lt;AD11,"FF",$G11&lt;AE11,"SF",$G11&lt;AD11,TRUE))</x:f>
        <x:v>0</x:v>
      </x:c>
      <x:c r="AG11" s="137" t="str">
        <x:f>IF(AND($A11&lt;&gt;"",$K11="No",$N11&lt;&gt;"Completed",$F11&gt;=TODAY()),$F11+ROW()/100000,"")</x:f>
      </x:c>
      <x:c r="AH11" s="137" t="n">
        <x:f>IF(AND($A11&lt;&gt;"",$K11="Yes",$N11&lt;&gt;"Completed",$F11&gt;=TODAY()),$F11+ROW()/100000,"")</x:f>
        <x:v>46279.00011</x:v>
      </x:c>
      <x:c r="AI11" s="137" t="str">
        <x:f>IF(AND($A11&lt;&gt;"",$K11="No",$N11&lt;&gt;"Completed",$G11&gt;=TODAY(),$G11&lt;=TODAY()+3),$G11+ROW()/100000,"")</x:f>
      </x:c>
      <x:c r="AJ11" s="137" t="str">
        <x:f>IF(AND($A11&lt;&gt;"",$K11="No",OR($N11="Delayed",$P11="Dependency conflict")),$G11+ROW()/100000,"")</x:f>
      </x:c>
      <x:c r="AK11" s="137" t="str">
        <x:f>IF(AG11="","",COUNTIFS($AG$7:$AG$206,"&gt;0",$AG$7:$AG$206,"&lt;"&amp;AG11)+1)</x:f>
      </x:c>
      <x:c r="AL11" s="137" t="n">
        <x:f>IF(AH11="","",COUNTIFS($AH$7:$AH$206,"&gt;0",$AH$7:$AH$206,"&lt;"&amp;AH11)+1)</x:f>
        <x:v>1</x:v>
      </x:c>
      <x:c r="AM11" s="137" t="str">
        <x:f>IF(AI11="","",COUNTIFS($AI$7:$AI$206,"&gt;0",$AI$7:$AI$206,"&lt;"&amp;AI11)+1)</x:f>
      </x:c>
      <x:c r="AN11" s="137" t="str">
        <x:f>IF(AJ11="","",COUNTIFS($AJ$7:$AJ$206,"&gt;0",$AJ$7:$AJ$206,"&lt;"&amp;AJ11)+1)</x:f>
      </x:c>
    </x:row>
    <x:row r="12" ht="38" customHeight="1">
      <x:c r="A12" s="52" t="str">
        <x:v>T05</x:v>
      </x:c>
      <x:c r="B12" s="54" t="str">
        <x:v>M2 · Governed Data Plane &amp; Central Storage Integration (Model A)</x:v>
      </x:c>
      <x:c r="C12" s="54" t="str">
        <x:v>Provision Central Enterprise Database (CDB) relational tables &amp; vector stores</x:v>
      </x:c>
      <x:c r="D12" s="54" t="str">
        <x:v>State ledger schemas must precede database tables, CMS models, and memory namespaces.</x:v>
      </x:c>
      <x:c r="E12" s="54" t="str">
        <x:v>[INFERRED] Provisioned relational, vector, and telemetry-ready central data stores</x:v>
      </x:c>
      <x:c r="F12" s="56" t="n">
        <x:v>46279</x:v>
      </x:c>
      <x:c r="G12" s="56" t="n">
        <x:v>46281</x:v>
      </x:c>
      <x:c r="H12" s="60" t="n">
        <x:f>IF(OR(F12="",G12=""),"",G12-F12+1)</x:f>
        <x:v>3</x:v>
      </x:c>
      <x:c r="I12" s="54" t="str">
        <x:v>T04</x:v>
      </x:c>
      <x:c r="J12" s="54" t="str">
        <x:v>FS</x:v>
      </x:c>
      <x:c r="K12" s="54" t="str">
        <x:v>No</x:v>
      </x:c>
      <x:c r="L12" s="54" t="str">
        <x:v>Central Enterprise Database (CDB)</x:v>
      </x:c>
      <x:c r="M12" s="54" t="str"/>
      <x:c r="N12" s="54" t="str">
        <x:f>IF(O12=0,"Not Started",IF(O12=1,"Completed","In Progress"))</x:f>
        <x:v>Not Started</x:v>
      </x:c>
      <x:c r="O12" s="58" t="n">
        <x:v>0</x:v>
      </x:c>
      <x:c r="P12" s="62" t="str">
        <x:f>IF(A12="","",IF(COUNTIF(TasksTable[Task ID],A12)&gt;1,"Duplicate Task ID",IF(OR(F12="",G12=""),"Missing dates",IF(G12&lt;F12,"Invalid dates",IF(OR(F12&lt;$B$2,G12&gt;$D$2),"Outside window",IF(AA12=0,IF(N12="Delayed","Delayed",IF(N12="On Hold","On Hold","On Track")),IF(J12="","Missing dependency type",IF(AC12,"Dependency cycle",IF(AB12&lt;&gt;AA12,"Invalid predecessor",IF(AF12,"Dependency conflict",IF(N12="Delayed","Delayed",IF(N12="On Hold","On Hold","On Track"))))))))))))</x:f>
        <x:v>On Track</x:v>
      </x:c>
      <x:c r="Q12" s="54" t="str"/>
      <x:c r="R12"/>
      <x:c r="T12" s="137" t="str">
        <x:f>IF($A12="","",TRIM(MID(SUBSTITUTE(SUBSTITUTE(TRIM($I12)," ",""),",",REPT(" ",100)),1,100)))</x:f>
        <x:v>T04</x:v>
      </x:c>
      <x:c r="U12" s="137" t="str">
        <x:f>IF($A12="","",TRIM(MID(SUBSTITUTE(SUBSTITUTE(TRIM($I12)," ",""),",",REPT(" ",100)),101,100)))</x:f>
      </x:c>
      <x:c r="V12" s="137" t="str">
        <x:f>IF($A12="","",TRIM(MID(SUBSTITUTE(SUBSTITUTE(TRIM($I12)," ",""),",",REPT(" ",100)),201,100)))</x:f>
      </x:c>
      <x:c r="W12" s="137" t="str">
        <x:f>IF($A12="","",TRIM(MID(SUBSTITUTE(SUBSTITUTE(TRIM($I12)," ",""),",",REPT(" ",100)),301,100)))</x:f>
      </x:c>
      <x:c r="X12" s="137" t="str">
        <x:f>IF($A12="","",TRIM(MID(SUBSTITUTE(SUBSTITUTE(TRIM($I12)," ",""),",",REPT(" ",100)),401,100)))</x:f>
      </x:c>
      <x:c r="Y12" s="137" t="str">
        <x:f>IF($A12="","",TRIM(MID(SUBSTITUTE(SUBSTITUTE(TRIM($I12)," ",""),",",REPT(" ",100)),501,100)))</x:f>
      </x:c>
      <x:c r="Z12" s="137" t="str">
        <x:f>IF($A12="","",TRIM(MID(SUBSTITUTE(SUBSTITUTE(TRIM($I12)," ",""),",",REPT(" ",100)),601,100)))</x:f>
      </x:c>
      <x:c r="AA12" s="137" t="n">
        <x:f>IF($A12="","",IF(SUBSTITUTE(TRIM($I12)," ","")="",0,1+LEN(SUBSTITUTE(TRIM($I12)," ",""))-LEN(SUBSTITUTE(SUBSTITUTE(TRIM($I12)," ",""),",",""))))</x:f>
        <x:v>1</x:v>
      </x:c>
      <x:c r="AB12" s="137" t="n">
        <x:f>IF($A12="","",COUNTIF(TasksTable[Task ID],T12)+COUNTIF(TasksTable[Task ID],U12)+COUNTIF(TasksTable[Task ID],V12)+COUNTIF(TasksTable[Task ID],W12)+COUNTIF(TasksTable[Task ID],X12)+COUNTIF(TasksTable[Task ID],Y12)+COUNTIF(TasksTable[Task ID],Z12))</x:f>
        <x:v>1</x:v>
      </x:c>
      <x:c r="AC12" s="137" t="b">
        <x:f>IF($A12="",FALSE,OR(T12=$A12,U12=$A12,V12=$A12,W12=$A12,X12=$A12,Y12=$A12,Z12=$A12))</x:f>
        <x:v>0</x:v>
      </x:c>
      <x:c r="AD12" s="144" t="n">
        <x:f>IF(AA12=0,0,MAX(IFERROR(INDEX(TasksTable[Start Date],MATCH(T12,TasksTable[Task ID],0)),0),IFERROR(INDEX(TasksTable[Start Date],MATCH(U12,TasksTable[Task ID],0)),0),IFERROR(INDEX(TasksTable[Start Date],MATCH(V12,TasksTable[Task ID],0)),0),IFERROR(INDEX(TasksTable[Start Date],MATCH(W12,TasksTable[Task ID],0)),0),IFERROR(INDEX(TasksTable[Start Date],MATCH(X12,TasksTable[Task ID],0)),0),IFERROR(INDEX(TasksTable[Start Date],MATCH(Y12,TasksTable[Task ID],0)),0),IFERROR(INDEX(TasksTable[Start Date],MATCH(Z12,TasksTable[Task ID],0)),0)))</x:f>
        <x:v>46277</x:v>
      </x:c>
      <x:c r="AE12" s="144" t="n">
        <x:f>IF(AA12=0,0,MAX(IFERROR(INDEX(TasksTable[End Date],MATCH(T12,TasksTable[Task ID],0)),0),IFERROR(INDEX(TasksTable[End Date],MATCH(U12,TasksTable[Task ID],0)),0),IFERROR(INDEX(TasksTable[End Date],MATCH(V12,TasksTable[Task ID],0)),0),IFERROR(INDEX(TasksTable[End Date],MATCH(W12,TasksTable[Task ID],0)),0),IFERROR(INDEX(TasksTable[End Date],MATCH(X12,TasksTable[Task ID],0)),0),IFERROR(INDEX(TasksTable[End Date],MATCH(Y12,TasksTable[Task ID],0)),0),IFERROR(INDEX(TasksTable[End Date],MATCH(Z12,TasksTable[Task ID],0)),0)))</x:f>
        <x:v>46279</x:v>
      </x:c>
      <x:c r="AF12" s="137" t="b">
        <x:f>IF(OR($A12="",AA12=0),FALSE,SWITCH($J12,"FS",$F12&lt;AE12,"SS",$F12&lt;AD12,"FF",$G12&lt;AE12,"SF",$G12&lt;AD12,TRUE))</x:f>
        <x:v>0</x:v>
      </x:c>
      <x:c r="AG12" s="137" t="n">
        <x:f>IF(AND($A12&lt;&gt;"",$K12="No",$N12&lt;&gt;"Completed",$F12&gt;=TODAY()),$F12+ROW()/100000,"")</x:f>
        <x:v>46279.00012</x:v>
      </x:c>
      <x:c r="AH12" s="137" t="str">
        <x:f>IF(AND($A12&lt;&gt;"",$K12="Yes",$N12&lt;&gt;"Completed",$F12&gt;=TODAY()),$F12+ROW()/100000,"")</x:f>
      </x:c>
      <x:c r="AI12" s="137" t="str">
        <x:f>IF(AND($A12&lt;&gt;"",$K12="No",$N12&lt;&gt;"Completed",$G12&gt;=TODAY(),$G12&lt;=TODAY()+3),$G12+ROW()/100000,"")</x:f>
      </x:c>
      <x:c r="AJ12" s="137" t="str">
        <x:f>IF(AND($A12&lt;&gt;"",$K12="No",OR($N12="Delayed",$P12="Dependency conflict")),$G12+ROW()/100000,"")</x:f>
      </x:c>
      <x:c r="AK12" s="137" t="n">
        <x:f>IF(AG12="","",COUNTIFS($AG$7:$AG$206,"&gt;0",$AG$7:$AG$206,"&lt;"&amp;AG12)+1)</x:f>
        <x:v>5</x:v>
      </x:c>
      <x:c r="AL12" s="137" t="str">
        <x:f>IF(AH12="","",COUNTIFS($AH$7:$AH$206,"&gt;0",$AH$7:$AH$206,"&lt;"&amp;AH12)+1)</x:f>
      </x:c>
      <x:c r="AM12" s="137" t="str">
        <x:f>IF(AI12="","",COUNTIFS($AI$7:$AI$206,"&gt;0",$AI$7:$AI$206,"&lt;"&amp;AI12)+1)</x:f>
      </x:c>
      <x:c r="AN12" s="137" t="str">
        <x:f>IF(AJ12="","",COUNTIFS($AJ$7:$AJ$206,"&gt;0",$AJ$7:$AJ$206,"&lt;"&amp;AJ12)+1)</x:f>
      </x:c>
    </x:row>
    <x:row r="13" ht="38" customHeight="1">
      <x:c r="A13" s="52" t="str">
        <x:v>T06</x:v>
      </x:c>
      <x:c r="B13" s="54" t="str">
        <x:v>M2 · Governed Data Plane &amp; Central Storage Integration (Model A)</x:v>
      </x:c>
      <x:c r="C13" s="54" t="str">
        <x:v>Connect Headless CMS content models and staging layout schemas</x:v>
      </x:c>
      <x:c r="D13" s="54" t="str">
        <x:v>State ledger schemas must precede database tables, CMS models, and memory namespaces.</x:v>
      </x:c>
      <x:c r="E13" s="54" t="str">
        <x:v>[INFERRED] Connected CMS content models and staging layout schemas</x:v>
      </x:c>
      <x:c r="F13" s="56" t="n">
        <x:v>46279</x:v>
      </x:c>
      <x:c r="G13" s="56" t="n">
        <x:v>46281</x:v>
      </x:c>
      <x:c r="H13" s="60" t="n">
        <x:f>IF(OR(F13="",G13=""),"",G13-F13+1)</x:f>
        <x:v>3</x:v>
      </x:c>
      <x:c r="I13" s="54" t="str">
        <x:v>T04</x:v>
      </x:c>
      <x:c r="J13" s="54" t="str">
        <x:v>FS</x:v>
      </x:c>
      <x:c r="K13" s="54" t="str">
        <x:v>No</x:v>
      </x:c>
      <x:c r="L13" s="54" t="str">
        <x:v>Headless CMS &amp; Web Store (CMS)</x:v>
      </x:c>
      <x:c r="M13" s="54" t="str"/>
      <x:c r="N13" s="54" t="str">
        <x:f>IF(O13=0,"Not Started",IF(O13=1,"Completed","In Progress"))</x:f>
        <x:v>Not Started</x:v>
      </x:c>
      <x:c r="O13" s="58" t="n">
        <x:v>0</x:v>
      </x:c>
      <x:c r="P13" s="62" t="str">
        <x:f>IF(A13="","",IF(COUNTIF(TasksTable[Task ID],A13)&gt;1,"Duplicate Task ID",IF(OR(F13="",G13=""),"Missing dates",IF(G13&lt;F13,"Invalid dates",IF(OR(F13&lt;$B$2,G13&gt;$D$2),"Outside window",IF(AA13=0,IF(N13="Delayed","Delayed",IF(N13="On Hold","On Hold","On Track")),IF(J13="","Missing dependency type",IF(AC13,"Dependency cycle",IF(AB13&lt;&gt;AA13,"Invalid predecessor",IF(AF13,"Dependency conflict",IF(N13="Delayed","Delayed",IF(N13="On Hold","On Hold","On Track"))))))))))))</x:f>
        <x:v>On Track</x:v>
      </x:c>
      <x:c r="Q13" s="54" t="str"/>
      <x:c r="R13"/>
      <x:c r="T13" s="137" t="str">
        <x:f>IF($A13="","",TRIM(MID(SUBSTITUTE(SUBSTITUTE(TRIM($I13)," ",""),",",REPT(" ",100)),1,100)))</x:f>
        <x:v>T04</x:v>
      </x:c>
      <x:c r="U13" s="137" t="str">
        <x:f>IF($A13="","",TRIM(MID(SUBSTITUTE(SUBSTITUTE(TRIM($I13)," ",""),",",REPT(" ",100)),101,100)))</x:f>
      </x:c>
      <x:c r="V13" s="137" t="str">
        <x:f>IF($A13="","",TRIM(MID(SUBSTITUTE(SUBSTITUTE(TRIM($I13)," ",""),",",REPT(" ",100)),201,100)))</x:f>
      </x:c>
      <x:c r="W13" s="137" t="str">
        <x:f>IF($A13="","",TRIM(MID(SUBSTITUTE(SUBSTITUTE(TRIM($I13)," ",""),",",REPT(" ",100)),301,100)))</x:f>
      </x:c>
      <x:c r="X13" s="137" t="str">
        <x:f>IF($A13="","",TRIM(MID(SUBSTITUTE(SUBSTITUTE(TRIM($I13)," ",""),",",REPT(" ",100)),401,100)))</x:f>
      </x:c>
      <x:c r="Y13" s="137" t="str">
        <x:f>IF($A13="","",TRIM(MID(SUBSTITUTE(SUBSTITUTE(TRIM($I13)," ",""),",",REPT(" ",100)),501,100)))</x:f>
      </x:c>
      <x:c r="Z13" s="137" t="str">
        <x:f>IF($A13="","",TRIM(MID(SUBSTITUTE(SUBSTITUTE(TRIM($I13)," ",""),",",REPT(" ",100)),601,100)))</x:f>
      </x:c>
      <x:c r="AA13" s="137" t="n">
        <x:f>IF($A13="","",IF(SUBSTITUTE(TRIM($I13)," ","")="",0,1+LEN(SUBSTITUTE(TRIM($I13)," ",""))-LEN(SUBSTITUTE(SUBSTITUTE(TRIM($I13)," ",""),",",""))))</x:f>
        <x:v>1</x:v>
      </x:c>
      <x:c r="AB13" s="137" t="n">
        <x:f>IF($A13="","",COUNTIF(TasksTable[Task ID],T13)+COUNTIF(TasksTable[Task ID],U13)+COUNTIF(TasksTable[Task ID],V13)+COUNTIF(TasksTable[Task ID],W13)+COUNTIF(TasksTable[Task ID],X13)+COUNTIF(TasksTable[Task ID],Y13)+COUNTIF(TasksTable[Task ID],Z13))</x:f>
        <x:v>1</x:v>
      </x:c>
      <x:c r="AC13" s="137" t="b">
        <x:f>IF($A13="",FALSE,OR(T13=$A13,U13=$A13,V13=$A13,W13=$A13,X13=$A13,Y13=$A13,Z13=$A13))</x:f>
        <x:v>0</x:v>
      </x:c>
      <x:c r="AD13" s="144" t="n">
        <x:f>IF(AA13=0,0,MAX(IFERROR(INDEX(TasksTable[Start Date],MATCH(T13,TasksTable[Task ID],0)),0),IFERROR(INDEX(TasksTable[Start Date],MATCH(U13,TasksTable[Task ID],0)),0),IFERROR(INDEX(TasksTable[Start Date],MATCH(V13,TasksTable[Task ID],0)),0),IFERROR(INDEX(TasksTable[Start Date],MATCH(W13,TasksTable[Task ID],0)),0),IFERROR(INDEX(TasksTable[Start Date],MATCH(X13,TasksTable[Task ID],0)),0),IFERROR(INDEX(TasksTable[Start Date],MATCH(Y13,TasksTable[Task ID],0)),0),IFERROR(INDEX(TasksTable[Start Date],MATCH(Z13,TasksTable[Task ID],0)),0)))</x:f>
        <x:v>46277</x:v>
      </x:c>
      <x:c r="AE13" s="144" t="n">
        <x:f>IF(AA13=0,0,MAX(IFERROR(INDEX(TasksTable[End Date],MATCH(T13,TasksTable[Task ID],0)),0),IFERROR(INDEX(TasksTable[End Date],MATCH(U13,TasksTable[Task ID],0)),0),IFERROR(INDEX(TasksTable[End Date],MATCH(V13,TasksTable[Task ID],0)),0),IFERROR(INDEX(TasksTable[End Date],MATCH(W13,TasksTable[Task ID],0)),0),IFERROR(INDEX(TasksTable[End Date],MATCH(X13,TasksTable[Task ID],0)),0),IFERROR(INDEX(TasksTable[End Date],MATCH(Y13,TasksTable[Task ID],0)),0),IFERROR(INDEX(TasksTable[End Date],MATCH(Z13,TasksTable[Task ID],0)),0)))</x:f>
        <x:v>46279</x:v>
      </x:c>
      <x:c r="AF13" s="137" t="b">
        <x:f>IF(OR($A13="",AA13=0),FALSE,SWITCH($J13,"FS",$F13&lt;AE13,"SS",$F13&lt;AD13,"FF",$G13&lt;AE13,"SF",$G13&lt;AD13,TRUE))</x:f>
        <x:v>0</x:v>
      </x:c>
      <x:c r="AG13" s="137" t="n">
        <x:f>IF(AND($A13&lt;&gt;"",$K13="No",$N13&lt;&gt;"Completed",$F13&gt;=TODAY()),$F13+ROW()/100000,"")</x:f>
        <x:v>46279.00013</x:v>
      </x:c>
      <x:c r="AH13" s="137" t="str">
        <x:f>IF(AND($A13&lt;&gt;"",$K13="Yes",$N13&lt;&gt;"Completed",$F13&gt;=TODAY()),$F13+ROW()/100000,"")</x:f>
      </x:c>
      <x:c r="AI13" s="137" t="str">
        <x:f>IF(AND($A13&lt;&gt;"",$K13="No",$N13&lt;&gt;"Completed",$G13&gt;=TODAY(),$G13&lt;=TODAY()+3),$G13+ROW()/100000,"")</x:f>
      </x:c>
      <x:c r="AJ13" s="137" t="str">
        <x:f>IF(AND($A13&lt;&gt;"",$K13="No",OR($N13="Delayed",$P13="Dependency conflict")),$G13+ROW()/100000,"")</x:f>
      </x:c>
      <x:c r="AK13" s="137" t="n">
        <x:f>IF(AG13="","",COUNTIFS($AG$7:$AG$206,"&gt;0",$AG$7:$AG$206,"&lt;"&amp;AG13)+1)</x:f>
        <x:v>6</x:v>
      </x:c>
      <x:c r="AL13" s="137" t="str">
        <x:f>IF(AH13="","",COUNTIFS($AH$7:$AH$206,"&gt;0",$AH$7:$AH$206,"&lt;"&amp;AH13)+1)</x:f>
      </x:c>
      <x:c r="AM13" s="137" t="str">
        <x:f>IF(AI13="","",COUNTIFS($AI$7:$AI$206,"&gt;0",$AI$7:$AI$206,"&lt;"&amp;AI13)+1)</x:f>
      </x:c>
      <x:c r="AN13" s="137" t="str">
        <x:f>IF(AJ13="","",COUNTIFS($AJ$7:$AJ$206,"&gt;0",$AJ$7:$AJ$206,"&lt;"&amp;AJ13)+1)</x:f>
      </x:c>
    </x:row>
    <x:row r="14" ht="38" customHeight="1">
      <x:c r="A14" s="52" t="str">
        <x:v>T07</x:v>
      </x:c>
      <x:c r="B14" s="54" t="str">
        <x:v>M2 · Governed Data Plane &amp; Central Storage Integration (Model A)</x:v>
      </x:c>
      <x:c r="C14" s="54" t="str">
        <x:v>Instantiate Institutional Memory Store (MEM) for brand heuristics &amp; rules</x:v>
      </x:c>
      <x:c r="D14" s="54" t="str">
        <x:v>State ledger schemas must precede database tables, CMS models, and memory namespaces.</x:v>
      </x:c>
      <x:c r="E14" s="54" t="str">
        <x:v>[INFERRED] Institutional memory namespaces for brand heuristics and rules</x:v>
      </x:c>
      <x:c r="F14" s="56" t="n">
        <x:v>46279</x:v>
      </x:c>
      <x:c r="G14" s="56" t="n">
        <x:v>46281</x:v>
      </x:c>
      <x:c r="H14" s="60" t="n">
        <x:f>IF(OR(F14="",G14=""),"",G14-F14+1)</x:f>
        <x:v>3</x:v>
      </x:c>
      <x:c r="I14" s="54" t="str">
        <x:v>T04</x:v>
      </x:c>
      <x:c r="J14" s="54" t="str">
        <x:v>FS</x:v>
      </x:c>
      <x:c r="K14" s="54" t="str">
        <x:v>No</x:v>
      </x:c>
      <x:c r="L14" s="54" t="str">
        <x:v>Institutional Memory Store (MEM)</x:v>
      </x:c>
      <x:c r="M14" s="54" t="str"/>
      <x:c r="N14" s="54" t="str">
        <x:f>IF(O14=0,"Not Started",IF(O14=1,"Completed","In Progress"))</x:f>
        <x:v>Not Started</x:v>
      </x:c>
      <x:c r="O14" s="58" t="n">
        <x:v>0</x:v>
      </x:c>
      <x:c r="P14" s="62" t="str">
        <x:f>IF(A14="","",IF(COUNTIF(TasksTable[Task ID],A14)&gt;1,"Duplicate Task ID",IF(OR(F14="",G14=""),"Missing dates",IF(G14&lt;F14,"Invalid dates",IF(OR(F14&lt;$B$2,G14&gt;$D$2),"Outside window",IF(AA14=0,IF(N14="Delayed","Delayed",IF(N14="On Hold","On Hold","On Track")),IF(J14="","Missing dependency type",IF(AC14,"Dependency cycle",IF(AB14&lt;&gt;AA14,"Invalid predecessor",IF(AF14,"Dependency conflict",IF(N14="Delayed","Delayed",IF(N14="On Hold","On Hold","On Track"))))))))))))</x:f>
        <x:v>On Track</x:v>
      </x:c>
      <x:c r="Q14" s="54" t="str"/>
      <x:c r="R14"/>
      <x:c r="T14" s="137" t="str">
        <x:f>IF($A14="","",TRIM(MID(SUBSTITUTE(SUBSTITUTE(TRIM($I14)," ",""),",",REPT(" ",100)),1,100)))</x:f>
        <x:v>T04</x:v>
      </x:c>
      <x:c r="U14" s="137" t="str">
        <x:f>IF($A14="","",TRIM(MID(SUBSTITUTE(SUBSTITUTE(TRIM($I14)," ",""),",",REPT(" ",100)),101,100)))</x:f>
      </x:c>
      <x:c r="V14" s="137" t="str">
        <x:f>IF($A14="","",TRIM(MID(SUBSTITUTE(SUBSTITUTE(TRIM($I14)," ",""),",",REPT(" ",100)),201,100)))</x:f>
      </x:c>
      <x:c r="W14" s="137" t="str">
        <x:f>IF($A14="","",TRIM(MID(SUBSTITUTE(SUBSTITUTE(TRIM($I14)," ",""),",",REPT(" ",100)),301,100)))</x:f>
      </x:c>
      <x:c r="X14" s="137" t="str">
        <x:f>IF($A14="","",TRIM(MID(SUBSTITUTE(SUBSTITUTE(TRIM($I14)," ",""),",",REPT(" ",100)),401,100)))</x:f>
      </x:c>
      <x:c r="Y14" s="137" t="str">
        <x:f>IF($A14="","",TRIM(MID(SUBSTITUTE(SUBSTITUTE(TRIM($I14)," ",""),",",REPT(" ",100)),501,100)))</x:f>
      </x:c>
      <x:c r="Z14" s="137" t="str">
        <x:f>IF($A14="","",TRIM(MID(SUBSTITUTE(SUBSTITUTE(TRIM($I14)," ",""),",",REPT(" ",100)),601,100)))</x:f>
      </x:c>
      <x:c r="AA14" s="137" t="n">
        <x:f>IF($A14="","",IF(SUBSTITUTE(TRIM($I14)," ","")="",0,1+LEN(SUBSTITUTE(TRIM($I14)," ",""))-LEN(SUBSTITUTE(SUBSTITUTE(TRIM($I14)," ",""),",",""))))</x:f>
        <x:v>1</x:v>
      </x:c>
      <x:c r="AB14" s="137" t="n">
        <x:f>IF($A14="","",COUNTIF(TasksTable[Task ID],T14)+COUNTIF(TasksTable[Task ID],U14)+COUNTIF(TasksTable[Task ID],V14)+COUNTIF(TasksTable[Task ID],W14)+COUNTIF(TasksTable[Task ID],X14)+COUNTIF(TasksTable[Task ID],Y14)+COUNTIF(TasksTable[Task ID],Z14))</x:f>
        <x:v>1</x:v>
      </x:c>
      <x:c r="AC14" s="137" t="b">
        <x:f>IF($A14="",FALSE,OR(T14=$A14,U14=$A14,V14=$A14,W14=$A14,X14=$A14,Y14=$A14,Z14=$A14))</x:f>
        <x:v>0</x:v>
      </x:c>
      <x:c r="AD14" s="144" t="n">
        <x:f>IF(AA14=0,0,MAX(IFERROR(INDEX(TasksTable[Start Date],MATCH(T14,TasksTable[Task ID],0)),0),IFERROR(INDEX(TasksTable[Start Date],MATCH(U14,TasksTable[Task ID],0)),0),IFERROR(INDEX(TasksTable[Start Date],MATCH(V14,TasksTable[Task ID],0)),0),IFERROR(INDEX(TasksTable[Start Date],MATCH(W14,TasksTable[Task ID],0)),0),IFERROR(INDEX(TasksTable[Start Date],MATCH(X14,TasksTable[Task ID],0)),0),IFERROR(INDEX(TasksTable[Start Date],MATCH(Y14,TasksTable[Task ID],0)),0),IFERROR(INDEX(TasksTable[Start Date],MATCH(Z14,TasksTable[Task ID],0)),0)))</x:f>
        <x:v>46277</x:v>
      </x:c>
      <x:c r="AE14" s="144" t="n">
        <x:f>IF(AA14=0,0,MAX(IFERROR(INDEX(TasksTable[End Date],MATCH(T14,TasksTable[Task ID],0)),0),IFERROR(INDEX(TasksTable[End Date],MATCH(U14,TasksTable[Task ID],0)),0),IFERROR(INDEX(TasksTable[End Date],MATCH(V14,TasksTable[Task ID],0)),0),IFERROR(INDEX(TasksTable[End Date],MATCH(W14,TasksTable[Task ID],0)),0),IFERROR(INDEX(TasksTable[End Date],MATCH(X14,TasksTable[Task ID],0)),0),IFERROR(INDEX(TasksTable[End Date],MATCH(Y14,TasksTable[Task ID],0)),0),IFERROR(INDEX(TasksTable[End Date],MATCH(Z14,TasksTable[Task ID],0)),0)))</x:f>
        <x:v>46279</x:v>
      </x:c>
      <x:c r="AF14" s="137" t="b">
        <x:f>IF(OR($A14="",AA14=0),FALSE,SWITCH($J14,"FS",$F14&lt;AE14,"SS",$F14&lt;AD14,"FF",$G14&lt;AE14,"SF",$G14&lt;AD14,TRUE))</x:f>
        <x:v>0</x:v>
      </x:c>
      <x:c r="AG14" s="137" t="n">
        <x:f>IF(AND($A14&lt;&gt;"",$K14="No",$N14&lt;&gt;"Completed",$F14&gt;=TODAY()),$F14+ROW()/100000,"")</x:f>
        <x:v>46279.00014</x:v>
      </x:c>
      <x:c r="AH14" s="137" t="str">
        <x:f>IF(AND($A14&lt;&gt;"",$K14="Yes",$N14&lt;&gt;"Completed",$F14&gt;=TODAY()),$F14+ROW()/100000,"")</x:f>
      </x:c>
      <x:c r="AI14" s="137" t="str">
        <x:f>IF(AND($A14&lt;&gt;"",$K14="No",$N14&lt;&gt;"Completed",$G14&gt;=TODAY(),$G14&lt;=TODAY()+3),$G14+ROW()/100000,"")</x:f>
      </x:c>
      <x:c r="AJ14" s="137" t="str">
        <x:f>IF(AND($A14&lt;&gt;"",$K14="No",OR($N14="Delayed",$P14="Dependency conflict")),$G14+ROW()/100000,"")</x:f>
      </x:c>
      <x:c r="AK14" s="137" t="n">
        <x:f>IF(AG14="","",COUNTIFS($AG$7:$AG$206,"&gt;0",$AG$7:$AG$206,"&lt;"&amp;AG14)+1)</x:f>
        <x:v>7</x:v>
      </x:c>
      <x:c r="AL14" s="137" t="str">
        <x:f>IF(AH14="","",COUNTIFS($AH$7:$AH$206,"&gt;0",$AH$7:$AH$206,"&lt;"&amp;AH14)+1)</x:f>
      </x:c>
      <x:c r="AM14" s="137" t="str">
        <x:f>IF(AI14="","",COUNTIFS($AI$7:$AI$206,"&gt;0",$AI$7:$AI$206,"&lt;"&amp;AI14)+1)</x:f>
      </x:c>
      <x:c r="AN14" s="137" t="str">
        <x:f>IF(AJ14="","",COUNTIFS($AJ$7:$AJ$206,"&gt;0",$AJ$7:$AJ$206,"&lt;"&amp;AJ14)+1)</x:f>
      </x:c>
    </x:row>
    <x:row r="15" ht="38" customHeight="1">
      <x:c r="A15" s="52" t="str">
        <x:v>T08</x:v>
      </x:c>
      <x:c r="B15" s="54" t="str">
        <x:v>M2 · Governed Data Plane &amp; Central Storage Integration (Model A)</x:v>
      </x:c>
      <x:c r="C15" s="54" t="str">
        <x:v>Configure Artifact &amp; Evidence Registry (ART) for UUID/hash deliverables</x:v>
      </x:c>
      <x:c r="D15" s="54" t="str">
        <x:v>Immutable blob storage; stores deliverables, code diffs, and evidence dossiers by UUID/SHA-256.</x:v>
      </x:c>
      <x:c r="E15" s="54" t="str">
        <x:v>[INFERRED] UUID/hash-based artifact and evidence registry configuration</x:v>
      </x:c>
      <x:c r="F15" s="56" t="n">
        <x:v>46281</x:v>
      </x:c>
      <x:c r="G15" s="56" t="n">
        <x:v>46283</x:v>
      </x:c>
      <x:c r="H15" s="60" t="n">
        <x:f>IF(OR(F15="",G15=""),"",G15-F15+1)</x:f>
        <x:v>3</x:v>
      </x:c>
      <x:c r="I15" s="54" t="str">
        <x:v>T05</x:v>
      </x:c>
      <x:c r="J15" s="54" t="str">
        <x:v>FS</x:v>
      </x:c>
      <x:c r="K15" s="54" t="str">
        <x:v>No</x:v>
      </x:c>
      <x:c r="L15" s="54" t="str">
        <x:v>Artifact &amp; Evidence Registry (ART)</x:v>
      </x:c>
      <x:c r="M15" s="54" t="str"/>
      <x:c r="N15" s="54" t="str">
        <x:f>IF(O15=0,"Not Started",IF(O15=1,"Completed","In Progress"))</x:f>
        <x:v>Not Started</x:v>
      </x:c>
      <x:c r="O15" s="58" t="n">
        <x:v>0</x:v>
      </x:c>
      <x:c r="P15" s="62" t="str">
        <x:f>IF(A15="","",IF(COUNTIF(TasksTable[Task ID],A15)&gt;1,"Duplicate Task ID",IF(OR(F15="",G15=""),"Missing dates",IF(G15&lt;F15,"Invalid dates",IF(OR(F15&lt;$B$2,G15&gt;$D$2),"Outside window",IF(AA15=0,IF(N15="Delayed","Delayed",IF(N15="On Hold","On Hold","On Track")),IF(J15="","Missing dependency type",IF(AC15,"Dependency cycle",IF(AB15&lt;&gt;AA15,"Invalid predecessor",IF(AF15,"Dependency conflict",IF(N15="Delayed","Delayed",IF(N15="On Hold","On Hold","On Track"))))))))))))</x:f>
        <x:v>On Track</x:v>
      </x:c>
      <x:c r="Q15" s="54" t="str">
        <x:v>[INFERRED] Dependency type defaults to FS because the source lists predecessor T05 but omits T08 from the dependency-type detail table.</x:v>
      </x:c>
      <x:c r="T15" s="137" t="str">
        <x:f>IF($A15="","",TRIM(MID(SUBSTITUTE(SUBSTITUTE(TRIM($I15)," ",""),",",REPT(" ",100)),1,100)))</x:f>
        <x:v>T05</x:v>
      </x:c>
      <x:c r="U15" s="137" t="str">
        <x:f>IF($A15="","",TRIM(MID(SUBSTITUTE(SUBSTITUTE(TRIM($I15)," ",""),",",REPT(" ",100)),101,100)))</x:f>
      </x:c>
      <x:c r="V15" s="137" t="str">
        <x:f>IF($A15="","",TRIM(MID(SUBSTITUTE(SUBSTITUTE(TRIM($I15)," ",""),",",REPT(" ",100)),201,100)))</x:f>
      </x:c>
      <x:c r="W15" s="137" t="str">
        <x:f>IF($A15="","",TRIM(MID(SUBSTITUTE(SUBSTITUTE(TRIM($I15)," ",""),",",REPT(" ",100)),301,100)))</x:f>
      </x:c>
      <x:c r="X15" s="137" t="str">
        <x:f>IF($A15="","",TRIM(MID(SUBSTITUTE(SUBSTITUTE(TRIM($I15)," ",""),",",REPT(" ",100)),401,100)))</x:f>
      </x:c>
      <x:c r="Y15" s="137" t="str">
        <x:f>IF($A15="","",TRIM(MID(SUBSTITUTE(SUBSTITUTE(TRIM($I15)," ",""),",",REPT(" ",100)),501,100)))</x:f>
      </x:c>
      <x:c r="Z15" s="137" t="str">
        <x:f>IF($A15="","",TRIM(MID(SUBSTITUTE(SUBSTITUTE(TRIM($I15)," ",""),",",REPT(" ",100)),601,100)))</x:f>
      </x:c>
      <x:c r="AA15" s="137" t="n">
        <x:f>IF($A15="","",IF(SUBSTITUTE(TRIM($I15)," ","")="",0,1+LEN(SUBSTITUTE(TRIM($I15)," ",""))-LEN(SUBSTITUTE(SUBSTITUTE(TRIM($I15)," ",""),",",""))))</x:f>
        <x:v>1</x:v>
      </x:c>
      <x:c r="AB15" s="137" t="n">
        <x:f>IF($A15="","",COUNTIF(TasksTable[Task ID],T15)+COUNTIF(TasksTable[Task ID],U15)+COUNTIF(TasksTable[Task ID],V15)+COUNTIF(TasksTable[Task ID],W15)+COUNTIF(TasksTable[Task ID],X15)+COUNTIF(TasksTable[Task ID],Y15)+COUNTIF(TasksTable[Task ID],Z15))</x:f>
        <x:v>1</x:v>
      </x:c>
      <x:c r="AC15" s="137" t="b">
        <x:f>IF($A15="",FALSE,OR(T15=$A15,U15=$A15,V15=$A15,W15=$A15,X15=$A15,Y15=$A15,Z15=$A15))</x:f>
        <x:v>0</x:v>
      </x:c>
      <x:c r="AD15" s="144" t="n">
        <x:f>IF(AA15=0,0,MAX(IFERROR(INDEX(TasksTable[Start Date],MATCH(T15,TasksTable[Task ID],0)),0),IFERROR(INDEX(TasksTable[Start Date],MATCH(U15,TasksTable[Task ID],0)),0),IFERROR(INDEX(TasksTable[Start Date],MATCH(V15,TasksTable[Task ID],0)),0),IFERROR(INDEX(TasksTable[Start Date],MATCH(W15,TasksTable[Task ID],0)),0),IFERROR(INDEX(TasksTable[Start Date],MATCH(X15,TasksTable[Task ID],0)),0),IFERROR(INDEX(TasksTable[Start Date],MATCH(Y15,TasksTable[Task ID],0)),0),IFERROR(INDEX(TasksTable[Start Date],MATCH(Z15,TasksTable[Task ID],0)),0)))</x:f>
        <x:v>46279</x:v>
      </x:c>
      <x:c r="AE15" s="144" t="n">
        <x:f>IF(AA15=0,0,MAX(IFERROR(INDEX(TasksTable[End Date],MATCH(T15,TasksTable[Task ID],0)),0),IFERROR(INDEX(TasksTable[End Date],MATCH(U15,TasksTable[Task ID],0)),0),IFERROR(INDEX(TasksTable[End Date],MATCH(V15,TasksTable[Task ID],0)),0),IFERROR(INDEX(TasksTable[End Date],MATCH(W15,TasksTable[Task ID],0)),0),IFERROR(INDEX(TasksTable[End Date],MATCH(X15,TasksTable[Task ID],0)),0),IFERROR(INDEX(TasksTable[End Date],MATCH(Y15,TasksTable[Task ID],0)),0),IFERROR(INDEX(TasksTable[End Date],MATCH(Z15,TasksTable[Task ID],0)),0)))</x:f>
        <x:v>46281</x:v>
      </x:c>
      <x:c r="AF15" s="137" t="b">
        <x:f>IF(OR($A15="",AA15=0),FALSE,SWITCH($J15,"FS",$F15&lt;AE15,"SS",$F15&lt;AD15,"FF",$G15&lt;AE15,"SF",$G15&lt;AD15,TRUE))</x:f>
        <x:v>0</x:v>
      </x:c>
      <x:c r="AG15" s="137" t="n">
        <x:f>IF(AND($A15&lt;&gt;"",$K15="No",$N15&lt;&gt;"Completed",$F15&gt;=TODAY()),$F15+ROW()/100000,"")</x:f>
        <x:v>46281.00015</x:v>
      </x:c>
      <x:c r="AH15" s="137" t="str">
        <x:f>IF(AND($A15&lt;&gt;"",$K15="Yes",$N15&lt;&gt;"Completed",$F15&gt;=TODAY()),$F15+ROW()/100000,"")</x:f>
      </x:c>
      <x:c r="AI15" s="137" t="str">
        <x:f>IF(AND($A15&lt;&gt;"",$K15="No",$N15&lt;&gt;"Completed",$G15&gt;=TODAY(),$G15&lt;=TODAY()+3),$G15+ROW()/100000,"")</x:f>
      </x:c>
      <x:c r="AJ15" s="137" t="str">
        <x:f>IF(AND($A15&lt;&gt;"",$K15="No",OR($N15="Delayed",$P15="Dependency conflict")),$G15+ROW()/100000,"")</x:f>
      </x:c>
      <x:c r="AK15" s="137" t="n">
        <x:f>IF(AG15="","",COUNTIFS($AG$7:$AG$206,"&gt;0",$AG$7:$AG$206,"&lt;"&amp;AG15)+1)</x:f>
        <x:v>8</x:v>
      </x:c>
      <x:c r="AL15" s="137" t="str">
        <x:f>IF(AH15="","",COUNTIFS($AH$7:$AH$206,"&gt;0",$AH$7:$AH$206,"&lt;"&amp;AH15)+1)</x:f>
      </x:c>
      <x:c r="AM15" s="137" t="str">
        <x:f>IF(AI15="","",COUNTIFS($AI$7:$AI$206,"&gt;0",$AI$7:$AI$206,"&lt;"&amp;AI15)+1)</x:f>
      </x:c>
      <x:c r="AN15" s="137" t="str">
        <x:f>IF(AJ15="","",COUNTIFS($AJ$7:$AJ$206,"&gt;0",$AJ$7:$AJ$206,"&lt;"&amp;AJ15)+1)</x:f>
      </x:c>
    </x:row>
    <x:row r="16" ht="38" customHeight="1">
      <x:c r="A16" s="52" t="str">
        <x:v>T09</x:v>
      </x:c>
      <x:c r="B16" s="54" t="str">
        <x:v>M2 · Governed Data Plane &amp; Central Storage Integration (Model A)</x:v>
      </x:c>
      <x:c r="C16" s="54" t="str">
        <x:v>Deploy Governed MCP Data Boundary CRUD gateways &amp; connection pools</x:v>
      </x:c>
      <x:c r="D16" s="54" t="str">
        <x:v>Physical data stores must be provisioned before MCP Data Gateway establishes CRUD adapters.</x:v>
      </x:c>
      <x:c r="E16" s="54" t="str">
        <x:v>[INFERRED] Governed CRUD gateways and database connection pools</x:v>
      </x:c>
      <x:c r="F16" s="56" t="n">
        <x:v>46281</x:v>
      </x:c>
      <x:c r="G16" s="56" t="n">
        <x:v>46283</x:v>
      </x:c>
      <x:c r="H16" s="60" t="n">
        <x:f>IF(OR(F16="",G16=""),"",G16-F16+1)</x:f>
        <x:v>3</x:v>
      </x:c>
      <x:c r="I16" s="54" t="str">
        <x:v>T05, T06, T07</x:v>
      </x:c>
      <x:c r="J16" s="54" t="str">
        <x:v>FS</x:v>
      </x:c>
      <x:c r="K16" s="54" t="str">
        <x:v>No</x:v>
      </x:c>
      <x:c r="L16" s="54" t="str">
        <x:v>Governed MCP Data Boundary</x:v>
      </x:c>
      <x:c r="M16" s="54" t="str"/>
      <x:c r="N16" s="54" t="str">
        <x:f>IF(O16=0,"Not Started",IF(O16=1,"Completed","In Progress"))</x:f>
        <x:v>Not Started</x:v>
      </x:c>
      <x:c r="O16" s="58" t="n">
        <x:v>0</x:v>
      </x:c>
      <x:c r="P16" s="62" t="str">
        <x:f>IF(A16="","",IF(COUNTIF(TasksTable[Task ID],A16)&gt;1,"Duplicate Task ID",IF(OR(F16="",G16=""),"Missing dates",IF(G16&lt;F16,"Invalid dates",IF(OR(F16&lt;$B$2,G16&gt;$D$2),"Outside window",IF(AA16=0,IF(N16="Delayed","Delayed",IF(N16="On Hold","On Hold","On Track")),IF(J16="","Missing dependency type",IF(AC16,"Dependency cycle",IF(AB16&lt;&gt;AA16,"Invalid predecessor",IF(AF16,"Dependency conflict",IF(N16="Delayed","Delayed",IF(N16="On Hold","On Hold","On Track"))))))))))))</x:f>
        <x:v>On Track</x:v>
      </x:c>
      <x:c r="Q16" s="54" t="str"/>
      <x:c r="R16"/>
      <x:c r="T16" s="137" t="str">
        <x:f>IF($A16="","",TRIM(MID(SUBSTITUTE(SUBSTITUTE(TRIM($I16)," ",""),",",REPT(" ",100)),1,100)))</x:f>
        <x:v>T05</x:v>
      </x:c>
      <x:c r="U16" s="137" t="str">
        <x:f>IF($A16="","",TRIM(MID(SUBSTITUTE(SUBSTITUTE(TRIM($I16)," ",""),",",REPT(" ",100)),101,100)))</x:f>
        <x:v>T06</x:v>
      </x:c>
      <x:c r="V16" s="137" t="str">
        <x:f>IF($A16="","",TRIM(MID(SUBSTITUTE(SUBSTITUTE(TRIM($I16)," ",""),",",REPT(" ",100)),201,100)))</x:f>
        <x:v>T07</x:v>
      </x:c>
      <x:c r="W16" s="137" t="str">
        <x:f>IF($A16="","",TRIM(MID(SUBSTITUTE(SUBSTITUTE(TRIM($I16)," ",""),",",REPT(" ",100)),301,100)))</x:f>
      </x:c>
      <x:c r="X16" s="137" t="str">
        <x:f>IF($A16="","",TRIM(MID(SUBSTITUTE(SUBSTITUTE(TRIM($I16)," ",""),",",REPT(" ",100)),401,100)))</x:f>
      </x:c>
      <x:c r="Y16" s="137" t="str">
        <x:f>IF($A16="","",TRIM(MID(SUBSTITUTE(SUBSTITUTE(TRIM($I16)," ",""),",",REPT(" ",100)),501,100)))</x:f>
      </x:c>
      <x:c r="Z16" s="137" t="str">
        <x:f>IF($A16="","",TRIM(MID(SUBSTITUTE(SUBSTITUTE(TRIM($I16)," ",""),",",REPT(" ",100)),601,100)))</x:f>
      </x:c>
      <x:c r="AA16" s="137" t="n">
        <x:f>IF($A16="","",IF(SUBSTITUTE(TRIM($I16)," ","")="",0,1+LEN(SUBSTITUTE(TRIM($I16)," ",""))-LEN(SUBSTITUTE(SUBSTITUTE(TRIM($I16)," ",""),",",""))))</x:f>
        <x:v>3</x:v>
      </x:c>
      <x:c r="AB16" s="137" t="n">
        <x:f>IF($A16="","",COUNTIF(TasksTable[Task ID],T16)+COUNTIF(TasksTable[Task ID],U16)+COUNTIF(TasksTable[Task ID],V16)+COUNTIF(TasksTable[Task ID],W16)+COUNTIF(TasksTable[Task ID],X16)+COUNTIF(TasksTable[Task ID],Y16)+COUNTIF(TasksTable[Task ID],Z16))</x:f>
        <x:v>3</x:v>
      </x:c>
      <x:c r="AC16" s="137" t="b">
        <x:f>IF($A16="",FALSE,OR(T16=$A16,U16=$A16,V16=$A16,W16=$A16,X16=$A16,Y16=$A16,Z16=$A16))</x:f>
        <x:v>0</x:v>
      </x:c>
      <x:c r="AD16" s="144" t="n">
        <x:f>IF(AA16=0,0,MAX(IFERROR(INDEX(TasksTable[Start Date],MATCH(T16,TasksTable[Task ID],0)),0),IFERROR(INDEX(TasksTable[Start Date],MATCH(U16,TasksTable[Task ID],0)),0),IFERROR(INDEX(TasksTable[Start Date],MATCH(V16,TasksTable[Task ID],0)),0),IFERROR(INDEX(TasksTable[Start Date],MATCH(W16,TasksTable[Task ID],0)),0),IFERROR(INDEX(TasksTable[Start Date],MATCH(X16,TasksTable[Task ID],0)),0),IFERROR(INDEX(TasksTable[Start Date],MATCH(Y16,TasksTable[Task ID],0)),0),IFERROR(INDEX(TasksTable[Start Date],MATCH(Z16,TasksTable[Task ID],0)),0)))</x:f>
        <x:v>46279</x:v>
      </x:c>
      <x:c r="AE16" s="144" t="n">
        <x:f>IF(AA16=0,0,MAX(IFERROR(INDEX(TasksTable[End Date],MATCH(T16,TasksTable[Task ID],0)),0),IFERROR(INDEX(TasksTable[End Date],MATCH(U16,TasksTable[Task ID],0)),0),IFERROR(INDEX(TasksTable[End Date],MATCH(V16,TasksTable[Task ID],0)),0),IFERROR(INDEX(TasksTable[End Date],MATCH(W16,TasksTable[Task ID],0)),0),IFERROR(INDEX(TasksTable[End Date],MATCH(X16,TasksTable[Task ID],0)),0),IFERROR(INDEX(TasksTable[End Date],MATCH(Y16,TasksTable[Task ID],0)),0),IFERROR(INDEX(TasksTable[End Date],MATCH(Z16,TasksTable[Task ID],0)),0)))</x:f>
        <x:v>46281</x:v>
      </x:c>
      <x:c r="AF16" s="137" t="b">
        <x:f>IF(OR($A16="",AA16=0),FALSE,SWITCH($J16,"FS",$F16&lt;AE16,"SS",$F16&lt;AD16,"FF",$G16&lt;AE16,"SF",$G16&lt;AD16,TRUE))</x:f>
        <x:v>0</x:v>
      </x:c>
      <x:c r="AG16" s="137" t="n">
        <x:f>IF(AND($A16&lt;&gt;"",$K16="No",$N16&lt;&gt;"Completed",$F16&gt;=TODAY()),$F16+ROW()/100000,"")</x:f>
        <x:v>46281.00016</x:v>
      </x:c>
      <x:c r="AH16" s="137" t="str">
        <x:f>IF(AND($A16&lt;&gt;"",$K16="Yes",$N16&lt;&gt;"Completed",$F16&gt;=TODAY()),$F16+ROW()/100000,"")</x:f>
      </x:c>
      <x:c r="AI16" s="137" t="str">
        <x:f>IF(AND($A16&lt;&gt;"",$K16="No",$N16&lt;&gt;"Completed",$G16&gt;=TODAY(),$G16&lt;=TODAY()+3),$G16+ROW()/100000,"")</x:f>
      </x:c>
      <x:c r="AJ16" s="137" t="str">
        <x:f>IF(AND($A16&lt;&gt;"",$K16="No",OR($N16="Delayed",$P16="Dependency conflict")),$G16+ROW()/100000,"")</x:f>
      </x:c>
      <x:c r="AK16" s="137" t="n">
        <x:f>IF(AG16="","",COUNTIFS($AG$7:$AG$206,"&gt;0",$AG$7:$AG$206,"&lt;"&amp;AG16)+1)</x:f>
        <x:v>9</x:v>
      </x:c>
      <x:c r="AL16" s="137" t="str">
        <x:f>IF(AH16="","",COUNTIFS($AH$7:$AH$206,"&gt;0",$AH$7:$AH$206,"&lt;"&amp;AH16)+1)</x:f>
      </x:c>
      <x:c r="AM16" s="137" t="str">
        <x:f>IF(AI16="","",COUNTIFS($AI$7:$AI$206,"&gt;0",$AI$7:$AI$206,"&lt;"&amp;AI16)+1)</x:f>
      </x:c>
      <x:c r="AN16" s="137" t="str">
        <x:f>IF(AJ16="","",COUNTIFS($AJ$7:$AJ$206,"&gt;0",$AJ$7:$AJ$206,"&lt;"&amp;AJ16)+1)</x:f>
      </x:c>
    </x:row>
    <x:row r="17" ht="38" customHeight="1">
      <x:c r="A17" s="52" t="str">
        <x:v>T10</x:v>
      </x:c>
      <x:c r="B17" s="54" t="str">
        <x:v>M2 · Governed Data Plane &amp; Central Storage Integration (Model A)</x:v>
      </x:c>
      <x:c r="C17" s="54" t="str">
        <x:v>Configure Agentic RAG Controller with tenant isolation &amp; freshness gates</x:v>
      </x:c>
      <x:c r="D17" s="54" t="str">
        <x:v>PAB access rules and MCP data connectors are required to configure Agentic RAG Controller.</x:v>
      </x:c>
      <x:c r="E17" s="54" t="str">
        <x:v>[INFERRED] Tenant-isolated Agentic RAG controller with freshness/provenance gates</x:v>
      </x:c>
      <x:c r="F17" s="56" t="n">
        <x:v>46283</x:v>
      </x:c>
      <x:c r="G17" s="56" t="n">
        <x:v>46284</x:v>
      </x:c>
      <x:c r="H17" s="60" t="n">
        <x:f>IF(OR(F17="",G17=""),"",G17-F17+1)</x:f>
        <x:v>2</x:v>
      </x:c>
      <x:c r="I17" s="54" t="str">
        <x:v>T03, T09</x:v>
      </x:c>
      <x:c r="J17" s="54" t="str">
        <x:v>FS</x:v>
      </x:c>
      <x:c r="K17" s="54" t="str">
        <x:v>No</x:v>
      </x:c>
      <x:c r="L17" s="54" t="str">
        <x:v>Agentic RAG Controller</x:v>
      </x:c>
      <x:c r="M17" s="54" t="str"/>
      <x:c r="N17" s="54" t="str">
        <x:f>IF(O17=0,"Not Started",IF(O17=1,"Completed","In Progress"))</x:f>
        <x:v>Not Started</x:v>
      </x:c>
      <x:c r="O17" s="58" t="n">
        <x:v>0</x:v>
      </x:c>
      <x:c r="P17" s="62" t="str">
        <x:f>IF(A17="","",IF(COUNTIF(TasksTable[Task ID],A17)&gt;1,"Duplicate Task ID",IF(OR(F17="",G17=""),"Missing dates",IF(G17&lt;F17,"Invalid dates",IF(OR(F17&lt;$B$2,G17&gt;$D$2),"Outside window",IF(AA17=0,IF(N17="Delayed","Delayed",IF(N17="On Hold","On Hold","On Track")),IF(J17="","Missing dependency type",IF(AC17,"Dependency cycle",IF(AB17&lt;&gt;AA17,"Invalid predecessor",IF(AF17,"Dependency conflict",IF(N17="Delayed","Delayed",IF(N17="On Hold","On Hold","On Track"))))))))))))</x:f>
        <x:v>On Track</x:v>
      </x:c>
      <x:c r="Q17" s="54" t="str"/>
      <x:c r="R17"/>
      <x:c r="T17" s="137" t="str">
        <x:f>IF($A17="","",TRIM(MID(SUBSTITUTE(SUBSTITUTE(TRIM($I17)," ",""),",",REPT(" ",100)),1,100)))</x:f>
        <x:v>T03</x:v>
      </x:c>
      <x:c r="U17" s="137" t="str">
        <x:f>IF($A17="","",TRIM(MID(SUBSTITUTE(SUBSTITUTE(TRIM($I17)," ",""),",",REPT(" ",100)),101,100)))</x:f>
        <x:v>T09</x:v>
      </x:c>
      <x:c r="V17" s="137" t="str">
        <x:f>IF($A17="","",TRIM(MID(SUBSTITUTE(SUBSTITUTE(TRIM($I17)," ",""),",",REPT(" ",100)),201,100)))</x:f>
      </x:c>
      <x:c r="W17" s="137" t="str">
        <x:f>IF($A17="","",TRIM(MID(SUBSTITUTE(SUBSTITUTE(TRIM($I17)," ",""),",",REPT(" ",100)),301,100)))</x:f>
      </x:c>
      <x:c r="X17" s="137" t="str">
        <x:f>IF($A17="","",TRIM(MID(SUBSTITUTE(SUBSTITUTE(TRIM($I17)," ",""),",",REPT(" ",100)),401,100)))</x:f>
      </x:c>
      <x:c r="Y17" s="137" t="str">
        <x:f>IF($A17="","",TRIM(MID(SUBSTITUTE(SUBSTITUTE(TRIM($I17)," ",""),",",REPT(" ",100)),501,100)))</x:f>
      </x:c>
      <x:c r="Z17" s="137" t="str">
        <x:f>IF($A17="","",TRIM(MID(SUBSTITUTE(SUBSTITUTE(TRIM($I17)," ",""),",",REPT(" ",100)),601,100)))</x:f>
      </x:c>
      <x:c r="AA17" s="137" t="n">
        <x:f>IF($A17="","",IF(SUBSTITUTE(TRIM($I17)," ","")="",0,1+LEN(SUBSTITUTE(TRIM($I17)," ",""))-LEN(SUBSTITUTE(SUBSTITUTE(TRIM($I17)," ",""),",",""))))</x:f>
        <x:v>2</x:v>
      </x:c>
      <x:c r="AB17" s="137" t="n">
        <x:f>IF($A17="","",COUNTIF(TasksTable[Task ID],T17)+COUNTIF(TasksTable[Task ID],U17)+COUNTIF(TasksTable[Task ID],V17)+COUNTIF(TasksTable[Task ID],W17)+COUNTIF(TasksTable[Task ID],X17)+COUNTIF(TasksTable[Task ID],Y17)+COUNTIF(TasksTable[Task ID],Z17))</x:f>
        <x:v>2</x:v>
      </x:c>
      <x:c r="AC17" s="137" t="b">
        <x:f>IF($A17="",FALSE,OR(T17=$A17,U17=$A17,V17=$A17,W17=$A17,X17=$A17,Y17=$A17,Z17=$A17))</x:f>
        <x:v>0</x:v>
      </x:c>
      <x:c r="AD17" s="144" t="n">
        <x:f>IF(AA17=0,0,MAX(IFERROR(INDEX(TasksTable[Start Date],MATCH(T17,TasksTable[Task ID],0)),0),IFERROR(INDEX(TasksTable[Start Date],MATCH(U17,TasksTable[Task ID],0)),0),IFERROR(INDEX(TasksTable[Start Date],MATCH(V17,TasksTable[Task ID],0)),0),IFERROR(INDEX(TasksTable[Start Date],MATCH(W17,TasksTable[Task ID],0)),0),IFERROR(INDEX(TasksTable[Start Date],MATCH(X17,TasksTable[Task ID],0)),0),IFERROR(INDEX(TasksTable[Start Date],MATCH(Y17,TasksTable[Task ID],0)),0),IFERROR(INDEX(TasksTable[Start Date],MATCH(Z17,TasksTable[Task ID],0)),0)))</x:f>
        <x:v>46281</x:v>
      </x:c>
      <x:c r="AE17" s="144" t="n">
        <x:f>IF(AA17=0,0,MAX(IFERROR(INDEX(TasksTable[End Date],MATCH(T17,TasksTable[Task ID],0)),0),IFERROR(INDEX(TasksTable[End Date],MATCH(U17,TasksTable[Task ID],0)),0),IFERROR(INDEX(TasksTable[End Date],MATCH(V17,TasksTable[Task ID],0)),0),IFERROR(INDEX(TasksTable[End Date],MATCH(W17,TasksTable[Task ID],0)),0),IFERROR(INDEX(TasksTable[End Date],MATCH(X17,TasksTable[Task ID],0)),0),IFERROR(INDEX(TasksTable[End Date],MATCH(Y17,TasksTable[Task ID],0)),0),IFERROR(INDEX(TasksTable[End Date],MATCH(Z17,TasksTable[Task ID],0)),0)))</x:f>
        <x:v>46283</x:v>
      </x:c>
      <x:c r="AF17" s="137" t="b">
        <x:f>IF(OR($A17="",AA17=0),FALSE,SWITCH($J17,"FS",$F17&lt;AE17,"SS",$F17&lt;AD17,"FF",$G17&lt;AE17,"SF",$G17&lt;AD17,TRUE))</x:f>
        <x:v>0</x:v>
      </x:c>
      <x:c r="AG17" s="137" t="n">
        <x:f>IF(AND($A17&lt;&gt;"",$K17="No",$N17&lt;&gt;"Completed",$F17&gt;=TODAY()),$F17+ROW()/100000,"")</x:f>
        <x:v>46283.00017</x:v>
      </x:c>
      <x:c r="AH17" s="137" t="str">
        <x:f>IF(AND($A17&lt;&gt;"",$K17="Yes",$N17&lt;&gt;"Completed",$F17&gt;=TODAY()),$F17+ROW()/100000,"")</x:f>
      </x:c>
      <x:c r="AI17" s="137" t="str">
        <x:f>IF(AND($A17&lt;&gt;"",$K17="No",$N17&lt;&gt;"Completed",$G17&gt;=TODAY(),$G17&lt;=TODAY()+3),$G17+ROW()/100000,"")</x:f>
      </x:c>
      <x:c r="AJ17" s="137" t="str">
        <x:f>IF(AND($A17&lt;&gt;"",$K17="No",OR($N17="Delayed",$P17="Dependency conflict")),$G17+ROW()/100000,"")</x:f>
      </x:c>
      <x:c r="AK17" s="137" t="n">
        <x:f>IF(AG17="","",COUNTIFS($AG$7:$AG$206,"&gt;0",$AG$7:$AG$206,"&lt;"&amp;AG17)+1)</x:f>
        <x:v>10</x:v>
      </x:c>
      <x:c r="AL17" s="137" t="str">
        <x:f>IF(AH17="","",COUNTIFS($AH$7:$AH$206,"&gt;0",$AH$7:$AH$206,"&lt;"&amp;AH17)+1)</x:f>
      </x:c>
      <x:c r="AM17" s="137" t="str">
        <x:f>IF(AI17="","",COUNTIFS($AI$7:$AI$206,"&gt;0",$AI$7:$AI$206,"&lt;"&amp;AI17)+1)</x:f>
      </x:c>
      <x:c r="AN17" s="137" t="str">
        <x:f>IF(AJ17="","",COUNTIFS($AJ$7:$AJ$206,"&gt;0",$AJ$7:$AJ$206,"&lt;"&amp;AJ17)+1)</x:f>
      </x:c>
    </x:row>
    <x:row r="18" ht="46" customHeight="1">
      <x:c r="A18" s="156" t="str">
        <x:v>M2</x:v>
      </x:c>
      <x:c r="B18" s="157" t="str">
        <x:v>M2 · Governed Data Plane &amp; Central Storage Integration (Model A)</x:v>
      </x:c>
      <x:c r="C18" s="157" t="str">
        <x:v>Governed Data Plane &amp; Central Storage Integration (Model A)</x:v>
      </x:c>
      <x:c r="D18" s="157" t="str">
        <x:v>Explicit checkpoint linked to T05, T06, T07, T08, T09, T10.</x:v>
      </x:c>
      <x:c r="E18" s="157" t="str">
        <x:v>Governed Data Plane &amp; Central Storage Integration (Model A)</x:v>
      </x:c>
      <x:c r="F18" s="158" t="n">
        <x:v>46284</x:v>
      </x:c>
      <x:c r="G18" s="158" t="n">
        <x:v>46284</x:v>
      </x:c>
      <x:c r="H18" s="159" t="n">
        <x:f>IF(OR(F18="",G18=""),"",G18-F18+1)</x:f>
        <x:v>1</x:v>
      </x:c>
      <x:c r="I18" s="157" t="str">
        <x:v>T05, T06, T07, T08, T09, T10</x:v>
      </x:c>
      <x:c r="J18" s="157" t="str">
        <x:v>FS</x:v>
      </x:c>
      <x:c r="K18" s="157" t="str">
        <x:v>Yes</x:v>
      </x:c>
      <x:c r="L18" s="157" t="str">
        <x:v>Unassigned</x:v>
      </x:c>
      <x:c r="M18" s="157" t="str"/>
      <x:c r="N18" s="157" t="str">
        <x:f>IF(O18=0,"Not Started",IF(O18=1,"Completed","In Progress"))</x:f>
        <x:v>Not Started</x:v>
      </x:c>
      <x:c r="O18" s="160" t="n">
        <x:v>0</x:v>
      </x:c>
      <x:c r="P18" s="157" t="str">
        <x:f>IF(A18="","",IF(COUNTIF(TasksTable[Task ID],A18)&gt;1,"Duplicate Task ID",IF(OR(F18="",G18=""),"Missing dates",IF(G18&lt;F18,"Invalid dates",IF(OR(F18&lt;$B$2,G18&gt;$D$2),"Outside window",IF(AA18=0,IF(N18="Delayed","Delayed",IF(N18="On Hold","On Hold","On Track")),IF(J18="","Missing dependency type",IF(AC18,"Dependency cycle",IF(AB18&lt;&gt;AA18,"Invalid predecessor",IF(AF18,"Dependency conflict",IF(N18="Delayed","Delayed",IF(N18="On Hold","On Hold","On Track"))))))))))))</x:f>
        <x:v>On Track</x:v>
      </x:c>
      <x:c r="Q18" s="157" t="str">
        <x:v>[INFERRED] Milestone linkage is represented as FS predecessors from the source-listed linked tasks; source milestone status was inferred and is reset to 0%/Not Started per workbook requirement.</x:v>
      </x:c>
      <x:c r="T18" s="137" t="str">
        <x:f>IF($A18="","",TRIM(MID(SUBSTITUTE(SUBSTITUTE(TRIM($I18)," ",""),",",REPT(" ",100)),1,100)))</x:f>
        <x:v>T05</x:v>
      </x:c>
      <x:c r="U18" s="137" t="str">
        <x:f>IF($A18="","",TRIM(MID(SUBSTITUTE(SUBSTITUTE(TRIM($I18)," ",""),",",REPT(" ",100)),101,100)))</x:f>
        <x:v>T06</x:v>
      </x:c>
      <x:c r="V18" s="137" t="str">
        <x:f>IF($A18="","",TRIM(MID(SUBSTITUTE(SUBSTITUTE(TRIM($I18)," ",""),",",REPT(" ",100)),201,100)))</x:f>
        <x:v>T07</x:v>
      </x:c>
      <x:c r="W18" s="137" t="str">
        <x:f>IF($A18="","",TRIM(MID(SUBSTITUTE(SUBSTITUTE(TRIM($I18)," ",""),",",REPT(" ",100)),301,100)))</x:f>
        <x:v>T08</x:v>
      </x:c>
      <x:c r="X18" s="137" t="str">
        <x:f>IF($A18="","",TRIM(MID(SUBSTITUTE(SUBSTITUTE(TRIM($I18)," ",""),",",REPT(" ",100)),401,100)))</x:f>
        <x:v>T09</x:v>
      </x:c>
      <x:c r="Y18" s="137" t="str">
        <x:f>IF($A18="","",TRIM(MID(SUBSTITUTE(SUBSTITUTE(TRIM($I18)," ",""),",",REPT(" ",100)),501,100)))</x:f>
        <x:v>T10</x:v>
      </x:c>
      <x:c r="Z18" s="137" t="str">
        <x:f>IF($A18="","",TRIM(MID(SUBSTITUTE(SUBSTITUTE(TRIM($I18)," ",""),",",REPT(" ",100)),601,100)))</x:f>
      </x:c>
      <x:c r="AA18" s="137" t="n">
        <x:f>IF($A18="","",IF(SUBSTITUTE(TRIM($I18)," ","")="",0,1+LEN(SUBSTITUTE(TRIM($I18)," ",""))-LEN(SUBSTITUTE(SUBSTITUTE(TRIM($I18)," ",""),",",""))))</x:f>
        <x:v>6</x:v>
      </x:c>
      <x:c r="AB18" s="137" t="n">
        <x:f>IF($A18="","",COUNTIF(TasksTable[Task ID],T18)+COUNTIF(TasksTable[Task ID],U18)+COUNTIF(TasksTable[Task ID],V18)+COUNTIF(TasksTable[Task ID],W18)+COUNTIF(TasksTable[Task ID],X18)+COUNTIF(TasksTable[Task ID],Y18)+COUNTIF(TasksTable[Task ID],Z18))</x:f>
        <x:v>6</x:v>
      </x:c>
      <x:c r="AC18" s="137" t="b">
        <x:f>IF($A18="",FALSE,OR(T18=$A18,U18=$A18,V18=$A18,W18=$A18,X18=$A18,Y18=$A18,Z18=$A18))</x:f>
        <x:v>0</x:v>
      </x:c>
      <x:c r="AD18" s="144" t="n">
        <x:f>IF(AA18=0,0,MAX(IFERROR(INDEX(TasksTable[Start Date],MATCH(T18,TasksTable[Task ID],0)),0),IFERROR(INDEX(TasksTable[Start Date],MATCH(U18,TasksTable[Task ID],0)),0),IFERROR(INDEX(TasksTable[Start Date],MATCH(V18,TasksTable[Task ID],0)),0),IFERROR(INDEX(TasksTable[Start Date],MATCH(W18,TasksTable[Task ID],0)),0),IFERROR(INDEX(TasksTable[Start Date],MATCH(X18,TasksTable[Task ID],0)),0),IFERROR(INDEX(TasksTable[Start Date],MATCH(Y18,TasksTable[Task ID],0)),0),IFERROR(INDEX(TasksTable[Start Date],MATCH(Z18,TasksTable[Task ID],0)),0)))</x:f>
        <x:v>46283</x:v>
      </x:c>
      <x:c r="AE18" s="144" t="n">
        <x:f>IF(AA18=0,0,MAX(IFERROR(INDEX(TasksTable[End Date],MATCH(T18,TasksTable[Task ID],0)),0),IFERROR(INDEX(TasksTable[End Date],MATCH(U18,TasksTable[Task ID],0)),0),IFERROR(INDEX(TasksTable[End Date],MATCH(V18,TasksTable[Task ID],0)),0),IFERROR(INDEX(TasksTable[End Date],MATCH(W18,TasksTable[Task ID],0)),0),IFERROR(INDEX(TasksTable[End Date],MATCH(X18,TasksTable[Task ID],0)),0),IFERROR(INDEX(TasksTable[End Date],MATCH(Y18,TasksTable[Task ID],0)),0),IFERROR(INDEX(TasksTable[End Date],MATCH(Z18,TasksTable[Task ID],0)),0)))</x:f>
        <x:v>46284</x:v>
      </x:c>
      <x:c r="AF18" s="137" t="b">
        <x:f>IF(OR($A18="",AA18=0),FALSE,SWITCH($J18,"FS",$F18&lt;AE18,"SS",$F18&lt;AD18,"FF",$G18&lt;AE18,"SF",$G18&lt;AD18,TRUE))</x:f>
        <x:v>0</x:v>
      </x:c>
      <x:c r="AG18" s="137" t="str">
        <x:f>IF(AND($A18&lt;&gt;"",$K18="No",$N18&lt;&gt;"Completed",$F18&gt;=TODAY()),$F18+ROW()/100000,"")</x:f>
      </x:c>
      <x:c r="AH18" s="137" t="n">
        <x:f>IF(AND($A18&lt;&gt;"",$K18="Yes",$N18&lt;&gt;"Completed",$F18&gt;=TODAY()),$F18+ROW()/100000,"")</x:f>
        <x:v>46284.00018</x:v>
      </x:c>
      <x:c r="AI18" s="137" t="str">
        <x:f>IF(AND($A18&lt;&gt;"",$K18="No",$N18&lt;&gt;"Completed",$G18&gt;=TODAY(),$G18&lt;=TODAY()+3),$G18+ROW()/100000,"")</x:f>
      </x:c>
      <x:c r="AJ18" s="137" t="str">
        <x:f>IF(AND($A18&lt;&gt;"",$K18="No",OR($N18="Delayed",$P18="Dependency conflict")),$G18+ROW()/100000,"")</x:f>
      </x:c>
      <x:c r="AK18" s="137" t="str">
        <x:f>IF(AG18="","",COUNTIFS($AG$7:$AG$206,"&gt;0",$AG$7:$AG$206,"&lt;"&amp;AG18)+1)</x:f>
      </x:c>
      <x:c r="AL18" s="137" t="n">
        <x:f>IF(AH18="","",COUNTIFS($AH$7:$AH$206,"&gt;0",$AH$7:$AH$206,"&lt;"&amp;AH18)+1)</x:f>
        <x:v>2</x:v>
      </x:c>
      <x:c r="AM18" s="137" t="str">
        <x:f>IF(AI18="","",COUNTIFS($AI$7:$AI$206,"&gt;0",$AI$7:$AI$206,"&lt;"&amp;AI18)+1)</x:f>
      </x:c>
      <x:c r="AN18" s="137" t="str">
        <x:f>IF(AJ18="","",COUNTIFS($AJ$7:$AJ$206,"&gt;0",$AJ$7:$AJ$206,"&lt;"&amp;AJ18)+1)</x:f>
      </x:c>
    </x:row>
    <x:row r="19" ht="38" customHeight="1">
      <x:c r="A19" s="52" t="str">
        <x:v>T11</x:v>
      </x:c>
      <x:c r="B19" s="54" t="str">
        <x:v>M3 · Sandbox Isolation &amp; Specialist Sub-Agent Readiness</x:v>
      </x:c>
      <x:c r="C19" s="54" t="str">
        <x:v>Deploy agent_sandbox with cgroups, seccomp, and tmpfs isolation</x:v>
      </x:c>
      <x:c r="D19" s="54" t="str">
        <x:v>Security policies dictate sandbox cgroup and seccomp profile definitions.</x:v>
      </x:c>
      <x:c r="E19" s="54" t="str">
        <x:v>[INFERRED] Isolated agent_sandbox runtime with cgroups, seccomp, and tmpfs controls</x:v>
      </x:c>
      <x:c r="F19" s="56" t="n">
        <x:v>46283</x:v>
      </x:c>
      <x:c r="G19" s="56" t="n">
        <x:v>46285</x:v>
      </x:c>
      <x:c r="H19" s="60" t="n">
        <x:f>IF(OR(F19="",G19=""),"",G19-F19+1)</x:f>
        <x:v>3</x:v>
      </x:c>
      <x:c r="I19" s="54" t="str">
        <x:v>T03</x:v>
      </x:c>
      <x:c r="J19" s="54" t="str">
        <x:v>FS</x:v>
      </x:c>
      <x:c r="K19" s="54" t="str">
        <x:v>No</x:v>
      </x:c>
      <x:c r="L19" s="54" t="str">
        <x:v>Sandbox Controller (agent_sandbox)</x:v>
      </x:c>
      <x:c r="M19" s="54" t="str"/>
      <x:c r="N19" s="54" t="str">
        <x:f>IF(O19=0,"Not Started",IF(O19=1,"Completed","In Progress"))</x:f>
        <x:v>Not Started</x:v>
      </x:c>
      <x:c r="O19" s="58" t="n">
        <x:v>0</x:v>
      </x:c>
      <x:c r="P19" s="62" t="str">
        <x:f>IF(A19="","",IF(COUNTIF(TasksTable[Task ID],A19)&gt;1,"Duplicate Task ID",IF(OR(F19="",G19=""),"Missing dates",IF(G19&lt;F19,"Invalid dates",IF(OR(F19&lt;$B$2,G19&gt;$D$2),"Outside window",IF(AA19=0,IF(N19="Delayed","Delayed",IF(N19="On Hold","On Hold","On Track")),IF(J19="","Missing dependency type",IF(AC19,"Dependency cycle",IF(AB19&lt;&gt;AA19,"Invalid predecessor",IF(AF19,"Dependency conflict",IF(N19="Delayed","Delayed",IF(N19="On Hold","On Hold","On Track"))))))))))))</x:f>
        <x:v>On Track</x:v>
      </x:c>
      <x:c r="Q19" s="54" t="str"/>
      <x:c r="T19" s="137" t="str">
        <x:f>IF($A19="","",TRIM(MID(SUBSTITUTE(SUBSTITUTE(TRIM($I19)," ",""),",",REPT(" ",100)),1,100)))</x:f>
        <x:v>T03</x:v>
      </x:c>
      <x:c r="U19" s="137" t="str">
        <x:f>IF($A19="","",TRIM(MID(SUBSTITUTE(SUBSTITUTE(TRIM($I19)," ",""),",",REPT(" ",100)),101,100)))</x:f>
      </x:c>
      <x:c r="V19" s="137" t="str">
        <x:f>IF($A19="","",TRIM(MID(SUBSTITUTE(SUBSTITUTE(TRIM($I19)," ",""),",",REPT(" ",100)),201,100)))</x:f>
      </x:c>
      <x:c r="W19" s="137" t="str">
        <x:f>IF($A19="","",TRIM(MID(SUBSTITUTE(SUBSTITUTE(TRIM($I19)," ",""),",",REPT(" ",100)),301,100)))</x:f>
      </x:c>
      <x:c r="X19" s="137" t="str">
        <x:f>IF($A19="","",TRIM(MID(SUBSTITUTE(SUBSTITUTE(TRIM($I19)," ",""),",",REPT(" ",100)),401,100)))</x:f>
      </x:c>
      <x:c r="Y19" s="137" t="str">
        <x:f>IF($A19="","",TRIM(MID(SUBSTITUTE(SUBSTITUTE(TRIM($I19)," ",""),",",REPT(" ",100)),501,100)))</x:f>
      </x:c>
      <x:c r="Z19" s="137" t="str">
        <x:f>IF($A19="","",TRIM(MID(SUBSTITUTE(SUBSTITUTE(TRIM($I19)," ",""),",",REPT(" ",100)),601,100)))</x:f>
      </x:c>
      <x:c r="AA19" s="137" t="n">
        <x:f>IF($A19="","",IF(SUBSTITUTE(TRIM($I19)," ","")="",0,1+LEN(SUBSTITUTE(TRIM($I19)," ",""))-LEN(SUBSTITUTE(SUBSTITUTE(TRIM($I19)," ",""),",",""))))</x:f>
        <x:v>1</x:v>
      </x:c>
      <x:c r="AB19" s="137" t="n">
        <x:f>IF($A19="","",COUNTIF(TasksTable[Task ID],T19)+COUNTIF(TasksTable[Task ID],U19)+COUNTIF(TasksTable[Task ID],V19)+COUNTIF(TasksTable[Task ID],W19)+COUNTIF(TasksTable[Task ID],X19)+COUNTIF(TasksTable[Task ID],Y19)+COUNTIF(TasksTable[Task ID],Z19))</x:f>
        <x:v>1</x:v>
      </x:c>
      <x:c r="AC19" s="137" t="b">
        <x:f>IF($A19="",FALSE,OR(T19=$A19,U19=$A19,V19=$A19,W19=$A19,X19=$A19,Y19=$A19,Z19=$A19))</x:f>
        <x:v>0</x:v>
      </x:c>
      <x:c r="AD19" s="144" t="n">
        <x:f>IF(AA19=0,0,MAX(IFERROR(INDEX(TasksTable[Start Date],MATCH(T19,TasksTable[Task ID],0)),0),IFERROR(INDEX(TasksTable[Start Date],MATCH(U19,TasksTable[Task ID],0)),0),IFERROR(INDEX(TasksTable[Start Date],MATCH(V19,TasksTable[Task ID],0)),0),IFERROR(INDEX(TasksTable[Start Date],MATCH(W19,TasksTable[Task ID],0)),0),IFERROR(INDEX(TasksTable[Start Date],MATCH(X19,TasksTable[Task ID],0)),0),IFERROR(INDEX(TasksTable[Start Date],MATCH(Y19,TasksTable[Task ID],0)),0),IFERROR(INDEX(TasksTable[Start Date],MATCH(Z19,TasksTable[Task ID],0)),0)))</x:f>
        <x:v>46277</x:v>
      </x:c>
      <x:c r="AE19" s="144" t="n">
        <x:f>IF(AA19=0,0,MAX(IFERROR(INDEX(TasksTable[End Date],MATCH(T19,TasksTable[Task ID],0)),0),IFERROR(INDEX(TasksTable[End Date],MATCH(U19,TasksTable[Task ID],0)),0),IFERROR(INDEX(TasksTable[End Date],MATCH(V19,TasksTable[Task ID],0)),0),IFERROR(INDEX(TasksTable[End Date],MATCH(W19,TasksTable[Task ID],0)),0),IFERROR(INDEX(TasksTable[End Date],MATCH(X19,TasksTable[Task ID],0)),0),IFERROR(INDEX(TasksTable[End Date],MATCH(Y19,TasksTable[Task ID],0)),0),IFERROR(INDEX(TasksTable[End Date],MATCH(Z19,TasksTable[Task ID],0)),0)))</x:f>
        <x:v>46279</x:v>
      </x:c>
      <x:c r="AF19" s="137" t="b">
        <x:f>IF(OR($A19="",AA19=0),FALSE,SWITCH($J19,"FS",$F19&lt;AE19,"SS",$F19&lt;AD19,"FF",$G19&lt;AE19,"SF",$G19&lt;AD19,TRUE))</x:f>
        <x:v>0</x:v>
      </x:c>
      <x:c r="AG19" s="137" t="n">
        <x:f>IF(AND($A19&lt;&gt;"",$K19="No",$N19&lt;&gt;"Completed",$F19&gt;=TODAY()),$F19+ROW()/100000,"")</x:f>
        <x:v>46283.00019</x:v>
      </x:c>
      <x:c r="AH19" s="137" t="str">
        <x:f>IF(AND($A19&lt;&gt;"",$K19="Yes",$N19&lt;&gt;"Completed",$F19&gt;=TODAY()),$F19+ROW()/100000,"")</x:f>
      </x:c>
      <x:c r="AI19" s="137" t="str">
        <x:f>IF(AND($A19&lt;&gt;"",$K19="No",$N19&lt;&gt;"Completed",$G19&gt;=TODAY(),$G19&lt;=TODAY()+3),$G19+ROW()/100000,"")</x:f>
      </x:c>
      <x:c r="AJ19" s="137" t="str">
        <x:f>IF(AND($A19&lt;&gt;"",$K19="No",OR($N19="Delayed",$P19="Dependency conflict")),$G19+ROW()/100000,"")</x:f>
      </x:c>
      <x:c r="AK19" s="137" t="n">
        <x:f>IF(AG19="","",COUNTIFS($AG$7:$AG$206,"&gt;0",$AG$7:$AG$206,"&lt;"&amp;AG19)+1)</x:f>
        <x:v>11</x:v>
      </x:c>
      <x:c r="AL19" s="137" t="str">
        <x:f>IF(AH19="","",COUNTIFS($AH$7:$AH$206,"&gt;0",$AH$7:$AH$206,"&lt;"&amp;AH19)+1)</x:f>
      </x:c>
      <x:c r="AM19" s="137" t="str">
        <x:f>IF(AI19="","",COUNTIFS($AI$7:$AI$206,"&gt;0",$AI$7:$AI$206,"&lt;"&amp;AI19)+1)</x:f>
      </x:c>
      <x:c r="AN19" s="137" t="str">
        <x:f>IF(AJ19="","",COUNTIFS($AJ$7:$AJ$206,"&gt;0",$AJ$7:$AJ$206,"&lt;"&amp;AJ19)+1)</x:f>
      </x:c>
    </x:row>
    <x:row r="20" ht="38" customHeight="1">
      <x:c r="A20" s="52" t="str">
        <x:v>T12</x:v>
      </x:c>
      <x:c r="B20" s="54" t="str">
        <x:v>M3 · Sandbox Isolation &amp; Specialist Sub-Agent Readiness</x:v>
      </x:c>
      <x:c r="C20" s="54" t="str">
        <x:v>Configure sandbox network proxy with strict egress allowlisting (DENY_ALL)</x:v>
      </x:c>
      <x:c r="D20" s="54" t="str">
        <x:v>Isolated execution environment; enforces cgroups, seccomp filters, tmpfs shredding, and network proxying.</x:v>
      </x:c>
      <x:c r="E20" s="54" t="str">
        <x:v>[INFERRED] DENY_ALL egress policy with approved network proxy allowlist</x:v>
      </x:c>
      <x:c r="F20" s="56" t="n">
        <x:v>46285</x:v>
      </x:c>
      <x:c r="G20" s="56" t="n">
        <x:v>46286</x:v>
      </x:c>
      <x:c r="H20" s="60" t="n">
        <x:f>IF(OR(F20="",G20=""),"",G20-F20+1)</x:f>
        <x:v>2</x:v>
      </x:c>
      <x:c r="I20" s="54" t="str">
        <x:v>T11</x:v>
      </x:c>
      <x:c r="J20" s="54" t="str">
        <x:v>FS</x:v>
      </x:c>
      <x:c r="K20" s="54" t="str">
        <x:v>No</x:v>
      </x:c>
      <x:c r="L20" s="54" t="str">
        <x:v>Sandbox Controller (agent_sandbox)</x:v>
      </x:c>
      <x:c r="M20" s="54" t="str"/>
      <x:c r="N20" s="54" t="str">
        <x:f>IF(O20=0,"Not Started",IF(O20=1,"Completed","In Progress"))</x:f>
        <x:v>Not Started</x:v>
      </x:c>
      <x:c r="O20" s="58" t="n">
        <x:v>0</x:v>
      </x:c>
      <x:c r="P20" s="62" t="str">
        <x:f>IF(A20="","",IF(COUNTIF(TasksTable[Task ID],A20)&gt;1,"Duplicate Task ID",IF(OR(F20="",G20=""),"Missing dates",IF(G20&lt;F20,"Invalid dates",IF(OR(F20&lt;$B$2,G20&gt;$D$2),"Outside window",IF(AA20=0,IF(N20="Delayed","Delayed",IF(N20="On Hold","On Hold","On Track")),IF(J20="","Missing dependency type",IF(AC20,"Dependency cycle",IF(AB20&lt;&gt;AA20,"Invalid predecessor",IF(AF20,"Dependency conflict",IF(N20="Delayed","Delayed",IF(N20="On Hold","On Hold","On Track"))))))))))))</x:f>
        <x:v>On Track</x:v>
      </x:c>
      <x:c r="Q20" s="54" t="str">
        <x:v>[INFERRED] Dependency type defaults to FS because the source lists predecessor T11 but omits T12 from the dependency-type detail table.</x:v>
      </x:c>
      <x:c r="R20"/>
      <x:c r="T20" s="137" t="str">
        <x:f>IF($A20="","",TRIM(MID(SUBSTITUTE(SUBSTITUTE(TRIM($I20)," ",""),",",REPT(" ",100)),1,100)))</x:f>
        <x:v>T11</x:v>
      </x:c>
      <x:c r="U20" s="137" t="str">
        <x:f>IF($A20="","",TRIM(MID(SUBSTITUTE(SUBSTITUTE(TRIM($I20)," ",""),",",REPT(" ",100)),101,100)))</x:f>
      </x:c>
      <x:c r="V20" s="137" t="str">
        <x:f>IF($A20="","",TRIM(MID(SUBSTITUTE(SUBSTITUTE(TRIM($I20)," ",""),",",REPT(" ",100)),201,100)))</x:f>
      </x:c>
      <x:c r="W20" s="137" t="str">
        <x:f>IF($A20="","",TRIM(MID(SUBSTITUTE(SUBSTITUTE(TRIM($I20)," ",""),",",REPT(" ",100)),301,100)))</x:f>
      </x:c>
      <x:c r="X20" s="137" t="str">
        <x:f>IF($A20="","",TRIM(MID(SUBSTITUTE(SUBSTITUTE(TRIM($I20)," ",""),",",REPT(" ",100)),401,100)))</x:f>
      </x:c>
      <x:c r="Y20" s="137" t="str">
        <x:f>IF($A20="","",TRIM(MID(SUBSTITUTE(SUBSTITUTE(TRIM($I20)," ",""),",",REPT(" ",100)),501,100)))</x:f>
      </x:c>
      <x:c r="Z20" s="137" t="str">
        <x:f>IF($A20="","",TRIM(MID(SUBSTITUTE(SUBSTITUTE(TRIM($I20)," ",""),",",REPT(" ",100)),601,100)))</x:f>
      </x:c>
      <x:c r="AA20" s="137" t="n">
        <x:f>IF($A20="","",IF(SUBSTITUTE(TRIM($I20)," ","")="",0,1+LEN(SUBSTITUTE(TRIM($I20)," ",""))-LEN(SUBSTITUTE(SUBSTITUTE(TRIM($I20)," ",""),",",""))))</x:f>
        <x:v>1</x:v>
      </x:c>
      <x:c r="AB20" s="137" t="n">
        <x:f>IF($A20="","",COUNTIF(TasksTable[Task ID],T20)+COUNTIF(TasksTable[Task ID],U20)+COUNTIF(TasksTable[Task ID],V20)+COUNTIF(TasksTable[Task ID],W20)+COUNTIF(TasksTable[Task ID],X20)+COUNTIF(TasksTable[Task ID],Y20)+COUNTIF(TasksTable[Task ID],Z20))</x:f>
        <x:v>1</x:v>
      </x:c>
      <x:c r="AC20" s="137" t="b">
        <x:f>IF($A20="",FALSE,OR(T20=$A20,U20=$A20,V20=$A20,W20=$A20,X20=$A20,Y20=$A20,Z20=$A20))</x:f>
        <x:v>0</x:v>
      </x:c>
      <x:c r="AD20" s="144" t="n">
        <x:f>IF(AA20=0,0,MAX(IFERROR(INDEX(TasksTable[Start Date],MATCH(T20,TasksTable[Task ID],0)),0),IFERROR(INDEX(TasksTable[Start Date],MATCH(U20,TasksTable[Task ID],0)),0),IFERROR(INDEX(TasksTable[Start Date],MATCH(V20,TasksTable[Task ID],0)),0),IFERROR(INDEX(TasksTable[Start Date],MATCH(W20,TasksTable[Task ID],0)),0),IFERROR(INDEX(TasksTable[Start Date],MATCH(X20,TasksTable[Task ID],0)),0),IFERROR(INDEX(TasksTable[Start Date],MATCH(Y20,TasksTable[Task ID],0)),0),IFERROR(INDEX(TasksTable[Start Date],MATCH(Z20,TasksTable[Task ID],0)),0)))</x:f>
        <x:v>46283</x:v>
      </x:c>
      <x:c r="AE20" s="144" t="n">
        <x:f>IF(AA20=0,0,MAX(IFERROR(INDEX(TasksTable[End Date],MATCH(T20,TasksTable[Task ID],0)),0),IFERROR(INDEX(TasksTable[End Date],MATCH(U20,TasksTable[Task ID],0)),0),IFERROR(INDEX(TasksTable[End Date],MATCH(V20,TasksTable[Task ID],0)),0),IFERROR(INDEX(TasksTable[End Date],MATCH(W20,TasksTable[Task ID],0)),0),IFERROR(INDEX(TasksTable[End Date],MATCH(X20,TasksTable[Task ID],0)),0),IFERROR(INDEX(TasksTable[End Date],MATCH(Y20,TasksTable[Task ID],0)),0),IFERROR(INDEX(TasksTable[End Date],MATCH(Z20,TasksTable[Task ID],0)),0)))</x:f>
        <x:v>46285</x:v>
      </x:c>
      <x:c r="AF20" s="137" t="b">
        <x:f>IF(OR($A20="",AA20=0),FALSE,SWITCH($J20,"FS",$F20&lt;AE20,"SS",$F20&lt;AD20,"FF",$G20&lt;AE20,"SF",$G20&lt;AD20,TRUE))</x:f>
        <x:v>0</x:v>
      </x:c>
      <x:c r="AG20" s="137" t="n">
        <x:f>IF(AND($A20&lt;&gt;"",$K20="No",$N20&lt;&gt;"Completed",$F20&gt;=TODAY()),$F20+ROW()/100000,"")</x:f>
        <x:v>46285.0002</x:v>
      </x:c>
      <x:c r="AH20" s="137" t="str">
        <x:f>IF(AND($A20&lt;&gt;"",$K20="Yes",$N20&lt;&gt;"Completed",$F20&gt;=TODAY()),$F20+ROW()/100000,"")</x:f>
      </x:c>
      <x:c r="AI20" s="137" t="str">
        <x:f>IF(AND($A20&lt;&gt;"",$K20="No",$N20&lt;&gt;"Completed",$G20&gt;=TODAY(),$G20&lt;=TODAY()+3),$G20+ROW()/100000,"")</x:f>
      </x:c>
      <x:c r="AJ20" s="137" t="str">
        <x:f>IF(AND($A20&lt;&gt;"",$K20="No",OR($N20="Delayed",$P20="Dependency conflict")),$G20+ROW()/100000,"")</x:f>
      </x:c>
      <x:c r="AK20" s="137" t="n">
        <x:f>IF(AG20="","",COUNTIFS($AG$7:$AG$206,"&gt;0",$AG$7:$AG$206,"&lt;"&amp;AG20)+1)</x:f>
        <x:v>12</x:v>
      </x:c>
      <x:c r="AL20" s="137" t="str">
        <x:f>IF(AH20="","",COUNTIFS($AH$7:$AH$206,"&gt;0",$AH$7:$AH$206,"&lt;"&amp;AH20)+1)</x:f>
      </x:c>
      <x:c r="AM20" s="137" t="str">
        <x:f>IF(AI20="","",COUNTIFS($AI$7:$AI$206,"&gt;0",$AI$7:$AI$206,"&lt;"&amp;AI20)+1)</x:f>
      </x:c>
      <x:c r="AN20" s="137" t="str">
        <x:f>IF(AJ20="","",COUNTIFS($AJ$7:$AJ$206,"&gt;0",$AJ$7:$AJ$206,"&lt;"&amp;AJ20)+1)</x:f>
      </x:c>
    </x:row>
    <x:row r="21" ht="38" customHeight="1">
      <x:c r="A21" s="52" t="str">
        <x:v>T13</x:v>
      </x:c>
      <x:c r="B21" s="54" t="str">
        <x:v>M3 · Sandbox Isolation &amp; Specialist Sub-Agent Readiness</x:v>
      </x:c>
      <x:c r="C21" s="54" t="str">
        <x:v>Implement sandbox execution audit interception to W3C PROV ledger</x:v>
      </x:c>
      <x:c r="D21" s="54" t="str">
        <x:v>Sandbox virtualization and egress proxy must be active before sub-agents and audit hooks launch.</x:v>
      </x:c>
      <x:c r="E21" s="54" t="str">
        <x:v>[INFERRED] Sandbox execution audit stream into the W3C PROV ledger</x:v>
      </x:c>
      <x:c r="F21" s="56" t="n">
        <x:v>46286</x:v>
      </x:c>
      <x:c r="G21" s="56" t="n">
        <x:v>46287</x:v>
      </x:c>
      <x:c r="H21" s="60" t="n">
        <x:f>IF(OR(F21="",G21=""),"",G21-F21+1)</x:f>
        <x:v>2</x:v>
      </x:c>
      <x:c r="I21" s="54" t="str">
        <x:v>T11, T12</x:v>
      </x:c>
      <x:c r="J21" s="54" t="str">
        <x:v>FS</x:v>
      </x:c>
      <x:c r="K21" s="54" t="str">
        <x:v>No</x:v>
      </x:c>
      <x:c r="L21" s="54" t="str">
        <x:v>Sandbox Controller &amp; W3C PROV Audit</x:v>
      </x:c>
      <x:c r="M21" s="54" t="str"/>
      <x:c r="N21" s="54" t="str">
        <x:f>IF(O21=0,"Not Started",IF(O21=1,"Completed","In Progress"))</x:f>
        <x:v>Not Started</x:v>
      </x:c>
      <x:c r="O21" s="58" t="n">
        <x:v>0</x:v>
      </x:c>
      <x:c r="P21" s="62" t="str">
        <x:f>IF(A21="","",IF(COUNTIF(TasksTable[Task ID],A21)&gt;1,"Duplicate Task ID",IF(OR(F21="",G21=""),"Missing dates",IF(G21&lt;F21,"Invalid dates",IF(OR(F21&lt;$B$2,G21&gt;$D$2),"Outside window",IF(AA21=0,IF(N21="Delayed","Delayed",IF(N21="On Hold","On Hold","On Track")),IF(J21="","Missing dependency type",IF(AC21,"Dependency cycle",IF(AB21&lt;&gt;AA21,"Invalid predecessor",IF(AF21,"Dependency conflict",IF(N21="Delayed","Delayed",IF(N21="On Hold","On Hold","On Track"))))))))))))</x:f>
        <x:v>On Track</x:v>
      </x:c>
      <x:c r="Q21" s="54" t="str"/>
      <x:c r="R21"/>
      <x:c r="T21" s="137" t="str">
        <x:f>IF($A21="","",TRIM(MID(SUBSTITUTE(SUBSTITUTE(TRIM($I21)," ",""),",",REPT(" ",100)),1,100)))</x:f>
        <x:v>T11</x:v>
      </x:c>
      <x:c r="U21" s="137" t="str">
        <x:f>IF($A21="","",TRIM(MID(SUBSTITUTE(SUBSTITUTE(TRIM($I21)," ",""),",",REPT(" ",100)),101,100)))</x:f>
        <x:v>T12</x:v>
      </x:c>
      <x:c r="V21" s="137" t="str">
        <x:f>IF($A21="","",TRIM(MID(SUBSTITUTE(SUBSTITUTE(TRIM($I21)," ",""),",",REPT(" ",100)),201,100)))</x:f>
      </x:c>
      <x:c r="W21" s="137" t="str">
        <x:f>IF($A21="","",TRIM(MID(SUBSTITUTE(SUBSTITUTE(TRIM($I21)," ",""),",",REPT(" ",100)),301,100)))</x:f>
      </x:c>
      <x:c r="X21" s="137" t="str">
        <x:f>IF($A21="","",TRIM(MID(SUBSTITUTE(SUBSTITUTE(TRIM($I21)," ",""),",",REPT(" ",100)),401,100)))</x:f>
      </x:c>
      <x:c r="Y21" s="137" t="str">
        <x:f>IF($A21="","",TRIM(MID(SUBSTITUTE(SUBSTITUTE(TRIM($I21)," ",""),",",REPT(" ",100)),501,100)))</x:f>
      </x:c>
      <x:c r="Z21" s="137" t="str">
        <x:f>IF($A21="","",TRIM(MID(SUBSTITUTE(SUBSTITUTE(TRIM($I21)," ",""),",",REPT(" ",100)),601,100)))</x:f>
      </x:c>
      <x:c r="AA21" s="137" t="n">
        <x:f>IF($A21="","",IF(SUBSTITUTE(TRIM($I21)," ","")="",0,1+LEN(SUBSTITUTE(TRIM($I21)," ",""))-LEN(SUBSTITUTE(SUBSTITUTE(TRIM($I21)," ",""),",",""))))</x:f>
        <x:v>2</x:v>
      </x:c>
      <x:c r="AB21" s="137" t="n">
        <x:f>IF($A21="","",COUNTIF(TasksTable[Task ID],T21)+COUNTIF(TasksTable[Task ID],U21)+COUNTIF(TasksTable[Task ID],V21)+COUNTIF(TasksTable[Task ID],W21)+COUNTIF(TasksTable[Task ID],X21)+COUNTIF(TasksTable[Task ID],Y21)+COUNTIF(TasksTable[Task ID],Z21))</x:f>
        <x:v>2</x:v>
      </x:c>
      <x:c r="AC21" s="137" t="b">
        <x:f>IF($A21="",FALSE,OR(T21=$A21,U21=$A21,V21=$A21,W21=$A21,X21=$A21,Y21=$A21,Z21=$A21))</x:f>
        <x:v>0</x:v>
      </x:c>
      <x:c r="AD21" s="144" t="n">
        <x:f>IF(AA21=0,0,MAX(IFERROR(INDEX(TasksTable[Start Date],MATCH(T21,TasksTable[Task ID],0)),0),IFERROR(INDEX(TasksTable[Start Date],MATCH(U21,TasksTable[Task ID],0)),0),IFERROR(INDEX(TasksTable[Start Date],MATCH(V21,TasksTable[Task ID],0)),0),IFERROR(INDEX(TasksTable[Start Date],MATCH(W21,TasksTable[Task ID],0)),0),IFERROR(INDEX(TasksTable[Start Date],MATCH(X21,TasksTable[Task ID],0)),0),IFERROR(INDEX(TasksTable[Start Date],MATCH(Y21,TasksTable[Task ID],0)),0),IFERROR(INDEX(TasksTable[Start Date],MATCH(Z21,TasksTable[Task ID],0)),0)))</x:f>
        <x:v>46285</x:v>
      </x:c>
      <x:c r="AE21" s="144" t="n">
        <x:f>IF(AA21=0,0,MAX(IFERROR(INDEX(TasksTable[End Date],MATCH(T21,TasksTable[Task ID],0)),0),IFERROR(INDEX(TasksTable[End Date],MATCH(U21,TasksTable[Task ID],0)),0),IFERROR(INDEX(TasksTable[End Date],MATCH(V21,TasksTable[Task ID],0)),0),IFERROR(INDEX(TasksTable[End Date],MATCH(W21,TasksTable[Task ID],0)),0),IFERROR(INDEX(TasksTable[End Date],MATCH(X21,TasksTable[Task ID],0)),0),IFERROR(INDEX(TasksTable[End Date],MATCH(Y21,TasksTable[Task ID],0)),0),IFERROR(INDEX(TasksTable[End Date],MATCH(Z21,TasksTable[Task ID],0)),0)))</x:f>
        <x:v>46286</x:v>
      </x:c>
      <x:c r="AF21" s="137" t="b">
        <x:f>IF(OR($A21="",AA21=0),FALSE,SWITCH($J21,"FS",$F21&lt;AE21,"SS",$F21&lt;AD21,"FF",$G21&lt;AE21,"SF",$G21&lt;AD21,TRUE))</x:f>
        <x:v>0</x:v>
      </x:c>
      <x:c r="AG21" s="137" t="n">
        <x:f>IF(AND($A21&lt;&gt;"",$K21="No",$N21&lt;&gt;"Completed",$F21&gt;=TODAY()),$F21+ROW()/100000,"")</x:f>
        <x:v>46286.00021</x:v>
      </x:c>
      <x:c r="AH21" s="137" t="str">
        <x:f>IF(AND($A21&lt;&gt;"",$K21="Yes",$N21&lt;&gt;"Completed",$F21&gt;=TODAY()),$F21+ROW()/100000,"")</x:f>
      </x:c>
      <x:c r="AI21" s="137" t="str">
        <x:f>IF(AND($A21&lt;&gt;"",$K21="No",$N21&lt;&gt;"Completed",$G21&gt;=TODAY(),$G21&lt;=TODAY()+3),$G21+ROW()/100000,"")</x:f>
      </x:c>
      <x:c r="AJ21" s="137" t="str">
        <x:f>IF(AND($A21&lt;&gt;"",$K21="No",OR($N21="Delayed",$P21="Dependency conflict")),$G21+ROW()/100000,"")</x:f>
      </x:c>
      <x:c r="AK21" s="137" t="n">
        <x:f>IF(AG21="","",COUNTIFS($AG$7:$AG$206,"&gt;0",$AG$7:$AG$206,"&lt;"&amp;AG21)+1)</x:f>
        <x:v>13</x:v>
      </x:c>
      <x:c r="AL21" s="137" t="str">
        <x:f>IF(AH21="","",COUNTIFS($AH$7:$AH$206,"&gt;0",$AH$7:$AH$206,"&lt;"&amp;AH21)+1)</x:f>
      </x:c>
      <x:c r="AM21" s="137" t="str">
        <x:f>IF(AI21="","",COUNTIFS($AI$7:$AI$206,"&gt;0",$AI$7:$AI$206,"&lt;"&amp;AI21)+1)</x:f>
      </x:c>
      <x:c r="AN21" s="137" t="str">
        <x:f>IF(AJ21="","",COUNTIFS($AJ$7:$AJ$206,"&gt;0",$AJ$7:$AJ$206,"&lt;"&amp;AJ21)+1)</x:f>
      </x:c>
    </x:row>
    <x:row r="22" ht="38" customHeight="1">
      <x:c r="A22" s="52" t="str">
        <x:v>T14</x:v>
      </x:c>
      <x:c r="B22" s="54" t="str">
        <x:v>M3 · Sandbox Isolation &amp; Specialist Sub-Agent Readiness</x:v>
      </x:c>
      <x:c r="C22" s="54" t="str">
        <x:v>Instantiate specialist sub-agent micro-tools (S_CODE to S_ATTR) in sandbox</x:v>
      </x:c>
      <x:c r="D22" s="54" t="str">
        <x:v>Sandbox virtualization and egress proxy must be active before sub-agents and audit hooks launch.</x:v>
      </x:c>
      <x:c r="E22" s="54" t="str">
        <x:v>[INFERRED] Containerized specialist sub-agent micro-tools S_CODE through S_ATTR</x:v>
      </x:c>
      <x:c r="F22" s="56" t="n">
        <x:v>46286</x:v>
      </x:c>
      <x:c r="G22" s="56" t="n">
        <x:v>46288</x:v>
      </x:c>
      <x:c r="H22" s="60" t="n">
        <x:f>IF(OR(F22="",G22=""),"",G22-F22+1)</x:f>
        <x:v>3</x:v>
      </x:c>
      <x:c r="I22" s="54" t="str">
        <x:v>T11, T12</x:v>
      </x:c>
      <x:c r="J22" s="54" t="str">
        <x:v>FS</x:v>
      </x:c>
      <x:c r="K22" s="54" t="str">
        <x:v>No</x:v>
      </x:c>
      <x:c r="L22" s="54" t="str">
        <x:v>Specialist Sub-Agents (L4_SUBS)</x:v>
      </x:c>
      <x:c r="M22" s="54" t="str"/>
      <x:c r="N22" s="54" t="str">
        <x:f>IF(O22=0,"Not Started",IF(O22=1,"Completed","In Progress"))</x:f>
        <x:v>Not Started</x:v>
      </x:c>
      <x:c r="O22" s="58" t="n">
        <x:v>0</x:v>
      </x:c>
      <x:c r="P22" s="62" t="str">
        <x:f>IF(A22="","",IF(COUNTIF(TasksTable[Task ID],A22)&gt;1,"Duplicate Task ID",IF(OR(F22="",G22=""),"Missing dates",IF(G22&lt;F22,"Invalid dates",IF(OR(F22&lt;$B$2,G22&gt;$D$2),"Outside window",IF(AA22=0,IF(N22="Delayed","Delayed",IF(N22="On Hold","On Hold","On Track")),IF(J22="","Missing dependency type",IF(AC22,"Dependency cycle",IF(AB22&lt;&gt;AA22,"Invalid predecessor",IF(AF22,"Dependency conflict",IF(N22="Delayed","Delayed",IF(N22="On Hold","On Hold","On Track"))))))))))))</x:f>
        <x:v>On Track</x:v>
      </x:c>
      <x:c r="Q22" s="54" t="str"/>
      <x:c r="R22"/>
      <x:c r="T22" s="137" t="str">
        <x:f>IF($A22="","",TRIM(MID(SUBSTITUTE(SUBSTITUTE(TRIM($I22)," ",""),",",REPT(" ",100)),1,100)))</x:f>
        <x:v>T11</x:v>
      </x:c>
      <x:c r="U22" s="137" t="str">
        <x:f>IF($A22="","",TRIM(MID(SUBSTITUTE(SUBSTITUTE(TRIM($I22)," ",""),",",REPT(" ",100)),101,100)))</x:f>
        <x:v>T12</x:v>
      </x:c>
      <x:c r="V22" s="137" t="str">
        <x:f>IF($A22="","",TRIM(MID(SUBSTITUTE(SUBSTITUTE(TRIM($I22)," ",""),",",REPT(" ",100)),201,100)))</x:f>
      </x:c>
      <x:c r="W22" s="137" t="str">
        <x:f>IF($A22="","",TRIM(MID(SUBSTITUTE(SUBSTITUTE(TRIM($I22)," ",""),",",REPT(" ",100)),301,100)))</x:f>
      </x:c>
      <x:c r="X22" s="137" t="str">
        <x:f>IF($A22="","",TRIM(MID(SUBSTITUTE(SUBSTITUTE(TRIM($I22)," ",""),",",REPT(" ",100)),401,100)))</x:f>
      </x:c>
      <x:c r="Y22" s="137" t="str">
        <x:f>IF($A22="","",TRIM(MID(SUBSTITUTE(SUBSTITUTE(TRIM($I22)," ",""),",",REPT(" ",100)),501,100)))</x:f>
      </x:c>
      <x:c r="Z22" s="137" t="str">
        <x:f>IF($A22="","",TRIM(MID(SUBSTITUTE(SUBSTITUTE(TRIM($I22)," ",""),",",REPT(" ",100)),601,100)))</x:f>
      </x:c>
      <x:c r="AA22" s="137" t="n">
        <x:f>IF($A22="","",IF(SUBSTITUTE(TRIM($I22)," ","")="",0,1+LEN(SUBSTITUTE(TRIM($I22)," ",""))-LEN(SUBSTITUTE(SUBSTITUTE(TRIM($I22)," ",""),",",""))))</x:f>
        <x:v>2</x:v>
      </x:c>
      <x:c r="AB22" s="137" t="n">
        <x:f>IF($A22="","",COUNTIF(TasksTable[Task ID],T22)+COUNTIF(TasksTable[Task ID],U22)+COUNTIF(TasksTable[Task ID],V22)+COUNTIF(TasksTable[Task ID],W22)+COUNTIF(TasksTable[Task ID],X22)+COUNTIF(TasksTable[Task ID],Y22)+COUNTIF(TasksTable[Task ID],Z22))</x:f>
        <x:v>2</x:v>
      </x:c>
      <x:c r="AC22" s="137" t="b">
        <x:f>IF($A22="",FALSE,OR(T22=$A22,U22=$A22,V22=$A22,W22=$A22,X22=$A22,Y22=$A22,Z22=$A22))</x:f>
        <x:v>0</x:v>
      </x:c>
      <x:c r="AD22" s="144" t="n">
        <x:f>IF(AA22=0,0,MAX(IFERROR(INDEX(TasksTable[Start Date],MATCH(T22,TasksTable[Task ID],0)),0),IFERROR(INDEX(TasksTable[Start Date],MATCH(U22,TasksTable[Task ID],0)),0),IFERROR(INDEX(TasksTable[Start Date],MATCH(V22,TasksTable[Task ID],0)),0),IFERROR(INDEX(TasksTable[Start Date],MATCH(W22,TasksTable[Task ID],0)),0),IFERROR(INDEX(TasksTable[Start Date],MATCH(X22,TasksTable[Task ID],0)),0),IFERROR(INDEX(TasksTable[Start Date],MATCH(Y22,TasksTable[Task ID],0)),0),IFERROR(INDEX(TasksTable[Start Date],MATCH(Z22,TasksTable[Task ID],0)),0)))</x:f>
        <x:v>46285</x:v>
      </x:c>
      <x:c r="AE22" s="144" t="n">
        <x:f>IF(AA22=0,0,MAX(IFERROR(INDEX(TasksTable[End Date],MATCH(T22,TasksTable[Task ID],0)),0),IFERROR(INDEX(TasksTable[End Date],MATCH(U22,TasksTable[Task ID],0)),0),IFERROR(INDEX(TasksTable[End Date],MATCH(V22,TasksTable[Task ID],0)),0),IFERROR(INDEX(TasksTable[End Date],MATCH(W22,TasksTable[Task ID],0)),0),IFERROR(INDEX(TasksTable[End Date],MATCH(X22,TasksTable[Task ID],0)),0),IFERROR(INDEX(TasksTable[End Date],MATCH(Y22,TasksTable[Task ID],0)),0),IFERROR(INDEX(TasksTable[End Date],MATCH(Z22,TasksTable[Task ID],0)),0)))</x:f>
        <x:v>46286</x:v>
      </x:c>
      <x:c r="AF22" s="137" t="b">
        <x:f>IF(OR($A22="",AA22=0),FALSE,SWITCH($J22,"FS",$F22&lt;AE22,"SS",$F22&lt;AD22,"FF",$G22&lt;AE22,"SF",$G22&lt;AD22,TRUE))</x:f>
        <x:v>0</x:v>
      </x:c>
      <x:c r="AG22" s="137" t="n">
        <x:f>IF(AND($A22&lt;&gt;"",$K22="No",$N22&lt;&gt;"Completed",$F22&gt;=TODAY()),$F22+ROW()/100000,"")</x:f>
        <x:v>46286.00022</x:v>
      </x:c>
      <x:c r="AH22" s="137" t="str">
        <x:f>IF(AND($A22&lt;&gt;"",$K22="Yes",$N22&lt;&gt;"Completed",$F22&gt;=TODAY()),$F22+ROW()/100000,"")</x:f>
      </x:c>
      <x:c r="AI22" s="137" t="str">
        <x:f>IF(AND($A22&lt;&gt;"",$K22="No",$N22&lt;&gt;"Completed",$G22&gt;=TODAY(),$G22&lt;=TODAY()+3),$G22+ROW()/100000,"")</x:f>
      </x:c>
      <x:c r="AJ22" s="137" t="str">
        <x:f>IF(AND($A22&lt;&gt;"",$K22="No",OR($N22="Delayed",$P22="Dependency conflict")),$G22+ROW()/100000,"")</x:f>
      </x:c>
      <x:c r="AK22" s="137" t="n">
        <x:f>IF(AG22="","",COUNTIFS($AG$7:$AG$206,"&gt;0",$AG$7:$AG$206,"&lt;"&amp;AG22)+1)</x:f>
        <x:v>14</x:v>
      </x:c>
      <x:c r="AL22" s="137" t="str">
        <x:f>IF(AH22="","",COUNTIFS($AH$7:$AH$206,"&gt;0",$AH$7:$AH$206,"&lt;"&amp;AH22)+1)</x:f>
      </x:c>
      <x:c r="AM22" s="137" t="str">
        <x:f>IF(AI22="","",COUNTIFS($AI$7:$AI$206,"&gt;0",$AI$7:$AI$206,"&lt;"&amp;AI22)+1)</x:f>
      </x:c>
      <x:c r="AN22" s="137" t="str">
        <x:f>IF(AJ22="","",COUNTIFS($AJ$7:$AJ$206,"&gt;0",$AJ$7:$AJ$206,"&lt;"&amp;AJ22)+1)</x:f>
      </x:c>
    </x:row>
    <x:row r="23" ht="46" customHeight="1">
      <x:c r="A23" s="156" t="str">
        <x:v>M3</x:v>
      </x:c>
      <x:c r="B23" s="157" t="str">
        <x:v>M3 · Sandbox Isolation &amp; Specialist Sub-Agent Readiness</x:v>
      </x:c>
      <x:c r="C23" s="157" t="str">
        <x:v>Sandbox Isolation &amp; Specialist Sub-Agent Readiness</x:v>
      </x:c>
      <x:c r="D23" s="157" t="str">
        <x:v>Explicit checkpoint linked to T11, T12, T13, T14.</x:v>
      </x:c>
      <x:c r="E23" s="157" t="str">
        <x:v>Sandbox Isolation &amp; Specialist Sub-Agent Readiness</x:v>
      </x:c>
      <x:c r="F23" s="158" t="n">
        <x:v>46288</x:v>
      </x:c>
      <x:c r="G23" s="158" t="n">
        <x:v>46288</x:v>
      </x:c>
      <x:c r="H23" s="159" t="n">
        <x:f>IF(OR(F23="",G23=""),"",G23-F23+1)</x:f>
        <x:v>1</x:v>
      </x:c>
      <x:c r="I23" s="157" t="str">
        <x:v>T11, T12, T13, T14</x:v>
      </x:c>
      <x:c r="J23" s="157" t="str">
        <x:v>FS</x:v>
      </x:c>
      <x:c r="K23" s="157" t="str">
        <x:v>Yes</x:v>
      </x:c>
      <x:c r="L23" s="157" t="str">
        <x:v>Unassigned</x:v>
      </x:c>
      <x:c r="M23" s="157" t="str"/>
      <x:c r="N23" s="157" t="str">
        <x:f>IF(O23=0,"Not Started",IF(O23=1,"Completed","In Progress"))</x:f>
        <x:v>Not Started</x:v>
      </x:c>
      <x:c r="O23" s="160" t="n">
        <x:v>0</x:v>
      </x:c>
      <x:c r="P23" s="157" t="str">
        <x:f>IF(A23="","",IF(COUNTIF(TasksTable[Task ID],A23)&gt;1,"Duplicate Task ID",IF(OR(F23="",G23=""),"Missing dates",IF(G23&lt;F23,"Invalid dates",IF(OR(F23&lt;$B$2,G23&gt;$D$2),"Outside window",IF(AA23=0,IF(N23="Delayed","Delayed",IF(N23="On Hold","On Hold","On Track")),IF(J23="","Missing dependency type",IF(AC23,"Dependency cycle",IF(AB23&lt;&gt;AA23,"Invalid predecessor",IF(AF23,"Dependency conflict",IF(N23="Delayed","Delayed",IF(N23="On Hold","On Hold","On Track"))))))))))))</x:f>
        <x:v>On Track</x:v>
      </x:c>
      <x:c r="Q23" s="157" t="str">
        <x:v>[INFERRED] Milestone linkage is represented as FS predecessors from the source-listed linked tasks; source milestone status was inferred and is reset to 0%/Not Started per workbook requirement.</x:v>
      </x:c>
      <x:c r="R23"/>
      <x:c r="T23" s="137" t="str">
        <x:f>IF($A23="","",TRIM(MID(SUBSTITUTE(SUBSTITUTE(TRIM($I23)," ",""),",",REPT(" ",100)),1,100)))</x:f>
        <x:v>T11</x:v>
      </x:c>
      <x:c r="U23" s="137" t="str">
        <x:f>IF($A23="","",TRIM(MID(SUBSTITUTE(SUBSTITUTE(TRIM($I23)," ",""),",",REPT(" ",100)),101,100)))</x:f>
        <x:v>T12</x:v>
      </x:c>
      <x:c r="V23" s="137" t="str">
        <x:f>IF($A23="","",TRIM(MID(SUBSTITUTE(SUBSTITUTE(TRIM($I23)," ",""),",",REPT(" ",100)),201,100)))</x:f>
        <x:v>T13</x:v>
      </x:c>
      <x:c r="W23" s="137" t="str">
        <x:f>IF($A23="","",TRIM(MID(SUBSTITUTE(SUBSTITUTE(TRIM($I23)," ",""),",",REPT(" ",100)),301,100)))</x:f>
        <x:v>T14</x:v>
      </x:c>
      <x:c r="X23" s="137" t="str">
        <x:f>IF($A23="","",TRIM(MID(SUBSTITUTE(SUBSTITUTE(TRIM($I23)," ",""),",",REPT(" ",100)),401,100)))</x:f>
      </x:c>
      <x:c r="Y23" s="137" t="str">
        <x:f>IF($A23="","",TRIM(MID(SUBSTITUTE(SUBSTITUTE(TRIM($I23)," ",""),",",REPT(" ",100)),501,100)))</x:f>
      </x:c>
      <x:c r="Z23" s="137" t="str">
        <x:f>IF($A23="","",TRIM(MID(SUBSTITUTE(SUBSTITUTE(TRIM($I23)," ",""),",",REPT(" ",100)),601,100)))</x:f>
      </x:c>
      <x:c r="AA23" s="137" t="n">
        <x:f>IF($A23="","",IF(SUBSTITUTE(TRIM($I23)," ","")="",0,1+LEN(SUBSTITUTE(TRIM($I23)," ",""))-LEN(SUBSTITUTE(SUBSTITUTE(TRIM($I23)," ",""),",",""))))</x:f>
        <x:v>4</x:v>
      </x:c>
      <x:c r="AB23" s="137" t="n">
        <x:f>IF($A23="","",COUNTIF(TasksTable[Task ID],T23)+COUNTIF(TasksTable[Task ID],U23)+COUNTIF(TasksTable[Task ID],V23)+COUNTIF(TasksTable[Task ID],W23)+COUNTIF(TasksTable[Task ID],X23)+COUNTIF(TasksTable[Task ID],Y23)+COUNTIF(TasksTable[Task ID],Z23))</x:f>
        <x:v>4</x:v>
      </x:c>
      <x:c r="AC23" s="137" t="b">
        <x:f>IF($A23="",FALSE,OR(T23=$A23,U23=$A23,V23=$A23,W23=$A23,X23=$A23,Y23=$A23,Z23=$A23))</x:f>
        <x:v>0</x:v>
      </x:c>
      <x:c r="AD23" s="144" t="n">
        <x:f>IF(AA23=0,0,MAX(IFERROR(INDEX(TasksTable[Start Date],MATCH(T23,TasksTable[Task ID],0)),0),IFERROR(INDEX(TasksTable[Start Date],MATCH(U23,TasksTable[Task ID],0)),0),IFERROR(INDEX(TasksTable[Start Date],MATCH(V23,TasksTable[Task ID],0)),0),IFERROR(INDEX(TasksTable[Start Date],MATCH(W23,TasksTable[Task ID],0)),0),IFERROR(INDEX(TasksTable[Start Date],MATCH(X23,TasksTable[Task ID],0)),0),IFERROR(INDEX(TasksTable[Start Date],MATCH(Y23,TasksTable[Task ID],0)),0),IFERROR(INDEX(TasksTable[Start Date],MATCH(Z23,TasksTable[Task ID],0)),0)))</x:f>
        <x:v>46286</x:v>
      </x:c>
      <x:c r="AE23" s="144" t="n">
        <x:f>IF(AA23=0,0,MAX(IFERROR(INDEX(TasksTable[End Date],MATCH(T23,TasksTable[Task ID],0)),0),IFERROR(INDEX(TasksTable[End Date],MATCH(U23,TasksTable[Task ID],0)),0),IFERROR(INDEX(TasksTable[End Date],MATCH(V23,TasksTable[Task ID],0)),0),IFERROR(INDEX(TasksTable[End Date],MATCH(W23,TasksTable[Task ID],0)),0),IFERROR(INDEX(TasksTable[End Date],MATCH(X23,TasksTable[Task ID],0)),0),IFERROR(INDEX(TasksTable[End Date],MATCH(Y23,TasksTable[Task ID],0)),0),IFERROR(INDEX(TasksTable[End Date],MATCH(Z23,TasksTable[Task ID],0)),0)))</x:f>
        <x:v>46288</x:v>
      </x:c>
      <x:c r="AF23" s="137" t="b">
        <x:f>IF(OR($A23="",AA23=0),FALSE,SWITCH($J23,"FS",$F23&lt;AE23,"SS",$F23&lt;AD23,"FF",$G23&lt;AE23,"SF",$G23&lt;AD23,TRUE))</x:f>
        <x:v>0</x:v>
      </x:c>
      <x:c r="AG23" s="137" t="str">
        <x:f>IF(AND($A23&lt;&gt;"",$K23="No",$N23&lt;&gt;"Completed",$F23&gt;=TODAY()),$F23+ROW()/100000,"")</x:f>
      </x:c>
      <x:c r="AH23" s="137" t="n">
        <x:f>IF(AND($A23&lt;&gt;"",$K23="Yes",$N23&lt;&gt;"Completed",$F23&gt;=TODAY()),$F23+ROW()/100000,"")</x:f>
        <x:v>46288.00023</x:v>
      </x:c>
      <x:c r="AI23" s="137" t="str">
        <x:f>IF(AND($A23&lt;&gt;"",$K23="No",$N23&lt;&gt;"Completed",$G23&gt;=TODAY(),$G23&lt;=TODAY()+3),$G23+ROW()/100000,"")</x:f>
      </x:c>
      <x:c r="AJ23" s="137" t="str">
        <x:f>IF(AND($A23&lt;&gt;"",$K23="No",OR($N23="Delayed",$P23="Dependency conflict")),$G23+ROW()/100000,"")</x:f>
      </x:c>
      <x:c r="AK23" s="137" t="str">
        <x:f>IF(AG23="","",COUNTIFS($AG$7:$AG$206,"&gt;0",$AG$7:$AG$206,"&lt;"&amp;AG23)+1)</x:f>
      </x:c>
      <x:c r="AL23" s="137" t="n">
        <x:f>IF(AH23="","",COUNTIFS($AH$7:$AH$206,"&gt;0",$AH$7:$AH$206,"&lt;"&amp;AH23)+1)</x:f>
        <x:v>3</x:v>
      </x:c>
      <x:c r="AM23" s="137" t="str">
        <x:f>IF(AI23="","",COUNTIFS($AI$7:$AI$206,"&gt;0",$AI$7:$AI$206,"&lt;"&amp;AI23)+1)</x:f>
      </x:c>
      <x:c r="AN23" s="137" t="str">
        <x:f>IF(AJ23="","",COUNTIFS($AJ$7:$AJ$206,"&gt;0",$AJ$7:$AJ$206,"&lt;"&amp;AJ23)+1)</x:f>
      </x:c>
    </x:row>
    <x:row r="24" ht="38" customHeight="1">
      <x:c r="A24" s="52" t="str">
        <x:v>T15</x:v>
      </x:c>
      <x:c r="B24" s="54" t="str">
        <x:v>M4 · Domain Intelligence Ingestion &amp; Asset Synthesis Complete</x:v>
      </x:c>
      <x:c r="C24" s="54" t="str">
        <x:v>Configure Intelligence Engine context assembly &amp; brand persona layer</x:v>
      </x:c>
      <x:c r="D24" s="54" t="str">
        <x:v>Task state schema and RAG access must be active before IE context assembly can operate.</x:v>
      </x:c>
      <x:c r="E24" s="54" t="str">
        <x:v>[INFERRED] Intelligence Engine context assembly and brand persona layer</x:v>
      </x:c>
      <x:c r="F24" s="56" t="n">
        <x:v>46288</x:v>
      </x:c>
      <x:c r="G24" s="56" t="n">
        <x:v>46289</x:v>
      </x:c>
      <x:c r="H24" s="60" t="n">
        <x:f>IF(OR(F24="",G24=""),"",G24-F24+1)</x:f>
        <x:v>2</x:v>
      </x:c>
      <x:c r="I24" s="54" t="str">
        <x:v>T04, T10</x:v>
      </x:c>
      <x:c r="J24" s="54" t="str">
        <x:v>FS</x:v>
      </x:c>
      <x:c r="K24" s="54" t="str">
        <x:v>No</x:v>
      </x:c>
      <x:c r="L24" s="54" t="str">
        <x:v>Intelligence Engine (IE)</x:v>
      </x:c>
      <x:c r="M24" s="54" t="str"/>
      <x:c r="N24" s="54" t="str">
        <x:f>IF(O24=0,"Not Started",IF(O24=1,"Completed","In Progress"))</x:f>
        <x:v>Not Started</x:v>
      </x:c>
      <x:c r="O24" s="58" t="n">
        <x:v>0</x:v>
      </x:c>
      <x:c r="P24" s="62" t="str">
        <x:f>IF(A24="","",IF(COUNTIF(TasksTable[Task ID],A24)&gt;1,"Duplicate Task ID",IF(OR(F24="",G24=""),"Missing dates",IF(G24&lt;F24,"Invalid dates",IF(OR(F24&lt;$B$2,G24&gt;$D$2),"Outside window",IF(AA24=0,IF(N24="Delayed","Delayed",IF(N24="On Hold","On Hold","On Track")),IF(J24="","Missing dependency type",IF(AC24,"Dependency cycle",IF(AB24&lt;&gt;AA24,"Invalid predecessor",IF(AF24,"Dependency conflict",IF(N24="Delayed","Delayed",IF(N24="On Hold","On Hold","On Track"))))))))))))</x:f>
        <x:v>On Track</x:v>
      </x:c>
      <x:c r="Q24" s="54" t="str"/>
      <x:c r="R24"/>
      <x:c r="T24" s="137" t="str">
        <x:f>IF($A24="","",TRIM(MID(SUBSTITUTE(SUBSTITUTE(TRIM($I24)," ",""),",",REPT(" ",100)),1,100)))</x:f>
        <x:v>T04</x:v>
      </x:c>
      <x:c r="U24" s="137" t="str">
        <x:f>IF($A24="","",TRIM(MID(SUBSTITUTE(SUBSTITUTE(TRIM($I24)," ",""),",",REPT(" ",100)),101,100)))</x:f>
        <x:v>T10</x:v>
      </x:c>
      <x:c r="V24" s="137" t="str">
        <x:f>IF($A24="","",TRIM(MID(SUBSTITUTE(SUBSTITUTE(TRIM($I24)," ",""),",",REPT(" ",100)),201,100)))</x:f>
      </x:c>
      <x:c r="W24" s="137" t="str">
        <x:f>IF($A24="","",TRIM(MID(SUBSTITUTE(SUBSTITUTE(TRIM($I24)," ",""),",",REPT(" ",100)),301,100)))</x:f>
      </x:c>
      <x:c r="X24" s="137" t="str">
        <x:f>IF($A24="","",TRIM(MID(SUBSTITUTE(SUBSTITUTE(TRIM($I24)," ",""),",",REPT(" ",100)),401,100)))</x:f>
      </x:c>
      <x:c r="Y24" s="137" t="str">
        <x:f>IF($A24="","",TRIM(MID(SUBSTITUTE(SUBSTITUTE(TRIM($I24)," ",""),",",REPT(" ",100)),501,100)))</x:f>
      </x:c>
      <x:c r="Z24" s="137" t="str">
        <x:f>IF($A24="","",TRIM(MID(SUBSTITUTE(SUBSTITUTE(TRIM($I24)," ",""),",",REPT(" ",100)),601,100)))</x:f>
      </x:c>
      <x:c r="AA24" s="137" t="n">
        <x:f>IF($A24="","",IF(SUBSTITUTE(TRIM($I24)," ","")="",0,1+LEN(SUBSTITUTE(TRIM($I24)," ",""))-LEN(SUBSTITUTE(SUBSTITUTE(TRIM($I24)," ",""),",",""))))</x:f>
        <x:v>2</x:v>
      </x:c>
      <x:c r="AB24" s="137" t="n">
        <x:f>IF($A24="","",COUNTIF(TasksTable[Task ID],T24)+COUNTIF(TasksTable[Task ID],U24)+COUNTIF(TasksTable[Task ID],V24)+COUNTIF(TasksTable[Task ID],W24)+COUNTIF(TasksTable[Task ID],X24)+COUNTIF(TasksTable[Task ID],Y24)+COUNTIF(TasksTable[Task ID],Z24))</x:f>
        <x:v>2</x:v>
      </x:c>
      <x:c r="AC24" s="137" t="b">
        <x:f>IF($A24="",FALSE,OR(T24=$A24,U24=$A24,V24=$A24,W24=$A24,X24=$A24,Y24=$A24,Z24=$A24))</x:f>
        <x:v>0</x:v>
      </x:c>
      <x:c r="AD24" s="144" t="n">
        <x:f>IF(AA24=0,0,MAX(IFERROR(INDEX(TasksTable[Start Date],MATCH(T24,TasksTable[Task ID],0)),0),IFERROR(INDEX(TasksTable[Start Date],MATCH(U24,TasksTable[Task ID],0)),0),IFERROR(INDEX(TasksTable[Start Date],MATCH(V24,TasksTable[Task ID],0)),0),IFERROR(INDEX(TasksTable[Start Date],MATCH(W24,TasksTable[Task ID],0)),0),IFERROR(INDEX(TasksTable[Start Date],MATCH(X24,TasksTable[Task ID],0)),0),IFERROR(INDEX(TasksTable[Start Date],MATCH(Y24,TasksTable[Task ID],0)),0),IFERROR(INDEX(TasksTable[Start Date],MATCH(Z24,TasksTable[Task ID],0)),0)))</x:f>
        <x:v>46283</x:v>
      </x:c>
      <x:c r="AE24" s="144" t="n">
        <x:f>IF(AA24=0,0,MAX(IFERROR(INDEX(TasksTable[End Date],MATCH(T24,TasksTable[Task ID],0)),0),IFERROR(INDEX(TasksTable[End Date],MATCH(U24,TasksTable[Task ID],0)),0),IFERROR(INDEX(TasksTable[End Date],MATCH(V24,TasksTable[Task ID],0)),0),IFERROR(INDEX(TasksTable[End Date],MATCH(W24,TasksTable[Task ID],0)),0),IFERROR(INDEX(TasksTable[End Date],MATCH(X24,TasksTable[Task ID],0)),0),IFERROR(INDEX(TasksTable[End Date],MATCH(Y24,TasksTable[Task ID],0)),0),IFERROR(INDEX(TasksTable[End Date],MATCH(Z24,TasksTable[Task ID],0)),0)))</x:f>
        <x:v>46284</x:v>
      </x:c>
      <x:c r="AF24" s="137" t="b">
        <x:f>IF(OR($A24="",AA24=0),FALSE,SWITCH($J24,"FS",$F24&lt;AE24,"SS",$F24&lt;AD24,"FF",$G24&lt;AE24,"SF",$G24&lt;AD24,TRUE))</x:f>
        <x:v>0</x:v>
      </x:c>
      <x:c r="AG24" s="137" t="n">
        <x:f>IF(AND($A24&lt;&gt;"",$K24="No",$N24&lt;&gt;"Completed",$F24&gt;=TODAY()),$F24+ROW()/100000,"")</x:f>
        <x:v>46288.00024</x:v>
      </x:c>
      <x:c r="AH24" s="137" t="str">
        <x:f>IF(AND($A24&lt;&gt;"",$K24="Yes",$N24&lt;&gt;"Completed",$F24&gt;=TODAY()),$F24+ROW()/100000,"")</x:f>
      </x:c>
      <x:c r="AI24" s="137" t="str">
        <x:f>IF(AND($A24&lt;&gt;"",$K24="No",$N24&lt;&gt;"Completed",$G24&gt;=TODAY(),$G24&lt;=TODAY()+3),$G24+ROW()/100000,"")</x:f>
      </x:c>
      <x:c r="AJ24" s="137" t="str">
        <x:f>IF(AND($A24&lt;&gt;"",$K24="No",OR($N24="Delayed",$P24="Dependency conflict")),$G24+ROW()/100000,"")</x:f>
      </x:c>
      <x:c r="AK24" s="137" t="n">
        <x:f>IF(AG24="","",COUNTIFS($AG$7:$AG$206,"&gt;0",$AG$7:$AG$206,"&lt;"&amp;AG24)+1)</x:f>
        <x:v>15</x:v>
      </x:c>
      <x:c r="AL24" s="137" t="str">
        <x:f>IF(AH24="","",COUNTIFS($AH$7:$AH$206,"&gt;0",$AH$7:$AH$206,"&lt;"&amp;AH24)+1)</x:f>
      </x:c>
      <x:c r="AM24" s="137" t="str">
        <x:f>IF(AI24="","",COUNTIFS($AI$7:$AI$206,"&gt;0",$AI$7:$AI$206,"&lt;"&amp;AI24)+1)</x:f>
      </x:c>
      <x:c r="AN24" s="137" t="str">
        <x:f>IF(AJ24="","",COUNTIFS($AJ$7:$AJ$206,"&gt;0",$AJ$7:$AJ$206,"&lt;"&amp;AJ24)+1)</x:f>
      </x:c>
    </x:row>
    <x:row r="25" ht="38" customHeight="1">
      <x:c r="A25" s="52" t="str">
        <x:v>T16</x:v>
      </x:c>
      <x:c r="B25" s="54" t="str">
        <x:v>M4 · Domain Intelligence Ingestion &amp; Asset Synthesis Complete</x:v>
      </x:c>
      <x:c r="C25" s="54" t="str">
        <x:v>Ingest &amp; verify product formulations and compliance dossiers (W_PROD)</x:v>
      </x:c>
      <x:c r="D25" s="54" t="str">
        <x:v>Workers require RAG data access, sandbox micro-tools, and IE context grants to ingest domain intel.</x:v>
      </x:c>
      <x:c r="E25" s="54" t="str">
        <x:v>[INFERRED] Verified claims/compliance dossier and product specification evidence</x:v>
      </x:c>
      <x:c r="F25" s="56" t="n">
        <x:v>46289</x:v>
      </x:c>
      <x:c r="G25" s="56" t="n">
        <x:v>46291</x:v>
      </x:c>
      <x:c r="H25" s="60" t="n">
        <x:f>IF(OR(F25="",G25=""),"",G25-F25+1)</x:f>
        <x:v>3</x:v>
      </x:c>
      <x:c r="I25" s="54" t="str">
        <x:v>T10, T14, T15</x:v>
      </x:c>
      <x:c r="J25" s="54" t="str">
        <x:v>FS</x:v>
      </x:c>
      <x:c r="K25" s="54" t="str">
        <x:v>No</x:v>
      </x:c>
      <x:c r="L25" s="54" t="str">
        <x:v>Product / Evidence Engine &amp; S_VAL</x:v>
      </x:c>
      <x:c r="M25" s="54" t="str"/>
      <x:c r="N25" s="54" t="str">
        <x:f>IF(O25=0,"Not Started",IF(O25=1,"Completed","In Progress"))</x:f>
        <x:v>Not Started</x:v>
      </x:c>
      <x:c r="O25" s="58" t="n">
        <x:v>0</x:v>
      </x:c>
      <x:c r="P25" s="62" t="str">
        <x:f>IF(A25="","",IF(COUNTIF(TasksTable[Task ID],A25)&gt;1,"Duplicate Task ID",IF(OR(F25="",G25=""),"Missing dates",IF(G25&lt;F25,"Invalid dates",IF(OR(F25&lt;$B$2,G25&gt;$D$2),"Outside window",IF(AA25=0,IF(N25="Delayed","Delayed",IF(N25="On Hold","On Hold","On Track")),IF(J25="","Missing dependency type",IF(AC25,"Dependency cycle",IF(AB25&lt;&gt;AA25,"Invalid predecessor",IF(AF25,"Dependency conflict",IF(N25="Delayed","Delayed",IF(N25="On Hold","On Hold","On Track"))))))))))))</x:f>
        <x:v>On Track</x:v>
      </x:c>
      <x:c r="Q25" s="54" t="str"/>
      <x:c r="R25"/>
      <x:c r="T25" s="137" t="str">
        <x:f>IF($A25="","",TRIM(MID(SUBSTITUTE(SUBSTITUTE(TRIM($I25)," ",""),",",REPT(" ",100)),1,100)))</x:f>
        <x:v>T10</x:v>
      </x:c>
      <x:c r="U25" s="137" t="str">
        <x:f>IF($A25="","",TRIM(MID(SUBSTITUTE(SUBSTITUTE(TRIM($I25)," ",""),",",REPT(" ",100)),101,100)))</x:f>
        <x:v>T14</x:v>
      </x:c>
      <x:c r="V25" s="137" t="str">
        <x:f>IF($A25="","",TRIM(MID(SUBSTITUTE(SUBSTITUTE(TRIM($I25)," ",""),",",REPT(" ",100)),201,100)))</x:f>
        <x:v>T15</x:v>
      </x:c>
      <x:c r="W25" s="137" t="str">
        <x:f>IF($A25="","",TRIM(MID(SUBSTITUTE(SUBSTITUTE(TRIM($I25)," ",""),",",REPT(" ",100)),301,100)))</x:f>
      </x:c>
      <x:c r="X25" s="137" t="str">
        <x:f>IF($A25="","",TRIM(MID(SUBSTITUTE(SUBSTITUTE(TRIM($I25)," ",""),",",REPT(" ",100)),401,100)))</x:f>
      </x:c>
      <x:c r="Y25" s="137" t="str">
        <x:f>IF($A25="","",TRIM(MID(SUBSTITUTE(SUBSTITUTE(TRIM($I25)," ",""),",",REPT(" ",100)),501,100)))</x:f>
      </x:c>
      <x:c r="Z25" s="137" t="str">
        <x:f>IF($A25="","",TRIM(MID(SUBSTITUTE(SUBSTITUTE(TRIM($I25)," ",""),",",REPT(" ",100)),601,100)))</x:f>
      </x:c>
      <x:c r="AA25" s="137" t="n">
        <x:f>IF($A25="","",IF(SUBSTITUTE(TRIM($I25)," ","")="",0,1+LEN(SUBSTITUTE(TRIM($I25)," ",""))-LEN(SUBSTITUTE(SUBSTITUTE(TRIM($I25)," ",""),",",""))))</x:f>
        <x:v>3</x:v>
      </x:c>
      <x:c r="AB25" s="137" t="n">
        <x:f>IF($A25="","",COUNTIF(TasksTable[Task ID],T25)+COUNTIF(TasksTable[Task ID],U25)+COUNTIF(TasksTable[Task ID],V25)+COUNTIF(TasksTable[Task ID],W25)+COUNTIF(TasksTable[Task ID],X25)+COUNTIF(TasksTable[Task ID],Y25)+COUNTIF(TasksTable[Task ID],Z25))</x:f>
        <x:v>3</x:v>
      </x:c>
      <x:c r="AC25" s="137" t="b">
        <x:f>IF($A25="",FALSE,OR(T25=$A25,U25=$A25,V25=$A25,W25=$A25,X25=$A25,Y25=$A25,Z25=$A25))</x:f>
        <x:v>0</x:v>
      </x:c>
      <x:c r="AD25" s="144" t="n">
        <x:f>IF(AA25=0,0,MAX(IFERROR(INDEX(TasksTable[Start Date],MATCH(T25,TasksTable[Task ID],0)),0),IFERROR(INDEX(TasksTable[Start Date],MATCH(U25,TasksTable[Task ID],0)),0),IFERROR(INDEX(TasksTable[Start Date],MATCH(V25,TasksTable[Task ID],0)),0),IFERROR(INDEX(TasksTable[Start Date],MATCH(W25,TasksTable[Task ID],0)),0),IFERROR(INDEX(TasksTable[Start Date],MATCH(X25,TasksTable[Task ID],0)),0),IFERROR(INDEX(TasksTable[Start Date],MATCH(Y25,TasksTable[Task ID],0)),0),IFERROR(INDEX(TasksTable[Start Date],MATCH(Z25,TasksTable[Task ID],0)),0)))</x:f>
        <x:v>46288</x:v>
      </x:c>
      <x:c r="AE25" s="144" t="n">
        <x:f>IF(AA25=0,0,MAX(IFERROR(INDEX(TasksTable[End Date],MATCH(T25,TasksTable[Task ID],0)),0),IFERROR(INDEX(TasksTable[End Date],MATCH(U25,TasksTable[Task ID],0)),0),IFERROR(INDEX(TasksTable[End Date],MATCH(V25,TasksTable[Task ID],0)),0),IFERROR(INDEX(TasksTable[End Date],MATCH(W25,TasksTable[Task ID],0)),0),IFERROR(INDEX(TasksTable[End Date],MATCH(X25,TasksTable[Task ID],0)),0),IFERROR(INDEX(TasksTable[End Date],MATCH(Y25,TasksTable[Task ID],0)),0),IFERROR(INDEX(TasksTable[End Date],MATCH(Z25,TasksTable[Task ID],0)),0)))</x:f>
        <x:v>46289</x:v>
      </x:c>
      <x:c r="AF25" s="137" t="b">
        <x:f>IF(OR($A25="",AA25=0),FALSE,SWITCH($J25,"FS",$F25&lt;AE25,"SS",$F25&lt;AD25,"FF",$G25&lt;AE25,"SF",$G25&lt;AD25,TRUE))</x:f>
        <x:v>0</x:v>
      </x:c>
      <x:c r="AG25" s="137" t="n">
        <x:f>IF(AND($A25&lt;&gt;"",$K25="No",$N25&lt;&gt;"Completed",$F25&gt;=TODAY()),$F25+ROW()/100000,"")</x:f>
        <x:v>46289.00025</x:v>
      </x:c>
      <x:c r="AH25" s="137" t="str">
        <x:f>IF(AND($A25&lt;&gt;"",$K25="Yes",$N25&lt;&gt;"Completed",$F25&gt;=TODAY()),$F25+ROW()/100000,"")</x:f>
      </x:c>
      <x:c r="AI25" s="137" t="str">
        <x:f>IF(AND($A25&lt;&gt;"",$K25="No",$N25&lt;&gt;"Completed",$G25&gt;=TODAY(),$G25&lt;=TODAY()+3),$G25+ROW()/100000,"")</x:f>
      </x:c>
      <x:c r="AJ25" s="137" t="str">
        <x:f>IF(AND($A25&lt;&gt;"",$K25="No",OR($N25="Delayed",$P25="Dependency conflict")),$G25+ROW()/100000,"")</x:f>
      </x:c>
      <x:c r="AK25" s="137" t="n">
        <x:f>IF(AG25="","",COUNTIFS($AG$7:$AG$206,"&gt;0",$AG$7:$AG$206,"&lt;"&amp;AG25)+1)</x:f>
        <x:v>16</x:v>
      </x:c>
      <x:c r="AL25" s="137" t="str">
        <x:f>IF(AH25="","",COUNTIFS($AH$7:$AH$206,"&gt;0",$AH$7:$AH$206,"&lt;"&amp;AH25)+1)</x:f>
      </x:c>
      <x:c r="AM25" s="137" t="str">
        <x:f>IF(AI25="","",COUNTIFS($AI$7:$AI$206,"&gt;0",$AI$7:$AI$206,"&lt;"&amp;AI25)+1)</x:f>
      </x:c>
      <x:c r="AN25" s="137" t="str">
        <x:f>IF(AJ25="","",COUNTIFS($AJ$7:$AJ$206,"&gt;0",$AJ$7:$AJ$206,"&lt;"&amp;AJ25)+1)</x:f>
      </x:c>
    </x:row>
    <x:row r="26" ht="38" customHeight="1">
      <x:c r="A26" s="52" t="str">
        <x:v>T17</x:v>
      </x:c>
      <x:c r="B26" s="54" t="str">
        <x:v>M4 · Domain Intelligence Ingestion &amp; Asset Synthesis Complete</x:v>
      </x:c>
      <x:c r="C26" s="54" t="str">
        <x:v>Ingest &amp; parse customer support tickets and review sentiment (W_VOICE)</x:v>
      </x:c>
      <x:c r="D26" s="54" t="str">
        <x:v>Workers require RAG data access, sandbox micro-tools, and IE context grants to ingest domain intel.</x:v>
      </x:c>
      <x:c r="E26" s="54" t="str">
        <x:v>[INFERRED] Parsed customer sentiment vectors and objection profiles</x:v>
      </x:c>
      <x:c r="F26" s="56" t="n">
        <x:v>46289</x:v>
      </x:c>
      <x:c r="G26" s="56" t="n">
        <x:v>46291</x:v>
      </x:c>
      <x:c r="H26" s="60" t="n">
        <x:f>IF(OR(F26="",G26=""),"",G26-F26+1)</x:f>
        <x:v>3</x:v>
      </x:c>
      <x:c r="I26" s="54" t="str">
        <x:v>T10, T14, T15</x:v>
      </x:c>
      <x:c r="J26" s="54" t="str">
        <x:v>FS</x:v>
      </x:c>
      <x:c r="K26" s="54" t="str">
        <x:v>No</x:v>
      </x:c>
      <x:c r="L26" s="54" t="str">
        <x:v>Customer Voice Engine &amp; S_PARSE</x:v>
      </x:c>
      <x:c r="M26" s="54" t="str"/>
      <x:c r="N26" s="54" t="str">
        <x:f>IF(O26=0,"Not Started",IF(O26=1,"Completed","In Progress"))</x:f>
        <x:v>Not Started</x:v>
      </x:c>
      <x:c r="O26" s="58" t="n">
        <x:v>0</x:v>
      </x:c>
      <x:c r="P26" s="62" t="str">
        <x:f>IF(A26="","",IF(COUNTIF(TasksTable[Task ID],A26)&gt;1,"Duplicate Task ID",IF(OR(F26="",G26=""),"Missing dates",IF(G26&lt;F26,"Invalid dates",IF(OR(F26&lt;$B$2,G26&gt;$D$2),"Outside window",IF(AA26=0,IF(N26="Delayed","Delayed",IF(N26="On Hold","On Hold","On Track")),IF(J26="","Missing dependency type",IF(AC26,"Dependency cycle",IF(AB26&lt;&gt;AA26,"Invalid predecessor",IF(AF26,"Dependency conflict",IF(N26="Delayed","Delayed",IF(N26="On Hold","On Hold","On Track"))))))))))))</x:f>
        <x:v>On Track</x:v>
      </x:c>
      <x:c r="Q26" s="54" t="str"/>
      <x:c r="R26"/>
      <x:c r="T26" s="137" t="str">
        <x:f>IF($A26="","",TRIM(MID(SUBSTITUTE(SUBSTITUTE(TRIM($I26)," ",""),",",REPT(" ",100)),1,100)))</x:f>
        <x:v>T10</x:v>
      </x:c>
      <x:c r="U26" s="137" t="str">
        <x:f>IF($A26="","",TRIM(MID(SUBSTITUTE(SUBSTITUTE(TRIM($I26)," ",""),",",REPT(" ",100)),101,100)))</x:f>
        <x:v>T14</x:v>
      </x:c>
      <x:c r="V26" s="137" t="str">
        <x:f>IF($A26="","",TRIM(MID(SUBSTITUTE(SUBSTITUTE(TRIM($I26)," ",""),",",REPT(" ",100)),201,100)))</x:f>
        <x:v>T15</x:v>
      </x:c>
      <x:c r="W26" s="137" t="str">
        <x:f>IF($A26="","",TRIM(MID(SUBSTITUTE(SUBSTITUTE(TRIM($I26)," ",""),",",REPT(" ",100)),301,100)))</x:f>
      </x:c>
      <x:c r="X26" s="137" t="str">
        <x:f>IF($A26="","",TRIM(MID(SUBSTITUTE(SUBSTITUTE(TRIM($I26)," ",""),",",REPT(" ",100)),401,100)))</x:f>
      </x:c>
      <x:c r="Y26" s="137" t="str">
        <x:f>IF($A26="","",TRIM(MID(SUBSTITUTE(SUBSTITUTE(TRIM($I26)," ",""),",",REPT(" ",100)),501,100)))</x:f>
      </x:c>
      <x:c r="Z26" s="137" t="str">
        <x:f>IF($A26="","",TRIM(MID(SUBSTITUTE(SUBSTITUTE(TRIM($I26)," ",""),",",REPT(" ",100)),601,100)))</x:f>
      </x:c>
      <x:c r="AA26" s="137" t="n">
        <x:f>IF($A26="","",IF(SUBSTITUTE(TRIM($I26)," ","")="",0,1+LEN(SUBSTITUTE(TRIM($I26)," ",""))-LEN(SUBSTITUTE(SUBSTITUTE(TRIM($I26)," ",""),",",""))))</x:f>
        <x:v>3</x:v>
      </x:c>
      <x:c r="AB26" s="137" t="n">
        <x:f>IF($A26="","",COUNTIF(TasksTable[Task ID],T26)+COUNTIF(TasksTable[Task ID],U26)+COUNTIF(TasksTable[Task ID],V26)+COUNTIF(TasksTable[Task ID],W26)+COUNTIF(TasksTable[Task ID],X26)+COUNTIF(TasksTable[Task ID],Y26)+COUNTIF(TasksTable[Task ID],Z26))</x:f>
        <x:v>3</x:v>
      </x:c>
      <x:c r="AC26" s="137" t="b">
        <x:f>IF($A26="",FALSE,OR(T26=$A26,U26=$A26,V26=$A26,W26=$A26,X26=$A26,Y26=$A26,Z26=$A26))</x:f>
        <x:v>0</x:v>
      </x:c>
      <x:c r="AD26" s="144" t="n">
        <x:f>IF(AA26=0,0,MAX(IFERROR(INDEX(TasksTable[Start Date],MATCH(T26,TasksTable[Task ID],0)),0),IFERROR(INDEX(TasksTable[Start Date],MATCH(U26,TasksTable[Task ID],0)),0),IFERROR(INDEX(TasksTable[Start Date],MATCH(V26,TasksTable[Task ID],0)),0),IFERROR(INDEX(TasksTable[Start Date],MATCH(W26,TasksTable[Task ID],0)),0),IFERROR(INDEX(TasksTable[Start Date],MATCH(X26,TasksTable[Task ID],0)),0),IFERROR(INDEX(TasksTable[Start Date],MATCH(Y26,TasksTable[Task ID],0)),0),IFERROR(INDEX(TasksTable[Start Date],MATCH(Z26,TasksTable[Task ID],0)),0)))</x:f>
        <x:v>46288</x:v>
      </x:c>
      <x:c r="AE26" s="144" t="n">
        <x:f>IF(AA26=0,0,MAX(IFERROR(INDEX(TasksTable[End Date],MATCH(T26,TasksTable[Task ID],0)),0),IFERROR(INDEX(TasksTable[End Date],MATCH(U26,TasksTable[Task ID],0)),0),IFERROR(INDEX(TasksTable[End Date],MATCH(V26,TasksTable[Task ID],0)),0),IFERROR(INDEX(TasksTable[End Date],MATCH(W26,TasksTable[Task ID],0)),0),IFERROR(INDEX(TasksTable[End Date],MATCH(X26,TasksTable[Task ID],0)),0),IFERROR(INDEX(TasksTable[End Date],MATCH(Y26,TasksTable[Task ID],0)),0),IFERROR(INDEX(TasksTable[End Date],MATCH(Z26,TasksTable[Task ID],0)),0)))</x:f>
        <x:v>46289</x:v>
      </x:c>
      <x:c r="AF26" s="137" t="b">
        <x:f>IF(OR($A26="",AA26=0),FALSE,SWITCH($J26,"FS",$F26&lt;AE26,"SS",$F26&lt;AD26,"FF",$G26&lt;AE26,"SF",$G26&lt;AD26,TRUE))</x:f>
        <x:v>0</x:v>
      </x:c>
      <x:c r="AG26" s="137" t="n">
        <x:f>IF(AND($A26&lt;&gt;"",$K26="No",$N26&lt;&gt;"Completed",$F26&gt;=TODAY()),$F26+ROW()/100000,"")</x:f>
        <x:v>46289.00026</x:v>
      </x:c>
      <x:c r="AH26" s="137" t="str">
        <x:f>IF(AND($A26&lt;&gt;"",$K26="Yes",$N26&lt;&gt;"Completed",$F26&gt;=TODAY()),$F26+ROW()/100000,"")</x:f>
      </x:c>
      <x:c r="AI26" s="137" t="str">
        <x:f>IF(AND($A26&lt;&gt;"",$K26="No",$N26&lt;&gt;"Completed",$G26&gt;=TODAY(),$G26&lt;=TODAY()+3),$G26+ROW()/100000,"")</x:f>
      </x:c>
      <x:c r="AJ26" s="137" t="str">
        <x:f>IF(AND($A26&lt;&gt;"",$K26="No",OR($N26="Delayed",$P26="Dependency conflict")),$G26+ROW()/100000,"")</x:f>
      </x:c>
      <x:c r="AK26" s="137" t="n">
        <x:f>IF(AG26="","",COUNTIFS($AG$7:$AG$206,"&gt;0",$AG$7:$AG$206,"&lt;"&amp;AG26)+1)</x:f>
        <x:v>17</x:v>
      </x:c>
      <x:c r="AL26" s="137" t="str">
        <x:f>IF(AH26="","",COUNTIFS($AH$7:$AH$206,"&gt;0",$AH$7:$AH$206,"&lt;"&amp;AH26)+1)</x:f>
      </x:c>
      <x:c r="AM26" s="137" t="str">
        <x:f>IF(AI26="","",COUNTIFS($AI$7:$AI$206,"&gt;0",$AI$7:$AI$206,"&lt;"&amp;AI26)+1)</x:f>
      </x:c>
      <x:c r="AN26" s="137" t="str">
        <x:f>IF(AJ26="","",COUNTIFS($AJ$7:$AJ$206,"&gt;0",$AJ$7:$AJ$206,"&lt;"&amp;AJ26)+1)</x:f>
      </x:c>
    </x:row>
    <x:row r="27" ht="38" customHeight="1">
      <x:c r="A27" s="52" t="str">
        <x:v>T18</x:v>
      </x:c>
      <x:c r="B27" s="54" t="str">
        <x:v>M4 · Domain Intelligence Ingestion &amp; Asset Synthesis Complete</x:v>
      </x:c>
      <x:c r="C27" s="54" t="str">
        <x:v>Scrape competitor ad libraries, pricing, and market positioning (W_COMP)</x:v>
      </x:c>
      <x:c r="D27" s="54" t="str">
        <x:v>Ephemeral micro-tool workers (S_CODE, S_ALLOC, S_COPY, S_VAL, S_SCRAPE, S_PARSE, S_ATTR).</x:v>
      </x:c>
      <x:c r="E27" s="54" t="str">
        <x:v>[INFERRED] Competitor pricing, ad-library, and market-positioning intelligence</x:v>
      </x:c>
      <x:c r="F27" s="56" t="n">
        <x:v>46289</x:v>
      </x:c>
      <x:c r="G27" s="56" t="n">
        <x:v>46291</x:v>
      </x:c>
      <x:c r="H27" s="60" t="n">
        <x:f>IF(OR(F27="",G27=""),"",G27-F27+1)</x:f>
        <x:v>3</x:v>
      </x:c>
      <x:c r="I27" s="54" t="str">
        <x:v>T12, T14, T15</x:v>
      </x:c>
      <x:c r="J27" s="54" t="str">
        <x:v>FS</x:v>
      </x:c>
      <x:c r="K27" s="54" t="str">
        <x:v>No</x:v>
      </x:c>
      <x:c r="L27" s="54" t="str">
        <x:v>Competitor Intel Engine &amp; S_SCRAPE</x:v>
      </x:c>
      <x:c r="M27" s="54" t="str"/>
      <x:c r="N27" s="54" t="str">
        <x:f>IF(O27=0,"Not Started",IF(O27=1,"Completed","In Progress"))</x:f>
        <x:v>Not Started</x:v>
      </x:c>
      <x:c r="O27" s="58" t="n">
        <x:v>0</x:v>
      </x:c>
      <x:c r="P27" s="62" t="str">
        <x:f>IF(A27="","",IF(COUNTIF(TasksTable[Task ID],A27)&gt;1,"Duplicate Task ID",IF(OR(F27="",G27=""),"Missing dates",IF(G27&lt;F27,"Invalid dates",IF(OR(F27&lt;$B$2,G27&gt;$D$2),"Outside window",IF(AA27=0,IF(N27="Delayed","Delayed",IF(N27="On Hold","On Hold","On Track")),IF(J27="","Missing dependency type",IF(AC27,"Dependency cycle",IF(AB27&lt;&gt;AA27,"Invalid predecessor",IF(AF27,"Dependency conflict",IF(N27="Delayed","Delayed",IF(N27="On Hold","On Hold","On Track"))))))))))))</x:f>
        <x:v>On Track</x:v>
      </x:c>
      <x:c r="Q27" s="54" t="str">
        <x:v>[CONFLICT] Task table/direct listing: T12, T14, T15. Detailed dependency table: T10, T14, T15. Workbook preserves T12, T14, T15.</x:v>
      </x:c>
      <x:c r="R27"/>
      <x:c r="T27" s="137" t="str">
        <x:f>IF($A27="","",TRIM(MID(SUBSTITUTE(SUBSTITUTE(TRIM($I27)," ",""),",",REPT(" ",100)),1,100)))</x:f>
        <x:v>T12</x:v>
      </x:c>
      <x:c r="U27" s="137" t="str">
        <x:f>IF($A27="","",TRIM(MID(SUBSTITUTE(SUBSTITUTE(TRIM($I27)," ",""),",",REPT(" ",100)),101,100)))</x:f>
        <x:v>T14</x:v>
      </x:c>
      <x:c r="V27" s="137" t="str">
        <x:f>IF($A27="","",TRIM(MID(SUBSTITUTE(SUBSTITUTE(TRIM($I27)," ",""),",",REPT(" ",100)),201,100)))</x:f>
        <x:v>T15</x:v>
      </x:c>
      <x:c r="W27" s="137" t="str">
        <x:f>IF($A27="","",TRIM(MID(SUBSTITUTE(SUBSTITUTE(TRIM($I27)," ",""),",",REPT(" ",100)),301,100)))</x:f>
      </x:c>
      <x:c r="X27" s="137" t="str">
        <x:f>IF($A27="","",TRIM(MID(SUBSTITUTE(SUBSTITUTE(TRIM($I27)," ",""),",",REPT(" ",100)),401,100)))</x:f>
      </x:c>
      <x:c r="Y27" s="137" t="str">
        <x:f>IF($A27="","",TRIM(MID(SUBSTITUTE(SUBSTITUTE(TRIM($I27)," ",""),",",REPT(" ",100)),501,100)))</x:f>
      </x:c>
      <x:c r="Z27" s="137" t="str">
        <x:f>IF($A27="","",TRIM(MID(SUBSTITUTE(SUBSTITUTE(TRIM($I27)," ",""),",",REPT(" ",100)),601,100)))</x:f>
      </x:c>
      <x:c r="AA27" s="137" t="n">
        <x:f>IF($A27="","",IF(SUBSTITUTE(TRIM($I27)," ","")="",0,1+LEN(SUBSTITUTE(TRIM($I27)," ",""))-LEN(SUBSTITUTE(SUBSTITUTE(TRIM($I27)," ",""),",",""))))</x:f>
        <x:v>3</x:v>
      </x:c>
      <x:c r="AB27" s="137" t="n">
        <x:f>IF($A27="","",COUNTIF(TasksTable[Task ID],T27)+COUNTIF(TasksTable[Task ID],U27)+COUNTIF(TasksTable[Task ID],V27)+COUNTIF(TasksTable[Task ID],W27)+COUNTIF(TasksTable[Task ID],X27)+COUNTIF(TasksTable[Task ID],Y27)+COUNTIF(TasksTable[Task ID],Z27))</x:f>
        <x:v>3</x:v>
      </x:c>
      <x:c r="AC27" s="137" t="b">
        <x:f>IF($A27="",FALSE,OR(T27=$A27,U27=$A27,V27=$A27,W27=$A27,X27=$A27,Y27=$A27,Z27=$A27))</x:f>
        <x:v>0</x:v>
      </x:c>
      <x:c r="AD27" s="144" t="n">
        <x:f>IF(AA27=0,0,MAX(IFERROR(INDEX(TasksTable[Start Date],MATCH(T27,TasksTable[Task ID],0)),0),IFERROR(INDEX(TasksTable[Start Date],MATCH(U27,TasksTable[Task ID],0)),0),IFERROR(INDEX(TasksTable[Start Date],MATCH(V27,TasksTable[Task ID],0)),0),IFERROR(INDEX(TasksTable[Start Date],MATCH(W27,TasksTable[Task ID],0)),0),IFERROR(INDEX(TasksTable[Start Date],MATCH(X27,TasksTable[Task ID],0)),0),IFERROR(INDEX(TasksTable[Start Date],MATCH(Y27,TasksTable[Task ID],0)),0),IFERROR(INDEX(TasksTable[Start Date],MATCH(Z27,TasksTable[Task ID],0)),0)))</x:f>
        <x:v>46288</x:v>
      </x:c>
      <x:c r="AE27" s="144" t="n">
        <x:f>IF(AA27=0,0,MAX(IFERROR(INDEX(TasksTable[End Date],MATCH(T27,TasksTable[Task ID],0)),0),IFERROR(INDEX(TasksTable[End Date],MATCH(U27,TasksTable[Task ID],0)),0),IFERROR(INDEX(TasksTable[End Date],MATCH(V27,TasksTable[Task ID],0)),0),IFERROR(INDEX(TasksTable[End Date],MATCH(W27,TasksTable[Task ID],0)),0),IFERROR(INDEX(TasksTable[End Date],MATCH(X27,TasksTable[Task ID],0)),0),IFERROR(INDEX(TasksTable[End Date],MATCH(Y27,TasksTable[Task ID],0)),0),IFERROR(INDEX(TasksTable[End Date],MATCH(Z27,TasksTable[Task ID],0)),0)))</x:f>
        <x:v>46289</x:v>
      </x:c>
      <x:c r="AF27" s="137" t="b">
        <x:f>IF(OR($A27="",AA27=0),FALSE,SWITCH($J27,"FS",$F27&lt;AE27,"SS",$F27&lt;AD27,"FF",$G27&lt;AE27,"SF",$G27&lt;AD27,TRUE))</x:f>
        <x:v>0</x:v>
      </x:c>
      <x:c r="AG27" s="137" t="n">
        <x:f>IF(AND($A27&lt;&gt;"",$K27="No",$N27&lt;&gt;"Completed",$F27&gt;=TODAY()),$F27+ROW()/100000,"")</x:f>
        <x:v>46289.00027</x:v>
      </x:c>
      <x:c r="AH27" s="137" t="str">
        <x:f>IF(AND($A27&lt;&gt;"",$K27="Yes",$N27&lt;&gt;"Completed",$F27&gt;=TODAY()),$F27+ROW()/100000,"")</x:f>
      </x:c>
      <x:c r="AI27" s="137" t="str">
        <x:f>IF(AND($A27&lt;&gt;"",$K27="No",$N27&lt;&gt;"Completed",$G27&gt;=TODAY(),$G27&lt;=TODAY()+3),$G27+ROW()/100000,"")</x:f>
      </x:c>
      <x:c r="AJ27" s="137" t="str">
        <x:f>IF(AND($A27&lt;&gt;"",$K27="No",OR($N27="Delayed",$P27="Dependency conflict")),$G27+ROW()/100000,"")</x:f>
      </x:c>
      <x:c r="AK27" s="137" t="n">
        <x:f>IF(AG27="","",COUNTIFS($AG$7:$AG$206,"&gt;0",$AG$7:$AG$206,"&lt;"&amp;AG27)+1)</x:f>
        <x:v>18</x:v>
      </x:c>
      <x:c r="AL27" s="137" t="str">
        <x:f>IF(AH27="","",COUNTIFS($AH$7:$AH$206,"&gt;0",$AH$7:$AH$206,"&lt;"&amp;AH27)+1)</x:f>
      </x:c>
      <x:c r="AM27" s="137" t="str">
        <x:f>IF(AI27="","",COUNTIFS($AI$7:$AI$206,"&gt;0",$AI$7:$AI$206,"&lt;"&amp;AI27)+1)</x:f>
      </x:c>
      <x:c r="AN27" s="137" t="str">
        <x:f>IF(AJ27="","",COUNTIFS($AJ$7:$AJ$206,"&gt;0",$AJ$7:$AJ$206,"&lt;"&amp;AJ27)+1)</x:f>
      </x:c>
    </x:row>
    <x:row r="28" ht="38" customHeight="1">
      <x:c r="A28" s="52" t="str">
        <x:v>T19</x:v>
      </x:c>
      <x:c r="B28" s="54" t="str">
        <x:v>M4 · Domain Intelligence Ingestion &amp; Asset Synthesis Complete</x:v>
      </x:c>
      <x:c r="C28" s="54" t="str">
        <x:v>Develop omnichannel marketing roadmaps &amp; budget allocations (W_STRAT)</x:v>
      </x:c>
      <x:c r="D28" s="54" t="str">
        <x:v>Omnichannel marketing strategy requires verified claims, customer voice, and competitor intel.</x:v>
      </x:c>
      <x:c r="E28" s="54" t="str">
        <x:v>[INFERRED] Omnichannel roadmap, funnel, and budget allocation plan</x:v>
      </x:c>
      <x:c r="F28" s="56" t="n">
        <x:v>46291</x:v>
      </x:c>
      <x:c r="G28" s="56" t="n">
        <x:v>46294</x:v>
      </x:c>
      <x:c r="H28" s="60" t="n">
        <x:f>IF(OR(F28="",G28=""),"",G28-F28+1)</x:f>
        <x:v>4</x:v>
      </x:c>
      <x:c r="I28" s="54" t="str">
        <x:v>T16, T17, T18</x:v>
      </x:c>
      <x:c r="J28" s="54" t="str">
        <x:v>FS</x:v>
      </x:c>
      <x:c r="K28" s="54" t="str">
        <x:v>No</x:v>
      </x:c>
      <x:c r="L28" s="54" t="str">
        <x:v>Strategy Engine &amp; S_ALLOC</x:v>
      </x:c>
      <x:c r="M28" s="54" t="str"/>
      <x:c r="N28" s="54" t="str">
        <x:f>IF(O28=0,"Not Started",IF(O28=1,"Completed","In Progress"))</x:f>
        <x:v>Not Started</x:v>
      </x:c>
      <x:c r="O28" s="58" t="n">
        <x:v>0</x:v>
      </x:c>
      <x:c r="P28" s="62" t="str">
        <x:f>IF(A28="","",IF(COUNTIF(TasksTable[Task ID],A28)&gt;1,"Duplicate Task ID",IF(OR(F28="",G28=""),"Missing dates",IF(G28&lt;F28,"Invalid dates",IF(OR(F28&lt;$B$2,G28&gt;$D$2),"Outside window",IF(AA28=0,IF(N28="Delayed","Delayed",IF(N28="On Hold","On Hold","On Track")),IF(J28="","Missing dependency type",IF(AC28,"Dependency cycle",IF(AB28&lt;&gt;AA28,"Invalid predecessor",IF(AF28,"Dependency conflict",IF(N28="Delayed","Delayed",IF(N28="On Hold","On Hold","On Track"))))))))))))</x:f>
        <x:v>On Track</x:v>
      </x:c>
      <x:c r="Q28" s="54" t="str"/>
      <x:c r="T28" s="137" t="str">
        <x:f>IF($A28="","",TRIM(MID(SUBSTITUTE(SUBSTITUTE(TRIM($I28)," ",""),",",REPT(" ",100)),1,100)))</x:f>
        <x:v>T16</x:v>
      </x:c>
      <x:c r="U28" s="137" t="str">
        <x:f>IF($A28="","",TRIM(MID(SUBSTITUTE(SUBSTITUTE(TRIM($I28)," ",""),",",REPT(" ",100)),101,100)))</x:f>
        <x:v>T17</x:v>
      </x:c>
      <x:c r="V28" s="137" t="str">
        <x:f>IF($A28="","",TRIM(MID(SUBSTITUTE(SUBSTITUTE(TRIM($I28)," ",""),",",REPT(" ",100)),201,100)))</x:f>
        <x:v>T18</x:v>
      </x:c>
      <x:c r="W28" s="137" t="str">
        <x:f>IF($A28="","",TRIM(MID(SUBSTITUTE(SUBSTITUTE(TRIM($I28)," ",""),",",REPT(" ",100)),301,100)))</x:f>
      </x:c>
      <x:c r="X28" s="137" t="str">
        <x:f>IF($A28="","",TRIM(MID(SUBSTITUTE(SUBSTITUTE(TRIM($I28)," ",""),",",REPT(" ",100)),401,100)))</x:f>
      </x:c>
      <x:c r="Y28" s="137" t="str">
        <x:f>IF($A28="","",TRIM(MID(SUBSTITUTE(SUBSTITUTE(TRIM($I28)," ",""),",",REPT(" ",100)),501,100)))</x:f>
      </x:c>
      <x:c r="Z28" s="137" t="str">
        <x:f>IF($A28="","",TRIM(MID(SUBSTITUTE(SUBSTITUTE(TRIM($I28)," ",""),",",REPT(" ",100)),601,100)))</x:f>
      </x:c>
      <x:c r="AA28" s="137" t="n">
        <x:f>IF($A28="","",IF(SUBSTITUTE(TRIM($I28)," ","")="",0,1+LEN(SUBSTITUTE(TRIM($I28)," ",""))-LEN(SUBSTITUTE(SUBSTITUTE(TRIM($I28)," ",""),",",""))))</x:f>
        <x:v>3</x:v>
      </x:c>
      <x:c r="AB28" s="137" t="n">
        <x:f>IF($A28="","",COUNTIF(TasksTable[Task ID],T28)+COUNTIF(TasksTable[Task ID],U28)+COUNTIF(TasksTable[Task ID],V28)+COUNTIF(TasksTable[Task ID],W28)+COUNTIF(TasksTable[Task ID],X28)+COUNTIF(TasksTable[Task ID],Y28)+COUNTIF(TasksTable[Task ID],Z28))</x:f>
        <x:v>3</x:v>
      </x:c>
      <x:c r="AC28" s="137" t="b">
        <x:f>IF($A28="",FALSE,OR(T28=$A28,U28=$A28,V28=$A28,W28=$A28,X28=$A28,Y28=$A28,Z28=$A28))</x:f>
        <x:v>0</x:v>
      </x:c>
      <x:c r="AD28" s="144" t="n">
        <x:f>IF(AA28=0,0,MAX(IFERROR(INDEX(TasksTable[Start Date],MATCH(T28,TasksTable[Task ID],0)),0),IFERROR(INDEX(TasksTable[Start Date],MATCH(U28,TasksTable[Task ID],0)),0),IFERROR(INDEX(TasksTable[Start Date],MATCH(V28,TasksTable[Task ID],0)),0),IFERROR(INDEX(TasksTable[Start Date],MATCH(W28,TasksTable[Task ID],0)),0),IFERROR(INDEX(TasksTable[Start Date],MATCH(X28,TasksTable[Task ID],0)),0),IFERROR(INDEX(TasksTable[Start Date],MATCH(Y28,TasksTable[Task ID],0)),0),IFERROR(INDEX(TasksTable[Start Date],MATCH(Z28,TasksTable[Task ID],0)),0)))</x:f>
        <x:v>46289</x:v>
      </x:c>
      <x:c r="AE28" s="144" t="n">
        <x:f>IF(AA28=0,0,MAX(IFERROR(INDEX(TasksTable[End Date],MATCH(T28,TasksTable[Task ID],0)),0),IFERROR(INDEX(TasksTable[End Date],MATCH(U28,TasksTable[Task ID],0)),0),IFERROR(INDEX(TasksTable[End Date],MATCH(V28,TasksTable[Task ID],0)),0),IFERROR(INDEX(TasksTable[End Date],MATCH(W28,TasksTable[Task ID],0)),0),IFERROR(INDEX(TasksTable[End Date],MATCH(X28,TasksTable[Task ID],0)),0),IFERROR(INDEX(TasksTable[End Date],MATCH(Y28,TasksTable[Task ID],0)),0),IFERROR(INDEX(TasksTable[End Date],MATCH(Z28,TasksTable[Task ID],0)),0)))</x:f>
        <x:v>46291</x:v>
      </x:c>
      <x:c r="AF28" s="137" t="b">
        <x:f>IF(OR($A28="",AA28=0),FALSE,SWITCH($J28,"FS",$F28&lt;AE28,"SS",$F28&lt;AD28,"FF",$G28&lt;AE28,"SF",$G28&lt;AD28,TRUE))</x:f>
        <x:v>0</x:v>
      </x:c>
      <x:c r="AG28" s="137" t="n">
        <x:f>IF(AND($A28&lt;&gt;"",$K28="No",$N28&lt;&gt;"Completed",$F28&gt;=TODAY()),$F28+ROW()/100000,"")</x:f>
        <x:v>46291.00028</x:v>
      </x:c>
      <x:c r="AH28" s="137" t="str">
        <x:f>IF(AND($A28&lt;&gt;"",$K28="Yes",$N28&lt;&gt;"Completed",$F28&gt;=TODAY()),$F28+ROW()/100000,"")</x:f>
      </x:c>
      <x:c r="AI28" s="137" t="str">
        <x:f>IF(AND($A28&lt;&gt;"",$K28="No",$N28&lt;&gt;"Completed",$G28&gt;=TODAY(),$G28&lt;=TODAY()+3),$G28+ROW()/100000,"")</x:f>
      </x:c>
      <x:c r="AJ28" s="137" t="str">
        <x:f>IF(AND($A28&lt;&gt;"",$K28="No",OR($N28="Delayed",$P28="Dependency conflict")),$G28+ROW()/100000,"")</x:f>
      </x:c>
      <x:c r="AK28" s="137" t="n">
        <x:f>IF(AG28="","",COUNTIFS($AG$7:$AG$206,"&gt;0",$AG$7:$AG$206,"&lt;"&amp;AG28)+1)</x:f>
        <x:v>19</x:v>
      </x:c>
      <x:c r="AL28" s="137" t="str">
        <x:f>IF(AH28="","",COUNTIFS($AH$7:$AH$206,"&gt;0",$AH$7:$AH$206,"&lt;"&amp;AH28)+1)</x:f>
      </x:c>
      <x:c r="AM28" s="137" t="str">
        <x:f>IF(AI28="","",COUNTIFS($AI$7:$AI$206,"&gt;0",$AI$7:$AI$206,"&lt;"&amp;AI28)+1)</x:f>
      </x:c>
      <x:c r="AN28" s="137" t="str">
        <x:f>IF(AJ28="","",COUNTIFS($AJ$7:$AJ$206,"&gt;0",$AJ$7:$AJ$206,"&lt;"&amp;AJ28)+1)</x:f>
      </x:c>
    </x:row>
    <x:row r="29" ht="38" customHeight="1">
      <x:c r="A29" s="52" t="str">
        <x:v>T20</x:v>
      </x:c>
      <x:c r="B29" s="54" t="str">
        <x:v>M4 · Domain Intelligence Ingestion &amp; Asset Synthesis Complete</x:v>
      </x:c>
      <x:c r="C29" s="54" t="str">
        <x:v>Generate creative ad copy variants, hooks, visual briefs &amp; posts (W_CREAT)</x:v>
      </x:c>
      <x:c r="D29" s="54" t="str">
        <x:v>Creative copy and visual briefs depend on approved claims and strategic channel allocations.</x:v>
      </x:c>
      <x:c r="E29" s="54" t="str">
        <x:v>[INFERRED] Multi-channel copy variants, hooks, visual briefs, and social content</x:v>
      </x:c>
      <x:c r="F29" s="56" t="n">
        <x:v>46294</x:v>
      </x:c>
      <x:c r="G29" s="56" t="n">
        <x:v>46297</x:v>
      </x:c>
      <x:c r="H29" s="60" t="n">
        <x:f>IF(OR(F29="",G29=""),"",G29-F29+1)</x:f>
        <x:v>4</x:v>
      </x:c>
      <x:c r="I29" s="54" t="str">
        <x:v>T16, T19</x:v>
      </x:c>
      <x:c r="J29" s="54" t="str">
        <x:v>FS</x:v>
      </x:c>
      <x:c r="K29" s="54" t="str">
        <x:v>No</x:v>
      </x:c>
      <x:c r="L29" s="54" t="str">
        <x:v>Creative &amp; Content Engine &amp; S_COPY</x:v>
      </x:c>
      <x:c r="M29" s="54" t="str"/>
      <x:c r="N29" s="54" t="str">
        <x:f>IF(O29=0,"Not Started",IF(O29=1,"Completed","In Progress"))</x:f>
        <x:v>Not Started</x:v>
      </x:c>
      <x:c r="O29" s="58" t="n">
        <x:v>0</x:v>
      </x:c>
      <x:c r="P29" s="62" t="str">
        <x:f>IF(A29="","",IF(COUNTIF(TasksTable[Task ID],A29)&gt;1,"Duplicate Task ID",IF(OR(F29="",G29=""),"Missing dates",IF(G29&lt;F29,"Invalid dates",IF(OR(F29&lt;$B$2,G29&gt;$D$2),"Outside window",IF(AA29=0,IF(N29="Delayed","Delayed",IF(N29="On Hold","On Hold","On Track")),IF(J29="","Missing dependency type",IF(AC29,"Dependency cycle",IF(AB29&lt;&gt;AA29,"Invalid predecessor",IF(AF29,"Dependency conflict",IF(N29="Delayed","Delayed",IF(N29="On Hold","On Hold","On Track"))))))))))))</x:f>
        <x:v>On Track</x:v>
      </x:c>
      <x:c r="Q29" s="54" t="str"/>
      <x:c r="T29" s="137" t="str">
        <x:f>IF($A29="","",TRIM(MID(SUBSTITUTE(SUBSTITUTE(TRIM($I29)," ",""),",",REPT(" ",100)),1,100)))</x:f>
        <x:v>T16</x:v>
      </x:c>
      <x:c r="U29" s="137" t="str">
        <x:f>IF($A29="","",TRIM(MID(SUBSTITUTE(SUBSTITUTE(TRIM($I29)," ",""),",",REPT(" ",100)),101,100)))</x:f>
        <x:v>T19</x:v>
      </x:c>
      <x:c r="V29" s="137" t="str">
        <x:f>IF($A29="","",TRIM(MID(SUBSTITUTE(SUBSTITUTE(TRIM($I29)," ",""),",",REPT(" ",100)),201,100)))</x:f>
      </x:c>
      <x:c r="W29" s="137" t="str">
        <x:f>IF($A29="","",TRIM(MID(SUBSTITUTE(SUBSTITUTE(TRIM($I29)," ",""),",",REPT(" ",100)),301,100)))</x:f>
      </x:c>
      <x:c r="X29" s="137" t="str">
        <x:f>IF($A29="","",TRIM(MID(SUBSTITUTE(SUBSTITUTE(TRIM($I29)," ",""),",",REPT(" ",100)),401,100)))</x:f>
      </x:c>
      <x:c r="Y29" s="137" t="str">
        <x:f>IF($A29="","",TRIM(MID(SUBSTITUTE(SUBSTITUTE(TRIM($I29)," ",""),",",REPT(" ",100)),501,100)))</x:f>
      </x:c>
      <x:c r="Z29" s="137" t="str">
        <x:f>IF($A29="","",TRIM(MID(SUBSTITUTE(SUBSTITUTE(TRIM($I29)," ",""),",",REPT(" ",100)),601,100)))</x:f>
      </x:c>
      <x:c r="AA29" s="137" t="n">
        <x:f>IF($A29="","",IF(SUBSTITUTE(TRIM($I29)," ","")="",0,1+LEN(SUBSTITUTE(TRIM($I29)," ",""))-LEN(SUBSTITUTE(SUBSTITUTE(TRIM($I29)," ",""),",",""))))</x:f>
        <x:v>2</x:v>
      </x:c>
      <x:c r="AB29" s="137" t="n">
        <x:f>IF($A29="","",COUNTIF(TasksTable[Task ID],T29)+COUNTIF(TasksTable[Task ID],U29)+COUNTIF(TasksTable[Task ID],V29)+COUNTIF(TasksTable[Task ID],W29)+COUNTIF(TasksTable[Task ID],X29)+COUNTIF(TasksTable[Task ID],Y29)+COUNTIF(TasksTable[Task ID],Z29))</x:f>
        <x:v>2</x:v>
      </x:c>
      <x:c r="AC29" s="137" t="b">
        <x:f>IF($A29="",FALSE,OR(T29=$A29,U29=$A29,V29=$A29,W29=$A29,X29=$A29,Y29=$A29,Z29=$A29))</x:f>
        <x:v>0</x:v>
      </x:c>
      <x:c r="AD29" s="144" t="n">
        <x:f>IF(AA29=0,0,MAX(IFERROR(INDEX(TasksTable[Start Date],MATCH(T29,TasksTable[Task ID],0)),0),IFERROR(INDEX(TasksTable[Start Date],MATCH(U29,TasksTable[Task ID],0)),0),IFERROR(INDEX(TasksTable[Start Date],MATCH(V29,TasksTable[Task ID],0)),0),IFERROR(INDEX(TasksTable[Start Date],MATCH(W29,TasksTable[Task ID],0)),0),IFERROR(INDEX(TasksTable[Start Date],MATCH(X29,TasksTable[Task ID],0)),0),IFERROR(INDEX(TasksTable[Start Date],MATCH(Y29,TasksTable[Task ID],0)),0),IFERROR(INDEX(TasksTable[Start Date],MATCH(Z29,TasksTable[Task ID],0)),0)))</x:f>
        <x:v>46291</x:v>
      </x:c>
      <x:c r="AE29" s="144" t="n">
        <x:f>IF(AA29=0,0,MAX(IFERROR(INDEX(TasksTable[End Date],MATCH(T29,TasksTable[Task ID],0)),0),IFERROR(INDEX(TasksTable[End Date],MATCH(U29,TasksTable[Task ID],0)),0),IFERROR(INDEX(TasksTable[End Date],MATCH(V29,TasksTable[Task ID],0)),0),IFERROR(INDEX(TasksTable[End Date],MATCH(W29,TasksTable[Task ID],0)),0),IFERROR(INDEX(TasksTable[End Date],MATCH(X29,TasksTable[Task ID],0)),0),IFERROR(INDEX(TasksTable[End Date],MATCH(Y29,TasksTable[Task ID],0)),0),IFERROR(INDEX(TasksTable[End Date],MATCH(Z29,TasksTable[Task ID],0)),0)))</x:f>
        <x:v>46294</x:v>
      </x:c>
      <x:c r="AF29" s="137" t="b">
        <x:f>IF(OR($A29="",AA29=0),FALSE,SWITCH($J29,"FS",$F29&lt;AE29,"SS",$F29&lt;AD29,"FF",$G29&lt;AE29,"SF",$G29&lt;AD29,TRUE))</x:f>
        <x:v>0</x:v>
      </x:c>
      <x:c r="AG29" s="137" t="n">
        <x:f>IF(AND($A29&lt;&gt;"",$K29="No",$N29&lt;&gt;"Completed",$F29&gt;=TODAY()),$F29+ROW()/100000,"")</x:f>
        <x:v>46294.00029</x:v>
      </x:c>
      <x:c r="AH29" s="137" t="str">
        <x:f>IF(AND($A29&lt;&gt;"",$K29="Yes",$N29&lt;&gt;"Completed",$F29&gt;=TODAY()),$F29+ROW()/100000,"")</x:f>
      </x:c>
      <x:c r="AI29" s="137" t="str">
        <x:f>IF(AND($A29&lt;&gt;"",$K29="No",$N29&lt;&gt;"Completed",$G29&gt;=TODAY(),$G29&lt;=TODAY()+3),$G29+ROW()/100000,"")</x:f>
      </x:c>
      <x:c r="AJ29" s="137" t="str">
        <x:f>IF(AND($A29&lt;&gt;"",$K29="No",OR($N29="Delayed",$P29="Dependency conflict")),$G29+ROW()/100000,"")</x:f>
      </x:c>
      <x:c r="AK29" s="137" t="n">
        <x:f>IF(AG29="","",COUNTIFS($AG$7:$AG$206,"&gt;0",$AG$7:$AG$206,"&lt;"&amp;AG29)+1)</x:f>
        <x:v>21</x:v>
      </x:c>
      <x:c r="AL29" s="137" t="str">
        <x:f>IF(AH29="","",COUNTIFS($AH$7:$AH$206,"&gt;0",$AH$7:$AH$206,"&lt;"&amp;AH29)+1)</x:f>
      </x:c>
      <x:c r="AM29" s="137" t="str">
        <x:f>IF(AI29="","",COUNTIFS($AI$7:$AI$206,"&gt;0",$AI$7:$AI$206,"&lt;"&amp;AI29)+1)</x:f>
      </x:c>
      <x:c r="AN29" s="137" t="str">
        <x:f>IF(AJ29="","",COUNTIFS($AJ$7:$AJ$206,"&gt;0",$AJ$7:$AJ$206,"&lt;"&amp;AJ29)+1)</x:f>
      </x:c>
    </x:row>
    <x:row r="30" ht="38" customHeight="1">
      <x:c r="A30" s="52" t="str">
        <x:v>T21</x:v>
      </x:c>
      <x:c r="B30" s="54" t="str">
        <x:v>M4 · Domain Intelligence Ingestion &amp; Asset Synthesis Complete</x:v>
      </x:c>
      <x:c r="C30" s="54" t="str">
        <x:v>Engineer responsive UI templates, CMS schemas &amp; code diffs (W_DEV)</x:v>
      </x:c>
      <x:c r="D30" s="54" t="str">
        <x:v>Website development requires CMS staging models, AST coder tools, and IE directives.</x:v>
      </x:c>
      <x:c r="E30" s="54" t="str">
        <x:v>[INFERRED] Responsive UI templates, CMS schemas, and validated code diffs</x:v>
      </x:c>
      <x:c r="F30" s="56" t="n">
        <x:v>46291</x:v>
      </x:c>
      <x:c r="G30" s="56" t="n">
        <x:v>46297</x:v>
      </x:c>
      <x:c r="H30" s="60" t="n">
        <x:f>IF(OR(F30="",G30=""),"",G30-F30+1)</x:f>
        <x:v>7</x:v>
      </x:c>
      <x:c r="I30" s="54" t="str">
        <x:v>T06, T14, T15</x:v>
      </x:c>
      <x:c r="J30" s="54" t="str">
        <x:v>FS</x:v>
      </x:c>
      <x:c r="K30" s="54" t="str">
        <x:v>No</x:v>
      </x:c>
      <x:c r="L30" s="54" t="str">
        <x:v>Development Engine &amp; S_CODE</x:v>
      </x:c>
      <x:c r="M30" s="54" t="str"/>
      <x:c r="N30" s="54" t="str">
        <x:f>IF(O30=0,"Not Started",IF(O30=1,"Completed","In Progress"))</x:f>
        <x:v>Not Started</x:v>
      </x:c>
      <x:c r="O30" s="58" t="n">
        <x:v>0</x:v>
      </x:c>
      <x:c r="P30" s="62" t="str">
        <x:f>IF(A30="","",IF(COUNTIF(TasksTable[Task ID],A30)&gt;1,"Duplicate Task ID",IF(OR(F30="",G30=""),"Missing dates",IF(G30&lt;F30,"Invalid dates",IF(OR(F30&lt;$B$2,G30&gt;$D$2),"Outside window",IF(AA30=0,IF(N30="Delayed","Delayed",IF(N30="On Hold","On Hold","On Track")),IF(J30="","Missing dependency type",IF(AC30,"Dependency cycle",IF(AB30&lt;&gt;AA30,"Invalid predecessor",IF(AF30,"Dependency conflict",IF(N30="Delayed","Delayed",IF(N30="On Hold","On Hold","On Track"))))))))))))</x:f>
        <x:v>On Track</x:v>
      </x:c>
      <x:c r="Q30" s="54" t="str"/>
      <x:c r="T30" s="137" t="str">
        <x:f>IF($A30="","",TRIM(MID(SUBSTITUTE(SUBSTITUTE(TRIM($I30)," ",""),",",REPT(" ",100)),1,100)))</x:f>
        <x:v>T06</x:v>
      </x:c>
      <x:c r="U30" s="137" t="str">
        <x:f>IF($A30="","",TRIM(MID(SUBSTITUTE(SUBSTITUTE(TRIM($I30)," ",""),",",REPT(" ",100)),101,100)))</x:f>
        <x:v>T14</x:v>
      </x:c>
      <x:c r="V30" s="137" t="str">
        <x:f>IF($A30="","",TRIM(MID(SUBSTITUTE(SUBSTITUTE(TRIM($I30)," ",""),",",REPT(" ",100)),201,100)))</x:f>
        <x:v>T15</x:v>
      </x:c>
      <x:c r="W30" s="137" t="str">
        <x:f>IF($A30="","",TRIM(MID(SUBSTITUTE(SUBSTITUTE(TRIM($I30)," ",""),",",REPT(" ",100)),301,100)))</x:f>
      </x:c>
      <x:c r="X30" s="137" t="str">
        <x:f>IF($A30="","",TRIM(MID(SUBSTITUTE(SUBSTITUTE(TRIM($I30)," ",""),",",REPT(" ",100)),401,100)))</x:f>
      </x:c>
      <x:c r="Y30" s="137" t="str">
        <x:f>IF($A30="","",TRIM(MID(SUBSTITUTE(SUBSTITUTE(TRIM($I30)," ",""),",",REPT(" ",100)),501,100)))</x:f>
      </x:c>
      <x:c r="Z30" s="137" t="str">
        <x:f>IF($A30="","",TRIM(MID(SUBSTITUTE(SUBSTITUTE(TRIM($I30)," ",""),",",REPT(" ",100)),601,100)))</x:f>
      </x:c>
      <x:c r="AA30" s="137" t="n">
        <x:f>IF($A30="","",IF(SUBSTITUTE(TRIM($I30)," ","")="",0,1+LEN(SUBSTITUTE(TRIM($I30)," ",""))-LEN(SUBSTITUTE(SUBSTITUTE(TRIM($I30)," ",""),",",""))))</x:f>
        <x:v>3</x:v>
      </x:c>
      <x:c r="AB30" s="137" t="n">
        <x:f>IF($A30="","",COUNTIF(TasksTable[Task ID],T30)+COUNTIF(TasksTable[Task ID],U30)+COUNTIF(TasksTable[Task ID],V30)+COUNTIF(TasksTable[Task ID],W30)+COUNTIF(TasksTable[Task ID],X30)+COUNTIF(TasksTable[Task ID],Y30)+COUNTIF(TasksTable[Task ID],Z30))</x:f>
        <x:v>3</x:v>
      </x:c>
      <x:c r="AC30" s="137" t="b">
        <x:f>IF($A30="",FALSE,OR(T30=$A30,U30=$A30,V30=$A30,W30=$A30,X30=$A30,Y30=$A30,Z30=$A30))</x:f>
        <x:v>0</x:v>
      </x:c>
      <x:c r="AD30" s="144" t="n">
        <x:f>IF(AA30=0,0,MAX(IFERROR(INDEX(TasksTable[Start Date],MATCH(T30,TasksTable[Task ID],0)),0),IFERROR(INDEX(TasksTable[Start Date],MATCH(U30,TasksTable[Task ID],0)),0),IFERROR(INDEX(TasksTable[Start Date],MATCH(V30,TasksTable[Task ID],0)),0),IFERROR(INDEX(TasksTable[Start Date],MATCH(W30,TasksTable[Task ID],0)),0),IFERROR(INDEX(TasksTable[Start Date],MATCH(X30,TasksTable[Task ID],0)),0),IFERROR(INDEX(TasksTable[Start Date],MATCH(Y30,TasksTable[Task ID],0)),0),IFERROR(INDEX(TasksTable[Start Date],MATCH(Z30,TasksTable[Task ID],0)),0)))</x:f>
        <x:v>46288</x:v>
      </x:c>
      <x:c r="AE30" s="144" t="n">
        <x:f>IF(AA30=0,0,MAX(IFERROR(INDEX(TasksTable[End Date],MATCH(T30,TasksTable[Task ID],0)),0),IFERROR(INDEX(TasksTable[End Date],MATCH(U30,TasksTable[Task ID],0)),0),IFERROR(INDEX(TasksTable[End Date],MATCH(V30,TasksTable[Task ID],0)),0),IFERROR(INDEX(TasksTable[End Date],MATCH(W30,TasksTable[Task ID],0)),0),IFERROR(INDEX(TasksTable[End Date],MATCH(X30,TasksTable[Task ID],0)),0),IFERROR(INDEX(TasksTable[End Date],MATCH(Y30,TasksTable[Task ID],0)),0),IFERROR(INDEX(TasksTable[End Date],MATCH(Z30,TasksTable[Task ID],0)),0)))</x:f>
        <x:v>46289</x:v>
      </x:c>
      <x:c r="AF30" s="137" t="b">
        <x:f>IF(OR($A30="",AA30=0),FALSE,SWITCH($J30,"FS",$F30&lt;AE30,"SS",$F30&lt;AD30,"FF",$G30&lt;AE30,"SF",$G30&lt;AD30,TRUE))</x:f>
        <x:v>0</x:v>
      </x:c>
      <x:c r="AG30" s="137" t="n">
        <x:f>IF(AND($A30&lt;&gt;"",$K30="No",$N30&lt;&gt;"Completed",$F30&gt;=TODAY()),$F30+ROW()/100000,"")</x:f>
        <x:v>46291.0003</x:v>
      </x:c>
      <x:c r="AH30" s="137" t="str">
        <x:f>IF(AND($A30&lt;&gt;"",$K30="Yes",$N30&lt;&gt;"Completed",$F30&gt;=TODAY()),$F30+ROW()/100000,"")</x:f>
      </x:c>
      <x:c r="AI30" s="137" t="str">
        <x:f>IF(AND($A30&lt;&gt;"",$K30="No",$N30&lt;&gt;"Completed",$G30&gt;=TODAY(),$G30&lt;=TODAY()+3),$G30+ROW()/100000,"")</x:f>
      </x:c>
      <x:c r="AJ30" s="137" t="str">
        <x:f>IF(AND($A30&lt;&gt;"",$K30="No",OR($N30="Delayed",$P30="Dependency conflict")),$G30+ROW()/100000,"")</x:f>
      </x:c>
      <x:c r="AK30" s="137" t="n">
        <x:f>IF(AG30="","",COUNTIFS($AG$7:$AG$206,"&gt;0",$AG$7:$AG$206,"&lt;"&amp;AG30)+1)</x:f>
        <x:v>20</x:v>
      </x:c>
      <x:c r="AL30" s="137" t="str">
        <x:f>IF(AH30="","",COUNTIFS($AH$7:$AH$206,"&gt;0",$AH$7:$AH$206,"&lt;"&amp;AH30)+1)</x:f>
      </x:c>
      <x:c r="AM30" s="137" t="str">
        <x:f>IF(AI30="","",COUNTIFS($AI$7:$AI$206,"&gt;0",$AI$7:$AI$206,"&lt;"&amp;AI30)+1)</x:f>
      </x:c>
      <x:c r="AN30" s="137" t="str">
        <x:f>IF(AJ30="","",COUNTIFS($AJ$7:$AJ$206,"&gt;0",$AJ$7:$AJ$206,"&lt;"&amp;AJ30)+1)</x:f>
      </x:c>
    </x:row>
    <x:row r="31" ht="46" customHeight="1">
      <x:c r="A31" s="156" t="str">
        <x:v>M4</x:v>
      </x:c>
      <x:c r="B31" s="157" t="str">
        <x:v>M4 · Domain Intelligence Ingestion &amp; Asset Synthesis Complete</x:v>
      </x:c>
      <x:c r="C31" s="157" t="str">
        <x:v>Domain Intelligence Ingestion &amp; Asset Synthesis Complete</x:v>
      </x:c>
      <x:c r="D31" s="157" t="str">
        <x:v>Explicit checkpoint linked to T15, T16, T17, T18, T19, T20, T21.</x:v>
      </x:c>
      <x:c r="E31" s="157" t="str">
        <x:v>Domain Intelligence Ingestion &amp; Asset Synthesis Complete</x:v>
      </x:c>
      <x:c r="F31" s="158" t="n">
        <x:v>46297</x:v>
      </x:c>
      <x:c r="G31" s="158" t="n">
        <x:v>46297</x:v>
      </x:c>
      <x:c r="H31" s="159" t="n">
        <x:f>IF(OR(F31="",G31=""),"",G31-F31+1)</x:f>
        <x:v>1</x:v>
      </x:c>
      <x:c r="I31" s="157" t="str">
        <x:v>T15, T16, T17, T18, T19, T20, T21</x:v>
      </x:c>
      <x:c r="J31" s="157" t="str">
        <x:v>FS</x:v>
      </x:c>
      <x:c r="K31" s="157" t="str">
        <x:v>Yes</x:v>
      </x:c>
      <x:c r="L31" s="157" t="str">
        <x:v>Unassigned</x:v>
      </x:c>
      <x:c r="M31" s="157" t="str"/>
      <x:c r="N31" s="157" t="str">
        <x:f>IF(O31=0,"Not Started",IF(O31=1,"Completed","In Progress"))</x:f>
        <x:v>Not Started</x:v>
      </x:c>
      <x:c r="O31" s="160" t="n">
        <x:v>0</x:v>
      </x:c>
      <x:c r="P31" s="157" t="str">
        <x:f>IF(A31="","",IF(COUNTIF(TasksTable[Task ID],A31)&gt;1,"Duplicate Task ID",IF(OR(F31="",G31=""),"Missing dates",IF(G31&lt;F31,"Invalid dates",IF(OR(F31&lt;$B$2,G31&gt;$D$2),"Outside window",IF(AA31=0,IF(N31="Delayed","Delayed",IF(N31="On Hold","On Hold","On Track")),IF(J31="","Missing dependency type",IF(AC31,"Dependency cycle",IF(AB31&lt;&gt;AA31,"Invalid predecessor",IF(AF31,"Dependency conflict",IF(N31="Delayed","Delayed",IF(N31="On Hold","On Hold","On Track"))))))))))))</x:f>
        <x:v>On Track</x:v>
      </x:c>
      <x:c r="Q31" s="157" t="str">
        <x:v>[INFERRED] Milestone linkage is represented as FS predecessors from the source-listed linked tasks; source milestone status was inferred and is reset to 0%/Not Started per workbook requirement.</x:v>
      </x:c>
      <x:c r="T31" s="137" t="str">
        <x:f>IF($A31="","",TRIM(MID(SUBSTITUTE(SUBSTITUTE(TRIM($I31)," ",""),",",REPT(" ",100)),1,100)))</x:f>
        <x:v>T15</x:v>
      </x:c>
      <x:c r="U31" s="137" t="str">
        <x:f>IF($A31="","",TRIM(MID(SUBSTITUTE(SUBSTITUTE(TRIM($I31)," ",""),",",REPT(" ",100)),101,100)))</x:f>
        <x:v>T16</x:v>
      </x:c>
      <x:c r="V31" s="137" t="str">
        <x:f>IF($A31="","",TRIM(MID(SUBSTITUTE(SUBSTITUTE(TRIM($I31)," ",""),",",REPT(" ",100)),201,100)))</x:f>
        <x:v>T17</x:v>
      </x:c>
      <x:c r="W31" s="137" t="str">
        <x:f>IF($A31="","",TRIM(MID(SUBSTITUTE(SUBSTITUTE(TRIM($I31)," ",""),",",REPT(" ",100)),301,100)))</x:f>
        <x:v>T18</x:v>
      </x:c>
      <x:c r="X31" s="137" t="str">
        <x:f>IF($A31="","",TRIM(MID(SUBSTITUTE(SUBSTITUTE(TRIM($I31)," ",""),",",REPT(" ",100)),401,100)))</x:f>
        <x:v>T19</x:v>
      </x:c>
      <x:c r="Y31" s="137" t="str">
        <x:f>IF($A31="","",TRIM(MID(SUBSTITUTE(SUBSTITUTE(TRIM($I31)," ",""),",",REPT(" ",100)),501,100)))</x:f>
        <x:v>T20</x:v>
      </x:c>
      <x:c r="Z31" s="137" t="str">
        <x:f>IF($A31="","",TRIM(MID(SUBSTITUTE(SUBSTITUTE(TRIM($I31)," ",""),",",REPT(" ",100)),601,100)))</x:f>
        <x:v>T21</x:v>
      </x:c>
      <x:c r="AA31" s="137" t="n">
        <x:f>IF($A31="","",IF(SUBSTITUTE(TRIM($I31)," ","")="",0,1+LEN(SUBSTITUTE(TRIM($I31)," ",""))-LEN(SUBSTITUTE(SUBSTITUTE(TRIM($I31)," ",""),",",""))))</x:f>
        <x:v>7</x:v>
      </x:c>
      <x:c r="AB31" s="137" t="n">
        <x:f>IF($A31="","",COUNTIF(TasksTable[Task ID],T31)+COUNTIF(TasksTable[Task ID],U31)+COUNTIF(TasksTable[Task ID],V31)+COUNTIF(TasksTable[Task ID],W31)+COUNTIF(TasksTable[Task ID],X31)+COUNTIF(TasksTable[Task ID],Y31)+COUNTIF(TasksTable[Task ID],Z31))</x:f>
        <x:v>7</x:v>
      </x:c>
      <x:c r="AC31" s="137" t="b">
        <x:f>IF($A31="",FALSE,OR(T31=$A31,U31=$A31,V31=$A31,W31=$A31,X31=$A31,Y31=$A31,Z31=$A31))</x:f>
        <x:v>0</x:v>
      </x:c>
      <x:c r="AD31" s="144" t="n">
        <x:f>IF(AA31=0,0,MAX(IFERROR(INDEX(TasksTable[Start Date],MATCH(T31,TasksTable[Task ID],0)),0),IFERROR(INDEX(TasksTable[Start Date],MATCH(U31,TasksTable[Task ID],0)),0),IFERROR(INDEX(TasksTable[Start Date],MATCH(V31,TasksTable[Task ID],0)),0),IFERROR(INDEX(TasksTable[Start Date],MATCH(W31,TasksTable[Task ID],0)),0),IFERROR(INDEX(TasksTable[Start Date],MATCH(X31,TasksTable[Task ID],0)),0),IFERROR(INDEX(TasksTable[Start Date],MATCH(Y31,TasksTable[Task ID],0)),0),IFERROR(INDEX(TasksTable[Start Date],MATCH(Z31,TasksTable[Task ID],0)),0)))</x:f>
        <x:v>46294</x:v>
      </x:c>
      <x:c r="AE31" s="144" t="n">
        <x:f>IF(AA31=0,0,MAX(IFERROR(INDEX(TasksTable[End Date],MATCH(T31,TasksTable[Task ID],0)),0),IFERROR(INDEX(TasksTable[End Date],MATCH(U31,TasksTable[Task ID],0)),0),IFERROR(INDEX(TasksTable[End Date],MATCH(V31,TasksTable[Task ID],0)),0),IFERROR(INDEX(TasksTable[End Date],MATCH(W31,TasksTable[Task ID],0)),0),IFERROR(INDEX(TasksTable[End Date],MATCH(X31,TasksTable[Task ID],0)),0),IFERROR(INDEX(TasksTable[End Date],MATCH(Y31,TasksTable[Task ID],0)),0),IFERROR(INDEX(TasksTable[End Date],MATCH(Z31,TasksTable[Task ID],0)),0)))</x:f>
        <x:v>46297</x:v>
      </x:c>
      <x:c r="AF31" s="137" t="b">
        <x:f>IF(OR($A31="",AA31=0),FALSE,SWITCH($J31,"FS",$F31&lt;AE31,"SS",$F31&lt;AD31,"FF",$G31&lt;AE31,"SF",$G31&lt;AD31,TRUE))</x:f>
        <x:v>0</x:v>
      </x:c>
      <x:c r="AG31" s="137" t="str">
        <x:f>IF(AND($A31&lt;&gt;"",$K31="No",$N31&lt;&gt;"Completed",$F31&gt;=TODAY()),$F31+ROW()/100000,"")</x:f>
      </x:c>
      <x:c r="AH31" s="137" t="n">
        <x:f>IF(AND($A31&lt;&gt;"",$K31="Yes",$N31&lt;&gt;"Completed",$F31&gt;=TODAY()),$F31+ROW()/100000,"")</x:f>
        <x:v>46297.00031</x:v>
      </x:c>
      <x:c r="AI31" s="137" t="str">
        <x:f>IF(AND($A31&lt;&gt;"",$K31="No",$N31&lt;&gt;"Completed",$G31&gt;=TODAY(),$G31&lt;=TODAY()+3),$G31+ROW()/100000,"")</x:f>
      </x:c>
      <x:c r="AJ31" s="137" t="str">
        <x:f>IF(AND($A31&lt;&gt;"",$K31="No",OR($N31="Delayed",$P31="Dependency conflict")),$G31+ROW()/100000,"")</x:f>
      </x:c>
      <x:c r="AK31" s="137" t="str">
        <x:f>IF(AG31="","",COUNTIFS($AG$7:$AG$206,"&gt;0",$AG$7:$AG$206,"&lt;"&amp;AG31)+1)</x:f>
      </x:c>
      <x:c r="AL31" s="137" t="n">
        <x:f>IF(AH31="","",COUNTIFS($AH$7:$AH$206,"&gt;0",$AH$7:$AH$206,"&lt;"&amp;AH31)+1)</x:f>
        <x:v>4</x:v>
      </x:c>
      <x:c r="AM31" s="137" t="str">
        <x:f>IF(AI31="","",COUNTIFS($AI$7:$AI$206,"&gt;0",$AI$7:$AI$206,"&lt;"&amp;AI31)+1)</x:f>
      </x:c>
      <x:c r="AN31" s="137" t="str">
        <x:f>IF(AJ31="","",COUNTIFS($AJ$7:$AJ$206,"&gt;0",$AJ$7:$AJ$206,"&lt;"&amp;AJ31)+1)</x:f>
      </x:c>
    </x:row>
    <x:row r="32" ht="38" customHeight="1">
      <x:c r="A32" s="52" t="str">
        <x:v>T22</x:v>
      </x:c>
      <x:c r="B32" s="54" t="str">
        <x:v>M5 · HITL Gateway Clearance &amp; Cryptographic Authorization</x:v>
      </x:c>
      <x:c r="C32" s="54" t="str">
        <x:v>Consolidate worker evidence envelopes &amp; verify confidence intervals</x:v>
      </x:c>
      <x:c r="D32" s="54" t="str">
        <x:v>Strategy plans, creative assets, and code diffs must be compiled into evidence envelopes.</x:v>
      </x:c>
      <x:c r="E32" s="54" t="str">
        <x:v>[INFERRED] Consolidated evidence envelopes with confidence verification</x:v>
      </x:c>
      <x:c r="F32" s="56" t="n">
        <x:v>46297</x:v>
      </x:c>
      <x:c r="G32" s="56" t="n">
        <x:v>46299</x:v>
      </x:c>
      <x:c r="H32" s="60" t="n">
        <x:f>IF(OR(F32="",G32=""),"",G32-F32+1)</x:f>
        <x:v>3</x:v>
      </x:c>
      <x:c r="I32" s="54" t="str">
        <x:v>T19, T20, T21</x:v>
      </x:c>
      <x:c r="J32" s="54" t="str">
        <x:v>FS</x:v>
      </x:c>
      <x:c r="K32" s="54" t="str">
        <x:v>No</x:v>
      </x:c>
      <x:c r="L32" s="54" t="str">
        <x:v>Intelligence Engine (IE)</x:v>
      </x:c>
      <x:c r="M32" s="54" t="str"/>
      <x:c r="N32" s="54" t="str">
        <x:f>IF(O32=0,"Not Started",IF(O32=1,"Completed","In Progress"))</x:f>
        <x:v>Not Started</x:v>
      </x:c>
      <x:c r="O32" s="58" t="n">
        <x:v>0</x:v>
      </x:c>
      <x:c r="P32" s="62" t="str">
        <x:f>IF(A32="","",IF(COUNTIF(TasksTable[Task ID],A32)&gt;1,"Duplicate Task ID",IF(OR(F32="",G32=""),"Missing dates",IF(G32&lt;F32,"Invalid dates",IF(OR(F32&lt;$B$2,G32&gt;$D$2),"Outside window",IF(AA32=0,IF(N32="Delayed","Delayed",IF(N32="On Hold","On Hold","On Track")),IF(J32="","Missing dependency type",IF(AC32,"Dependency cycle",IF(AB32&lt;&gt;AA32,"Invalid predecessor",IF(AF32,"Dependency conflict",IF(N32="Delayed","Delayed",IF(N32="On Hold","On Hold","On Track"))))))))))))</x:f>
        <x:v>On Track</x:v>
      </x:c>
      <x:c r="Q32" s="54" t="str"/>
      <x:c r="T32" s="137" t="str">
        <x:f>IF($A32="","",TRIM(MID(SUBSTITUTE(SUBSTITUTE(TRIM($I32)," ",""),",",REPT(" ",100)),1,100)))</x:f>
        <x:v>T19</x:v>
      </x:c>
      <x:c r="U32" s="137" t="str">
        <x:f>IF($A32="","",TRIM(MID(SUBSTITUTE(SUBSTITUTE(TRIM($I32)," ",""),",",REPT(" ",100)),101,100)))</x:f>
        <x:v>T20</x:v>
      </x:c>
      <x:c r="V32" s="137" t="str">
        <x:f>IF($A32="","",TRIM(MID(SUBSTITUTE(SUBSTITUTE(TRIM($I32)," ",""),",",REPT(" ",100)),201,100)))</x:f>
        <x:v>T21</x:v>
      </x:c>
      <x:c r="W32" s="137" t="str">
        <x:f>IF($A32="","",TRIM(MID(SUBSTITUTE(SUBSTITUTE(TRIM($I32)," ",""),",",REPT(" ",100)),301,100)))</x:f>
      </x:c>
      <x:c r="X32" s="137" t="str">
        <x:f>IF($A32="","",TRIM(MID(SUBSTITUTE(SUBSTITUTE(TRIM($I32)," ",""),",",REPT(" ",100)),401,100)))</x:f>
      </x:c>
      <x:c r="Y32" s="137" t="str">
        <x:f>IF($A32="","",TRIM(MID(SUBSTITUTE(SUBSTITUTE(TRIM($I32)," ",""),",",REPT(" ",100)),501,100)))</x:f>
      </x:c>
      <x:c r="Z32" s="137" t="str">
        <x:f>IF($A32="","",TRIM(MID(SUBSTITUTE(SUBSTITUTE(TRIM($I32)," ",""),",",REPT(" ",100)),601,100)))</x:f>
      </x:c>
      <x:c r="AA32" s="137" t="n">
        <x:f>IF($A32="","",IF(SUBSTITUTE(TRIM($I32)," ","")="",0,1+LEN(SUBSTITUTE(TRIM($I32)," ",""))-LEN(SUBSTITUTE(SUBSTITUTE(TRIM($I32)," ",""),",",""))))</x:f>
        <x:v>3</x:v>
      </x:c>
      <x:c r="AB32" s="137" t="n">
        <x:f>IF($A32="","",COUNTIF(TasksTable[Task ID],T32)+COUNTIF(TasksTable[Task ID],U32)+COUNTIF(TasksTable[Task ID],V32)+COUNTIF(TasksTable[Task ID],W32)+COUNTIF(TasksTable[Task ID],X32)+COUNTIF(TasksTable[Task ID],Y32)+COUNTIF(TasksTable[Task ID],Z32))</x:f>
        <x:v>3</x:v>
      </x:c>
      <x:c r="AC32" s="137" t="b">
        <x:f>IF($A32="",FALSE,OR(T32=$A32,U32=$A32,V32=$A32,W32=$A32,X32=$A32,Y32=$A32,Z32=$A32))</x:f>
        <x:v>0</x:v>
      </x:c>
      <x:c r="AD32" s="144" t="n">
        <x:f>IF(AA32=0,0,MAX(IFERROR(INDEX(TasksTable[Start Date],MATCH(T32,TasksTable[Task ID],0)),0),IFERROR(INDEX(TasksTable[Start Date],MATCH(U32,TasksTable[Task ID],0)),0),IFERROR(INDEX(TasksTable[Start Date],MATCH(V32,TasksTable[Task ID],0)),0),IFERROR(INDEX(TasksTable[Start Date],MATCH(W32,TasksTable[Task ID],0)),0),IFERROR(INDEX(TasksTable[Start Date],MATCH(X32,TasksTable[Task ID],0)),0),IFERROR(INDEX(TasksTable[Start Date],MATCH(Y32,TasksTable[Task ID],0)),0),IFERROR(INDEX(TasksTable[Start Date],MATCH(Z32,TasksTable[Task ID],0)),0)))</x:f>
        <x:v>46294</x:v>
      </x:c>
      <x:c r="AE32" s="144" t="n">
        <x:f>IF(AA32=0,0,MAX(IFERROR(INDEX(TasksTable[End Date],MATCH(T32,TasksTable[Task ID],0)),0),IFERROR(INDEX(TasksTable[End Date],MATCH(U32,TasksTable[Task ID],0)),0),IFERROR(INDEX(TasksTable[End Date],MATCH(V32,TasksTable[Task ID],0)),0),IFERROR(INDEX(TasksTable[End Date],MATCH(W32,TasksTable[Task ID],0)),0),IFERROR(INDEX(TasksTable[End Date],MATCH(X32,TasksTable[Task ID],0)),0),IFERROR(INDEX(TasksTable[End Date],MATCH(Y32,TasksTable[Task ID],0)),0),IFERROR(INDEX(TasksTable[End Date],MATCH(Z32,TasksTable[Task ID],0)),0)))</x:f>
        <x:v>46297</x:v>
      </x:c>
      <x:c r="AF32" s="137" t="b">
        <x:f>IF(OR($A32="",AA32=0),FALSE,SWITCH($J32,"FS",$F32&lt;AE32,"SS",$F32&lt;AD32,"FF",$G32&lt;AE32,"SF",$G32&lt;AD32,TRUE))</x:f>
        <x:v>0</x:v>
      </x:c>
      <x:c r="AG32" s="137" t="n">
        <x:f>IF(AND($A32&lt;&gt;"",$K32="No",$N32&lt;&gt;"Completed",$F32&gt;=TODAY()),$F32+ROW()/100000,"")</x:f>
        <x:v>46297.00032</x:v>
      </x:c>
      <x:c r="AH32" s="137" t="str">
        <x:f>IF(AND($A32&lt;&gt;"",$K32="Yes",$N32&lt;&gt;"Completed",$F32&gt;=TODAY()),$F32+ROW()/100000,"")</x:f>
      </x:c>
      <x:c r="AI32" s="137" t="str">
        <x:f>IF(AND($A32&lt;&gt;"",$K32="No",$N32&lt;&gt;"Completed",$G32&gt;=TODAY(),$G32&lt;=TODAY()+3),$G32+ROW()/100000,"")</x:f>
      </x:c>
      <x:c r="AJ32" s="137" t="str">
        <x:f>IF(AND($A32&lt;&gt;"",$K32="No",OR($N32="Delayed",$P32="Dependency conflict")),$G32+ROW()/100000,"")</x:f>
      </x:c>
      <x:c r="AK32" s="137" t="n">
        <x:f>IF(AG32="","",COUNTIFS($AG$7:$AG$206,"&gt;0",$AG$7:$AG$206,"&lt;"&amp;AG32)+1)</x:f>
        <x:v>22</x:v>
      </x:c>
      <x:c r="AL32" s="137" t="str">
        <x:f>IF(AH32="","",COUNTIFS($AH$7:$AH$206,"&gt;0",$AH$7:$AH$206,"&lt;"&amp;AH32)+1)</x:f>
      </x:c>
      <x:c r="AM32" s="137" t="str">
        <x:f>IF(AI32="","",COUNTIFS($AI$7:$AI$206,"&gt;0",$AI$7:$AI$206,"&lt;"&amp;AI32)+1)</x:f>
      </x:c>
      <x:c r="AN32" s="137" t="str">
        <x:f>IF(AJ32="","",COUNTIFS($AJ$7:$AJ$206,"&gt;0",$AJ$7:$AJ$206,"&lt;"&amp;AJ32)+1)</x:f>
      </x:c>
    </x:row>
    <x:row r="33" ht="38" customHeight="1">
      <x:c r="A33" s="52" t="str">
        <x:v>T23</x:v>
      </x:c>
      <x:c r="B33" s="54" t="str">
        <x:v>M5 · HITL Gateway Clearance &amp; Cryptographic Authorization</x:v>
      </x:c>
      <x:c r="C33" s="54" t="str">
        <x:v>Generate structured action previews (spend, code diffs, claims, copy)</x:v>
      </x:c>
      <x:c r="D33" s="54" t="str">
        <x:v>Validated evidence envelopes are required to format structured action previews.</x:v>
      </x:c>
      <x:c r="E33" s="54" t="str">
        <x:v>[INFERRED] Structured action previews for spend, code, claims, and copy</x:v>
      </x:c>
      <x:c r="F33" s="56" t="n">
        <x:v>46299</x:v>
      </x:c>
      <x:c r="G33" s="56" t="n">
        <x:v>46300</x:v>
      </x:c>
      <x:c r="H33" s="60" t="n">
        <x:f>IF(OR(F33="",G33=""),"",G33-F33+1)</x:f>
        <x:v>2</x:v>
      </x:c>
      <x:c r="I33" s="54" t="str">
        <x:v>T22</x:v>
      </x:c>
      <x:c r="J33" s="54" t="str">
        <x:v>FS</x:v>
      </x:c>
      <x:c r="K33" s="54" t="str">
        <x:v>No</x:v>
      </x:c>
      <x:c r="L33" s="54" t="str">
        <x:v>Intelligence Engine (IE)</x:v>
      </x:c>
      <x:c r="M33" s="54" t="str"/>
      <x:c r="N33" s="54" t="str">
        <x:f>IF(O33=0,"Not Started",IF(O33=1,"Completed","In Progress"))</x:f>
        <x:v>Not Started</x:v>
      </x:c>
      <x:c r="O33" s="58" t="n">
        <x:v>0</x:v>
      </x:c>
      <x:c r="P33" s="62" t="str">
        <x:f>IF(A33="","",IF(COUNTIF(TasksTable[Task ID],A33)&gt;1,"Duplicate Task ID",IF(OR(F33="",G33=""),"Missing dates",IF(G33&lt;F33,"Invalid dates",IF(OR(F33&lt;$B$2,G33&gt;$D$2),"Outside window",IF(AA33=0,IF(N33="Delayed","Delayed",IF(N33="On Hold","On Hold","On Track")),IF(J33="","Missing dependency type",IF(AC33,"Dependency cycle",IF(AB33&lt;&gt;AA33,"Invalid predecessor",IF(AF33,"Dependency conflict",IF(N33="Delayed","Delayed",IF(N33="On Hold","On Hold","On Track"))))))))))))</x:f>
        <x:v>On Track</x:v>
      </x:c>
      <x:c r="Q33" s="54" t="str"/>
      <x:c r="T33" s="137" t="str">
        <x:f>IF($A33="","",TRIM(MID(SUBSTITUTE(SUBSTITUTE(TRIM($I33)," ",""),",",REPT(" ",100)),1,100)))</x:f>
        <x:v>T22</x:v>
      </x:c>
      <x:c r="U33" s="137" t="str">
        <x:f>IF($A33="","",TRIM(MID(SUBSTITUTE(SUBSTITUTE(TRIM($I33)," ",""),",",REPT(" ",100)),101,100)))</x:f>
      </x:c>
      <x:c r="V33" s="137" t="str">
        <x:f>IF($A33="","",TRIM(MID(SUBSTITUTE(SUBSTITUTE(TRIM($I33)," ",""),",",REPT(" ",100)),201,100)))</x:f>
      </x:c>
      <x:c r="W33" s="137" t="str">
        <x:f>IF($A33="","",TRIM(MID(SUBSTITUTE(SUBSTITUTE(TRIM($I33)," ",""),",",REPT(" ",100)),301,100)))</x:f>
      </x:c>
      <x:c r="X33" s="137" t="str">
        <x:f>IF($A33="","",TRIM(MID(SUBSTITUTE(SUBSTITUTE(TRIM($I33)," ",""),",",REPT(" ",100)),401,100)))</x:f>
      </x:c>
      <x:c r="Y33" s="137" t="str">
        <x:f>IF($A33="","",TRIM(MID(SUBSTITUTE(SUBSTITUTE(TRIM($I33)," ",""),",",REPT(" ",100)),501,100)))</x:f>
      </x:c>
      <x:c r="Z33" s="137" t="str">
        <x:f>IF($A33="","",TRIM(MID(SUBSTITUTE(SUBSTITUTE(TRIM($I33)," ",""),",",REPT(" ",100)),601,100)))</x:f>
      </x:c>
      <x:c r="AA33" s="137" t="n">
        <x:f>IF($A33="","",IF(SUBSTITUTE(TRIM($I33)," ","")="",0,1+LEN(SUBSTITUTE(TRIM($I33)," ",""))-LEN(SUBSTITUTE(SUBSTITUTE(TRIM($I33)," ",""),",",""))))</x:f>
        <x:v>1</x:v>
      </x:c>
      <x:c r="AB33" s="137" t="n">
        <x:f>IF($A33="","",COUNTIF(TasksTable[Task ID],T33)+COUNTIF(TasksTable[Task ID],U33)+COUNTIF(TasksTable[Task ID],V33)+COUNTIF(TasksTable[Task ID],W33)+COUNTIF(TasksTable[Task ID],X33)+COUNTIF(TasksTable[Task ID],Y33)+COUNTIF(TasksTable[Task ID],Z33))</x:f>
        <x:v>1</x:v>
      </x:c>
      <x:c r="AC33" s="137" t="b">
        <x:f>IF($A33="",FALSE,OR(T33=$A33,U33=$A33,V33=$A33,W33=$A33,X33=$A33,Y33=$A33,Z33=$A33))</x:f>
        <x:v>0</x:v>
      </x:c>
      <x:c r="AD33" s="144" t="n">
        <x:f>IF(AA33=0,0,MAX(IFERROR(INDEX(TasksTable[Start Date],MATCH(T33,TasksTable[Task ID],0)),0),IFERROR(INDEX(TasksTable[Start Date],MATCH(U33,TasksTable[Task ID],0)),0),IFERROR(INDEX(TasksTable[Start Date],MATCH(V33,TasksTable[Task ID],0)),0),IFERROR(INDEX(TasksTable[Start Date],MATCH(W33,TasksTable[Task ID],0)),0),IFERROR(INDEX(TasksTable[Start Date],MATCH(X33,TasksTable[Task ID],0)),0),IFERROR(INDEX(TasksTable[Start Date],MATCH(Y33,TasksTable[Task ID],0)),0),IFERROR(INDEX(TasksTable[Start Date],MATCH(Z33,TasksTable[Task ID],0)),0)))</x:f>
        <x:v>46297</x:v>
      </x:c>
      <x:c r="AE33" s="144" t="n">
        <x:f>IF(AA33=0,0,MAX(IFERROR(INDEX(TasksTable[End Date],MATCH(T33,TasksTable[Task ID],0)),0),IFERROR(INDEX(TasksTable[End Date],MATCH(U33,TasksTable[Task ID],0)),0),IFERROR(INDEX(TasksTable[End Date],MATCH(V33,TasksTable[Task ID],0)),0),IFERROR(INDEX(TasksTable[End Date],MATCH(W33,TasksTable[Task ID],0)),0),IFERROR(INDEX(TasksTable[End Date],MATCH(X33,TasksTable[Task ID],0)),0),IFERROR(INDEX(TasksTable[End Date],MATCH(Y33,TasksTable[Task ID],0)),0),IFERROR(INDEX(TasksTable[End Date],MATCH(Z33,TasksTable[Task ID],0)),0)))</x:f>
        <x:v>46299</x:v>
      </x:c>
      <x:c r="AF33" s="137" t="b">
        <x:f>IF(OR($A33="",AA33=0),FALSE,SWITCH($J33,"FS",$F33&lt;AE33,"SS",$F33&lt;AD33,"FF",$G33&lt;AE33,"SF",$G33&lt;AD33,TRUE))</x:f>
        <x:v>0</x:v>
      </x:c>
      <x:c r="AG33" s="137" t="n">
        <x:f>IF(AND($A33&lt;&gt;"",$K33="No",$N33&lt;&gt;"Completed",$F33&gt;=TODAY()),$F33+ROW()/100000,"")</x:f>
        <x:v>46299.00033</x:v>
      </x:c>
      <x:c r="AH33" s="137" t="str">
        <x:f>IF(AND($A33&lt;&gt;"",$K33="Yes",$N33&lt;&gt;"Completed",$F33&gt;=TODAY()),$F33+ROW()/100000,"")</x:f>
      </x:c>
      <x:c r="AI33" s="137" t="str">
        <x:f>IF(AND($A33&lt;&gt;"",$K33="No",$N33&lt;&gt;"Completed",$G33&gt;=TODAY(),$G33&lt;=TODAY()+3),$G33+ROW()/100000,"")</x:f>
      </x:c>
      <x:c r="AJ33" s="137" t="str">
        <x:f>IF(AND($A33&lt;&gt;"",$K33="No",OR($N33="Delayed",$P33="Dependency conflict")),$G33+ROW()/100000,"")</x:f>
      </x:c>
      <x:c r="AK33" s="137" t="n">
        <x:f>IF(AG33="","",COUNTIFS($AG$7:$AG$206,"&gt;0",$AG$7:$AG$206,"&lt;"&amp;AG33)+1)</x:f>
        <x:v>23</x:v>
      </x:c>
      <x:c r="AL33" s="137" t="str">
        <x:f>IF(AH33="","",COUNTIFS($AH$7:$AH$206,"&gt;0",$AH$7:$AH$206,"&lt;"&amp;AH33)+1)</x:f>
      </x:c>
      <x:c r="AM33" s="137" t="str">
        <x:f>IF(AI33="","",COUNTIFS($AI$7:$AI$206,"&gt;0",$AI$7:$AI$206,"&lt;"&amp;AI33)+1)</x:f>
      </x:c>
      <x:c r="AN33" s="137" t="str">
        <x:f>IF(AJ33="","",COUNTIFS($AJ$7:$AJ$206,"&gt;0",$AJ$7:$AJ$206,"&lt;"&amp;AJ33)+1)</x:f>
      </x:c>
    </x:row>
    <x:row r="34" ht="38" customHeight="1">
      <x:c r="A34" s="52" t="str">
        <x:v>T24</x:v>
      </x:c>
      <x:c r="B34" s="54" t="str">
        <x:v>M5 · HITL Gateway Clearance &amp; Cryptographic Authorization</x:v>
      </x:c>
      <x:c r="C34" s="54" t="str">
        <x:v>Execute Human-in-the-Loop (HITL) quality, legal, and deploy sign-off</x:v>
      </x:c>
      <x:c r="D34" s="54" t="str">
        <x:v>Action previews are the mandatory input for the Human-in-the-Loop approval gate.</x:v>
      </x:c>
      <x:c r="E34" s="54" t="str">
        <x:v>[INFERRED] HITL approval/rejection decision with signed authorization evidence</x:v>
      </x:c>
      <x:c r="F34" s="56" t="n">
        <x:v>46300</x:v>
      </x:c>
      <x:c r="G34" s="56" t="n">
        <x:v>46301</x:v>
      </x:c>
      <x:c r="H34" s="60" t="n">
        <x:f>IF(OR(F34="",G34=""),"",G34-F34+1)</x:f>
        <x:v>2</x:v>
      </x:c>
      <x:c r="I34" s="54" t="str">
        <x:v>T23</x:v>
      </x:c>
      <x:c r="J34" s="54" t="str">
        <x:v>FS</x:v>
      </x:c>
      <x:c r="K34" s="54" t="str">
        <x:v>No</x:v>
      </x:c>
      <x:c r="L34" s="54" t="str">
        <x:v>Human-in-the-Loop (HITL) Gate</x:v>
      </x:c>
      <x:c r="M34" s="54" t="str"/>
      <x:c r="N34" s="54" t="str">
        <x:f>IF(O34=0,"Not Started",IF(O34=1,"Completed","In Progress"))</x:f>
        <x:v>Not Started</x:v>
      </x:c>
      <x:c r="O34" s="58" t="n">
        <x:v>0</x:v>
      </x:c>
      <x:c r="P34" s="62" t="str">
        <x:f>IF(A34="","",IF(COUNTIF(TasksTable[Task ID],A34)&gt;1,"Duplicate Task ID",IF(OR(F34="",G34=""),"Missing dates",IF(G34&lt;F34,"Invalid dates",IF(OR(F34&lt;$B$2,G34&gt;$D$2),"Outside window",IF(AA34=0,IF(N34="Delayed","Delayed",IF(N34="On Hold","On Hold","On Track")),IF(J34="","Missing dependency type",IF(AC34,"Dependency cycle",IF(AB34&lt;&gt;AA34,"Invalid predecessor",IF(AF34,"Dependency conflict",IF(N34="Delayed","Delayed",IF(N34="On Hold","On Hold","On Track"))))))))))))</x:f>
        <x:v>On Track</x:v>
      </x:c>
      <x:c r="Q34" s="54" t="str"/>
      <x:c r="T34" s="137" t="str">
        <x:f>IF($A34="","",TRIM(MID(SUBSTITUTE(SUBSTITUTE(TRIM($I34)," ",""),",",REPT(" ",100)),1,100)))</x:f>
        <x:v>T23</x:v>
      </x:c>
      <x:c r="U34" s="137" t="str">
        <x:f>IF($A34="","",TRIM(MID(SUBSTITUTE(SUBSTITUTE(TRIM($I34)," ",""),",",REPT(" ",100)),101,100)))</x:f>
      </x:c>
      <x:c r="V34" s="137" t="str">
        <x:f>IF($A34="","",TRIM(MID(SUBSTITUTE(SUBSTITUTE(TRIM($I34)," ",""),",",REPT(" ",100)),201,100)))</x:f>
      </x:c>
      <x:c r="W34" s="137" t="str">
        <x:f>IF($A34="","",TRIM(MID(SUBSTITUTE(SUBSTITUTE(TRIM($I34)," ",""),",",REPT(" ",100)),301,100)))</x:f>
      </x:c>
      <x:c r="X34" s="137" t="str">
        <x:f>IF($A34="","",TRIM(MID(SUBSTITUTE(SUBSTITUTE(TRIM($I34)," ",""),",",REPT(" ",100)),401,100)))</x:f>
      </x:c>
      <x:c r="Y34" s="137" t="str">
        <x:f>IF($A34="","",TRIM(MID(SUBSTITUTE(SUBSTITUTE(TRIM($I34)," ",""),",",REPT(" ",100)),501,100)))</x:f>
      </x:c>
      <x:c r="Z34" s="137" t="str">
        <x:f>IF($A34="","",TRIM(MID(SUBSTITUTE(SUBSTITUTE(TRIM($I34)," ",""),",",REPT(" ",100)),601,100)))</x:f>
      </x:c>
      <x:c r="AA34" s="137" t="n">
        <x:f>IF($A34="","",IF(SUBSTITUTE(TRIM($I34)," ","")="",0,1+LEN(SUBSTITUTE(TRIM($I34)," ",""))-LEN(SUBSTITUTE(SUBSTITUTE(TRIM($I34)," ",""),",",""))))</x:f>
        <x:v>1</x:v>
      </x:c>
      <x:c r="AB34" s="137" t="n">
        <x:f>IF($A34="","",COUNTIF(TasksTable[Task ID],T34)+COUNTIF(TasksTable[Task ID],U34)+COUNTIF(TasksTable[Task ID],V34)+COUNTIF(TasksTable[Task ID],W34)+COUNTIF(TasksTable[Task ID],X34)+COUNTIF(TasksTable[Task ID],Y34)+COUNTIF(TasksTable[Task ID],Z34))</x:f>
        <x:v>1</x:v>
      </x:c>
      <x:c r="AC34" s="137" t="b">
        <x:f>IF($A34="",FALSE,OR(T34=$A34,U34=$A34,V34=$A34,W34=$A34,X34=$A34,Y34=$A34,Z34=$A34))</x:f>
        <x:v>0</x:v>
      </x:c>
      <x:c r="AD34" s="144" t="n">
        <x:f>IF(AA34=0,0,MAX(IFERROR(INDEX(TasksTable[Start Date],MATCH(T34,TasksTable[Task ID],0)),0),IFERROR(INDEX(TasksTable[Start Date],MATCH(U34,TasksTable[Task ID],0)),0),IFERROR(INDEX(TasksTable[Start Date],MATCH(V34,TasksTable[Task ID],0)),0),IFERROR(INDEX(TasksTable[Start Date],MATCH(W34,TasksTable[Task ID],0)),0),IFERROR(INDEX(TasksTable[Start Date],MATCH(X34,TasksTable[Task ID],0)),0),IFERROR(INDEX(TasksTable[Start Date],MATCH(Y34,TasksTable[Task ID],0)),0),IFERROR(INDEX(TasksTable[Start Date],MATCH(Z34,TasksTable[Task ID],0)),0)))</x:f>
        <x:v>46299</x:v>
      </x:c>
      <x:c r="AE34" s="144" t="n">
        <x:f>IF(AA34=0,0,MAX(IFERROR(INDEX(TasksTable[End Date],MATCH(T34,TasksTable[Task ID],0)),0),IFERROR(INDEX(TasksTable[End Date],MATCH(U34,TasksTable[Task ID],0)),0),IFERROR(INDEX(TasksTable[End Date],MATCH(V34,TasksTable[Task ID],0)),0),IFERROR(INDEX(TasksTable[End Date],MATCH(W34,TasksTable[Task ID],0)),0),IFERROR(INDEX(TasksTable[End Date],MATCH(X34,TasksTable[Task ID],0)),0),IFERROR(INDEX(TasksTable[End Date],MATCH(Y34,TasksTable[Task ID],0)),0),IFERROR(INDEX(TasksTable[End Date],MATCH(Z34,TasksTable[Task ID],0)),0)))</x:f>
        <x:v>46300</x:v>
      </x:c>
      <x:c r="AF34" s="137" t="b">
        <x:f>IF(OR($A34="",AA34=0),FALSE,SWITCH($J34,"FS",$F34&lt;AE34,"SS",$F34&lt;AD34,"FF",$G34&lt;AE34,"SF",$G34&lt;AD34,TRUE))</x:f>
        <x:v>0</x:v>
      </x:c>
      <x:c r="AG34" s="137" t="n">
        <x:f>IF(AND($A34&lt;&gt;"",$K34="No",$N34&lt;&gt;"Completed",$F34&gt;=TODAY()),$F34+ROW()/100000,"")</x:f>
        <x:v>46300.00034</x:v>
      </x:c>
      <x:c r="AH34" s="137" t="str">
        <x:f>IF(AND($A34&lt;&gt;"",$K34="Yes",$N34&lt;&gt;"Completed",$F34&gt;=TODAY()),$F34+ROW()/100000,"")</x:f>
      </x:c>
      <x:c r="AI34" s="137" t="str">
        <x:f>IF(AND($A34&lt;&gt;"",$K34="No",$N34&lt;&gt;"Completed",$G34&gt;=TODAY(),$G34&lt;=TODAY()+3),$G34+ROW()/100000,"")</x:f>
      </x:c>
      <x:c r="AJ34" s="137" t="str">
        <x:f>IF(AND($A34&lt;&gt;"",$K34="No",OR($N34="Delayed",$P34="Dependency conflict")),$G34+ROW()/100000,"")</x:f>
      </x:c>
      <x:c r="AK34" s="137" t="n">
        <x:f>IF(AG34="","",COUNTIFS($AG$7:$AG$206,"&gt;0",$AG$7:$AG$206,"&lt;"&amp;AG34)+1)</x:f>
        <x:v>24</x:v>
      </x:c>
      <x:c r="AL34" s="137" t="str">
        <x:f>IF(AH34="","",COUNTIFS($AH$7:$AH$206,"&gt;0",$AH$7:$AH$206,"&lt;"&amp;AH34)+1)</x:f>
      </x:c>
      <x:c r="AM34" s="137" t="str">
        <x:f>IF(AI34="","",COUNTIFS($AI$7:$AI$206,"&gt;0",$AI$7:$AI$206,"&lt;"&amp;AI34)+1)</x:f>
      </x:c>
      <x:c r="AN34" s="137" t="str">
        <x:f>IF(AJ34="","",COUNTIFS($AJ$7:$AJ$206,"&gt;0",$AJ$7:$AJ$206,"&lt;"&amp;AJ34)+1)</x:f>
      </x:c>
    </x:row>
    <x:row r="35" ht="46" customHeight="1">
      <x:c r="A35" s="156" t="str">
        <x:v>M5</x:v>
      </x:c>
      <x:c r="B35" s="157" t="str">
        <x:v>M5 · HITL Gateway Clearance &amp; Cryptographic Authorization</x:v>
      </x:c>
      <x:c r="C35" s="157" t="str">
        <x:v>HITL Gateway Clearance &amp; Cryptographic Authorization</x:v>
      </x:c>
      <x:c r="D35" s="157" t="str">
        <x:v>Explicit checkpoint linked to T22, T23, T24.</x:v>
      </x:c>
      <x:c r="E35" s="157" t="str">
        <x:v>HITL Gateway Clearance &amp; Cryptographic Authorization</x:v>
      </x:c>
      <x:c r="F35" s="158" t="n">
        <x:v>46301</x:v>
      </x:c>
      <x:c r="G35" s="158" t="n">
        <x:v>46301</x:v>
      </x:c>
      <x:c r="H35" s="159" t="n">
        <x:f>IF(OR(F35="",G35=""),"",G35-F35+1)</x:f>
        <x:v>1</x:v>
      </x:c>
      <x:c r="I35" s="157" t="str">
        <x:v>T22, T23, T24</x:v>
      </x:c>
      <x:c r="J35" s="157" t="str">
        <x:v>FS</x:v>
      </x:c>
      <x:c r="K35" s="157" t="str">
        <x:v>Yes</x:v>
      </x:c>
      <x:c r="L35" s="157" t="str">
        <x:v>Unassigned</x:v>
      </x:c>
      <x:c r="M35" s="157" t="str"/>
      <x:c r="N35" s="157" t="str">
        <x:f>IF(O35=0,"Not Started",IF(O35=1,"Completed","In Progress"))</x:f>
        <x:v>Not Started</x:v>
      </x:c>
      <x:c r="O35" s="160" t="n">
        <x:v>0</x:v>
      </x:c>
      <x:c r="P35" s="157" t="str">
        <x:f>IF(A35="","",IF(COUNTIF(TasksTable[Task ID],A35)&gt;1,"Duplicate Task ID",IF(OR(F35="",G35=""),"Missing dates",IF(G35&lt;F35,"Invalid dates",IF(OR(F35&lt;$B$2,G35&gt;$D$2),"Outside window",IF(AA35=0,IF(N35="Delayed","Delayed",IF(N35="On Hold","On Hold","On Track")),IF(J35="","Missing dependency type",IF(AC35,"Dependency cycle",IF(AB35&lt;&gt;AA35,"Invalid predecessor",IF(AF35,"Dependency conflict",IF(N35="Delayed","Delayed",IF(N35="On Hold","On Hold","On Track"))))))))))))</x:f>
        <x:v>On Track</x:v>
      </x:c>
      <x:c r="Q35" s="157" t="str">
        <x:v>[INFERRED] Milestone linkage is represented as FS predecessors from the source-listed linked tasks; source milestone status was inferred and is reset to 0%/Not Started per workbook requirement.</x:v>
      </x:c>
      <x:c r="T35" s="137" t="str">
        <x:f>IF($A35="","",TRIM(MID(SUBSTITUTE(SUBSTITUTE(TRIM($I35)," ",""),",",REPT(" ",100)),1,100)))</x:f>
        <x:v>T22</x:v>
      </x:c>
      <x:c r="U35" s="137" t="str">
        <x:f>IF($A35="","",TRIM(MID(SUBSTITUTE(SUBSTITUTE(TRIM($I35)," ",""),",",REPT(" ",100)),101,100)))</x:f>
        <x:v>T23</x:v>
      </x:c>
      <x:c r="V35" s="137" t="str">
        <x:f>IF($A35="","",TRIM(MID(SUBSTITUTE(SUBSTITUTE(TRIM($I35)," ",""),",",REPT(" ",100)),201,100)))</x:f>
        <x:v>T24</x:v>
      </x:c>
      <x:c r="W35" s="137" t="str">
        <x:f>IF($A35="","",TRIM(MID(SUBSTITUTE(SUBSTITUTE(TRIM($I35)," ",""),",",REPT(" ",100)),301,100)))</x:f>
      </x:c>
      <x:c r="X35" s="137" t="str">
        <x:f>IF($A35="","",TRIM(MID(SUBSTITUTE(SUBSTITUTE(TRIM($I35)," ",""),",",REPT(" ",100)),401,100)))</x:f>
      </x:c>
      <x:c r="Y35" s="137" t="str">
        <x:f>IF($A35="","",TRIM(MID(SUBSTITUTE(SUBSTITUTE(TRIM($I35)," ",""),",",REPT(" ",100)),501,100)))</x:f>
      </x:c>
      <x:c r="Z35" s="137" t="str">
        <x:f>IF($A35="","",TRIM(MID(SUBSTITUTE(SUBSTITUTE(TRIM($I35)," ",""),",",REPT(" ",100)),601,100)))</x:f>
      </x:c>
      <x:c r="AA35" s="137" t="n">
        <x:f>IF($A35="","",IF(SUBSTITUTE(TRIM($I35)," ","")="",0,1+LEN(SUBSTITUTE(TRIM($I35)," ",""))-LEN(SUBSTITUTE(SUBSTITUTE(TRIM($I35)," ",""),",",""))))</x:f>
        <x:v>3</x:v>
      </x:c>
      <x:c r="AB35" s="137" t="n">
        <x:f>IF($A35="","",COUNTIF(TasksTable[Task ID],T35)+COUNTIF(TasksTable[Task ID],U35)+COUNTIF(TasksTable[Task ID],V35)+COUNTIF(TasksTable[Task ID],W35)+COUNTIF(TasksTable[Task ID],X35)+COUNTIF(TasksTable[Task ID],Y35)+COUNTIF(TasksTable[Task ID],Z35))</x:f>
        <x:v>3</x:v>
      </x:c>
      <x:c r="AC35" s="137" t="b">
        <x:f>IF($A35="",FALSE,OR(T35=$A35,U35=$A35,V35=$A35,W35=$A35,X35=$A35,Y35=$A35,Z35=$A35))</x:f>
        <x:v>0</x:v>
      </x:c>
      <x:c r="AD35" s="144" t="n">
        <x:f>IF(AA35=0,0,MAX(IFERROR(INDEX(TasksTable[Start Date],MATCH(T35,TasksTable[Task ID],0)),0),IFERROR(INDEX(TasksTable[Start Date],MATCH(U35,TasksTable[Task ID],0)),0),IFERROR(INDEX(TasksTable[Start Date],MATCH(V35,TasksTable[Task ID],0)),0),IFERROR(INDEX(TasksTable[Start Date],MATCH(W35,TasksTable[Task ID],0)),0),IFERROR(INDEX(TasksTable[Start Date],MATCH(X35,TasksTable[Task ID],0)),0),IFERROR(INDEX(TasksTable[Start Date],MATCH(Y35,TasksTable[Task ID],0)),0),IFERROR(INDEX(TasksTable[Start Date],MATCH(Z35,TasksTable[Task ID],0)),0)))</x:f>
        <x:v>46300</x:v>
      </x:c>
      <x:c r="AE35" s="144" t="n">
        <x:f>IF(AA35=0,0,MAX(IFERROR(INDEX(TasksTable[End Date],MATCH(T35,TasksTable[Task ID],0)),0),IFERROR(INDEX(TasksTable[End Date],MATCH(U35,TasksTable[Task ID],0)),0),IFERROR(INDEX(TasksTable[End Date],MATCH(V35,TasksTable[Task ID],0)),0),IFERROR(INDEX(TasksTable[End Date],MATCH(W35,TasksTable[Task ID],0)),0),IFERROR(INDEX(TasksTable[End Date],MATCH(X35,TasksTable[Task ID],0)),0),IFERROR(INDEX(TasksTable[End Date],MATCH(Y35,TasksTable[Task ID],0)),0),IFERROR(INDEX(TasksTable[End Date],MATCH(Z35,TasksTable[Task ID],0)),0)))</x:f>
        <x:v>46301</x:v>
      </x:c>
      <x:c r="AF35" s="137" t="b">
        <x:f>IF(OR($A35="",AA35=0),FALSE,SWITCH($J35,"FS",$F35&lt;AE35,"SS",$F35&lt;AD35,"FF",$G35&lt;AE35,"SF",$G35&lt;AD35,TRUE))</x:f>
        <x:v>0</x:v>
      </x:c>
      <x:c r="AG35" s="137" t="str">
        <x:f>IF(AND($A35&lt;&gt;"",$K35="No",$N35&lt;&gt;"Completed",$F35&gt;=TODAY()),$F35+ROW()/100000,"")</x:f>
      </x:c>
      <x:c r="AH35" s="137" t="n">
        <x:f>IF(AND($A35&lt;&gt;"",$K35="Yes",$N35&lt;&gt;"Completed",$F35&gt;=TODAY()),$F35+ROW()/100000,"")</x:f>
        <x:v>46301.00035</x:v>
      </x:c>
      <x:c r="AI35" s="137" t="str">
        <x:f>IF(AND($A35&lt;&gt;"",$K35="No",$N35&lt;&gt;"Completed",$G35&gt;=TODAY(),$G35&lt;=TODAY()+3),$G35+ROW()/100000,"")</x:f>
      </x:c>
      <x:c r="AJ35" s="137" t="str">
        <x:f>IF(AND($A35&lt;&gt;"",$K35="No",OR($N35="Delayed",$P35="Dependency conflict")),$G35+ROW()/100000,"")</x:f>
      </x:c>
      <x:c r="AK35" s="137" t="str">
        <x:f>IF(AG35="","",COUNTIFS($AG$7:$AG$206,"&gt;0",$AG$7:$AG$206,"&lt;"&amp;AG35)+1)</x:f>
      </x:c>
      <x:c r="AL35" s="137" t="n">
        <x:f>IF(AH35="","",COUNTIFS($AH$7:$AH$206,"&gt;0",$AH$7:$AH$206,"&lt;"&amp;AH35)+1)</x:f>
        <x:v>5</x:v>
      </x:c>
      <x:c r="AM35" s="137" t="str">
        <x:f>IF(AI35="","",COUNTIFS($AI$7:$AI$206,"&gt;0",$AI$7:$AI$206,"&lt;"&amp;AI35)+1)</x:f>
      </x:c>
      <x:c r="AN35" s="137" t="str">
        <x:f>IF(AJ35="","",COUNTIFS($AJ$7:$AJ$206,"&gt;0",$AJ$7:$AJ$206,"&lt;"&amp;AJ35)+1)</x:f>
      </x:c>
    </x:row>
    <x:row r="36" ht="38" customHeight="1">
      <x:c r="A36" s="52" t="str">
        <x:v>T25</x:v>
      </x:c>
      <x:c r="B36" s="54" t="str">
        <x:v>M6 · Outbound Actuation, Telemetry &amp; Omnichannel Go-Live</x:v>
      </x:c>
      <x:c r="C36" s="54" t="str">
        <x:v>Initialize Outbound Actuation MCP Boundary with audience tokens</x:v>
      </x:c>
      <x:c r="D36" s="54" t="str">
        <x:v>Signed cryptographic HITL approval grants release execution directives to Outbound MCP.</x:v>
      </x:c>
      <x:c r="E36" s="54" t="str">
        <x:v>[INFERRED] Authenticated outbound actuation MCP boundary and audience-token controls</x:v>
      </x:c>
      <x:c r="F36" s="56" t="n">
        <x:v>46301</x:v>
      </x:c>
      <x:c r="G36" s="56" t="n">
        <x:v>46302</x:v>
      </x:c>
      <x:c r="H36" s="60" t="n">
        <x:f>IF(OR(F36="",G36=""),"",G36-F36+1)</x:f>
        <x:v>2</x:v>
      </x:c>
      <x:c r="I36" s="54" t="str">
        <x:v>T24</x:v>
      </x:c>
      <x:c r="J36" s="54" t="str">
        <x:v>FS</x:v>
      </x:c>
      <x:c r="K36" s="54" t="str">
        <x:v>No</x:v>
      </x:c>
      <x:c r="L36" s="54" t="str">
        <x:v>Outbound Actuation MCP Boundary</x:v>
      </x:c>
      <x:c r="M36" s="54" t="str"/>
      <x:c r="N36" s="54" t="str">
        <x:f>IF(O36=0,"Not Started",IF(O36=1,"Completed","In Progress"))</x:f>
        <x:v>Not Started</x:v>
      </x:c>
      <x:c r="O36" s="58" t="n">
        <x:v>0</x:v>
      </x:c>
      <x:c r="P36" s="62" t="str">
        <x:f>IF(A36="","",IF(COUNTIF(TasksTable[Task ID],A36)&gt;1,"Duplicate Task ID",IF(OR(F36="",G36=""),"Missing dates",IF(G36&lt;F36,"Invalid dates",IF(OR(F36&lt;$B$2,G36&gt;$D$2),"Outside window",IF(AA36=0,IF(N36="Delayed","Delayed",IF(N36="On Hold","On Hold","On Track")),IF(J36="","Missing dependency type",IF(AC36,"Dependency cycle",IF(AB36&lt;&gt;AA36,"Invalid predecessor",IF(AF36,"Dependency conflict",IF(N36="Delayed","Delayed",IF(N36="On Hold","On Hold","On Track"))))))))))))</x:f>
        <x:v>On Track</x:v>
      </x:c>
      <x:c r="Q36" s="54" t="str"/>
      <x:c r="T36" s="137" t="str">
        <x:f>IF($A36="","",TRIM(MID(SUBSTITUTE(SUBSTITUTE(TRIM($I36)," ",""),",",REPT(" ",100)),1,100)))</x:f>
        <x:v>T24</x:v>
      </x:c>
      <x:c r="U36" s="137" t="str">
        <x:f>IF($A36="","",TRIM(MID(SUBSTITUTE(SUBSTITUTE(TRIM($I36)," ",""),",",REPT(" ",100)),101,100)))</x:f>
      </x:c>
      <x:c r="V36" s="137" t="str">
        <x:f>IF($A36="","",TRIM(MID(SUBSTITUTE(SUBSTITUTE(TRIM($I36)," ",""),",",REPT(" ",100)),201,100)))</x:f>
      </x:c>
      <x:c r="W36" s="137" t="str">
        <x:f>IF($A36="","",TRIM(MID(SUBSTITUTE(SUBSTITUTE(TRIM($I36)," ",""),",",REPT(" ",100)),301,100)))</x:f>
      </x:c>
      <x:c r="X36" s="137" t="str">
        <x:f>IF($A36="","",TRIM(MID(SUBSTITUTE(SUBSTITUTE(TRIM($I36)," ",""),",",REPT(" ",100)),401,100)))</x:f>
      </x:c>
      <x:c r="Y36" s="137" t="str">
        <x:f>IF($A36="","",TRIM(MID(SUBSTITUTE(SUBSTITUTE(TRIM($I36)," ",""),",",REPT(" ",100)),501,100)))</x:f>
      </x:c>
      <x:c r="Z36" s="137" t="str">
        <x:f>IF($A36="","",TRIM(MID(SUBSTITUTE(SUBSTITUTE(TRIM($I36)," ",""),",",REPT(" ",100)),601,100)))</x:f>
      </x:c>
      <x:c r="AA36" s="137" t="n">
        <x:f>IF($A36="","",IF(SUBSTITUTE(TRIM($I36)," ","")="",0,1+LEN(SUBSTITUTE(TRIM($I36)," ",""))-LEN(SUBSTITUTE(SUBSTITUTE(TRIM($I36)," ",""),",",""))))</x:f>
        <x:v>1</x:v>
      </x:c>
      <x:c r="AB36" s="137" t="n">
        <x:f>IF($A36="","",COUNTIF(TasksTable[Task ID],T36)+COUNTIF(TasksTable[Task ID],U36)+COUNTIF(TasksTable[Task ID],V36)+COUNTIF(TasksTable[Task ID],W36)+COUNTIF(TasksTable[Task ID],X36)+COUNTIF(TasksTable[Task ID],Y36)+COUNTIF(TasksTable[Task ID],Z36))</x:f>
        <x:v>1</x:v>
      </x:c>
      <x:c r="AC36" s="137" t="b">
        <x:f>IF($A36="",FALSE,OR(T36=$A36,U36=$A36,V36=$A36,W36=$A36,X36=$A36,Y36=$A36,Z36=$A36))</x:f>
        <x:v>0</x:v>
      </x:c>
      <x:c r="AD36" s="144" t="n">
        <x:f>IF(AA36=0,0,MAX(IFERROR(INDEX(TasksTable[Start Date],MATCH(T36,TasksTable[Task ID],0)),0),IFERROR(INDEX(TasksTable[Start Date],MATCH(U36,TasksTable[Task ID],0)),0),IFERROR(INDEX(TasksTable[Start Date],MATCH(V36,TasksTable[Task ID],0)),0),IFERROR(INDEX(TasksTable[Start Date],MATCH(W36,TasksTable[Task ID],0)),0),IFERROR(INDEX(TasksTable[Start Date],MATCH(X36,TasksTable[Task ID],0)),0),IFERROR(INDEX(TasksTable[Start Date],MATCH(Y36,TasksTable[Task ID],0)),0),IFERROR(INDEX(TasksTable[Start Date],MATCH(Z36,TasksTable[Task ID],0)),0)))</x:f>
        <x:v>46300</x:v>
      </x:c>
      <x:c r="AE36" s="144" t="n">
        <x:f>IF(AA36=0,0,MAX(IFERROR(INDEX(TasksTable[End Date],MATCH(T36,TasksTable[Task ID],0)),0),IFERROR(INDEX(TasksTable[End Date],MATCH(U36,TasksTable[Task ID],0)),0),IFERROR(INDEX(TasksTable[End Date],MATCH(V36,TasksTable[Task ID],0)),0),IFERROR(INDEX(TasksTable[End Date],MATCH(W36,TasksTable[Task ID],0)),0),IFERROR(INDEX(TasksTable[End Date],MATCH(X36,TasksTable[Task ID],0)),0),IFERROR(INDEX(TasksTable[End Date],MATCH(Y36,TasksTable[Task ID],0)),0),IFERROR(INDEX(TasksTable[End Date],MATCH(Z36,TasksTable[Task ID],0)),0)))</x:f>
        <x:v>46301</x:v>
      </x:c>
      <x:c r="AF36" s="137" t="b">
        <x:f>IF(OR($A36="",AA36=0),FALSE,SWITCH($J36,"FS",$F36&lt;AE36,"SS",$F36&lt;AD36,"FF",$G36&lt;AE36,"SF",$G36&lt;AD36,TRUE))</x:f>
        <x:v>0</x:v>
      </x:c>
      <x:c r="AG36" s="137" t="n">
        <x:f>IF(AND($A36&lt;&gt;"",$K36="No",$N36&lt;&gt;"Completed",$F36&gt;=TODAY()),$F36+ROW()/100000,"")</x:f>
        <x:v>46301.00036</x:v>
      </x:c>
      <x:c r="AH36" s="137" t="str">
        <x:f>IF(AND($A36&lt;&gt;"",$K36="Yes",$N36&lt;&gt;"Completed",$F36&gt;=TODAY()),$F36+ROW()/100000,"")</x:f>
      </x:c>
      <x:c r="AI36" s="137" t="str">
        <x:f>IF(AND($A36&lt;&gt;"",$K36="No",$N36&lt;&gt;"Completed",$G36&gt;=TODAY(),$G36&lt;=TODAY()+3),$G36+ROW()/100000,"")</x:f>
      </x:c>
      <x:c r="AJ36" s="137" t="str">
        <x:f>IF(AND($A36&lt;&gt;"",$K36="No",OR($N36="Delayed",$P36="Dependency conflict")),$G36+ROW()/100000,"")</x:f>
      </x:c>
      <x:c r="AK36" s="137" t="n">
        <x:f>IF(AG36="","",COUNTIFS($AG$7:$AG$206,"&gt;0",$AG$7:$AG$206,"&lt;"&amp;AG36)+1)</x:f>
        <x:v>25</x:v>
      </x:c>
      <x:c r="AL36" s="137" t="str">
        <x:f>IF(AH36="","",COUNTIFS($AH$7:$AH$206,"&gt;0",$AH$7:$AH$206,"&lt;"&amp;AH36)+1)</x:f>
      </x:c>
      <x:c r="AM36" s="137" t="str">
        <x:f>IF(AI36="","",COUNTIFS($AI$7:$AI$206,"&gt;0",$AI$7:$AI$206,"&lt;"&amp;AI36)+1)</x:f>
      </x:c>
      <x:c r="AN36" s="137" t="str">
        <x:f>IF(AJ36="","",COUNTIFS($AJ$7:$AJ$206,"&gt;0",$AJ$7:$AJ$206,"&lt;"&amp;AJ36)+1)</x:f>
      </x:c>
    </x:row>
    <x:row r="37" ht="38" customHeight="1">
      <x:c r="A37" s="52" t="str">
        <x:v>T26</x:v>
      </x:c>
      <x:c r="B37" s="54" t="str">
        <x:v>M6 · Outbound Actuation, Telemetry &amp; Omnichannel Go-Live</x:v>
      </x:c>
      <x:c r="C37" s="54" t="str">
        <x:v>Deploy live schemas, catalog updates &amp; layout code to Website &amp; CMS</x:v>
      </x:c>
      <x:c r="D37" s="54" t="str">
        <x:v>Outbound MCP gateway must be authenticated before dispatching web code, ads, and social posts.</x:v>
      </x:c>
      <x:c r="E37" s="54" t="str">
        <x:v>[INFERRED] Live website/CMS schemas, catalog updates, and layout code deployment</x:v>
      </x:c>
      <x:c r="F37" s="56" t="n">
        <x:v>46302</x:v>
      </x:c>
      <x:c r="G37" s="56" t="n">
        <x:v>46304</x:v>
      </x:c>
      <x:c r="H37" s="60" t="n">
        <x:f>IF(OR(F37="",G37=""),"",G37-F37+1)</x:f>
        <x:v>3</x:v>
      </x:c>
      <x:c r="I37" s="54" t="str">
        <x:v>T25</x:v>
      </x:c>
      <x:c r="J37" s="54" t="str">
        <x:v>FS</x:v>
      </x:c>
      <x:c r="K37" s="54" t="str">
        <x:v>No</x:v>
      </x:c>
      <x:c r="L37" s="54" t="str">
        <x:v>Outbound MCP &amp; Website / CMS</x:v>
      </x:c>
      <x:c r="M37" s="54" t="str"/>
      <x:c r="N37" s="54" t="str">
        <x:f>IF(O37=0,"Not Started",IF(O37=1,"Completed","In Progress"))</x:f>
        <x:v>Not Started</x:v>
      </x:c>
      <x:c r="O37" s="58" t="n">
        <x:v>0</x:v>
      </x:c>
      <x:c r="P37" s="62" t="str">
        <x:f>IF(A37="","",IF(COUNTIF(TasksTable[Task ID],A37)&gt;1,"Duplicate Task ID",IF(OR(F37="",G37=""),"Missing dates",IF(G37&lt;F37,"Invalid dates",IF(OR(F37&lt;$B$2,G37&gt;$D$2),"Outside window",IF(AA37=0,IF(N37="Delayed","Delayed",IF(N37="On Hold","On Hold","On Track")),IF(J37="","Missing dependency type",IF(AC37,"Dependency cycle",IF(AB37&lt;&gt;AA37,"Invalid predecessor",IF(AF37,"Dependency conflict",IF(N37="Delayed","Delayed",IF(N37="On Hold","On Hold","On Track"))))))))))))</x:f>
        <x:v>On Track</x:v>
      </x:c>
      <x:c r="Q37" s="54" t="str"/>
      <x:c r="T37" s="137" t="str">
        <x:f>IF($A37="","",TRIM(MID(SUBSTITUTE(SUBSTITUTE(TRIM($I37)," ",""),",",REPT(" ",100)),1,100)))</x:f>
        <x:v>T25</x:v>
      </x:c>
      <x:c r="U37" s="137" t="str">
        <x:f>IF($A37="","",TRIM(MID(SUBSTITUTE(SUBSTITUTE(TRIM($I37)," ",""),",",REPT(" ",100)),101,100)))</x:f>
      </x:c>
      <x:c r="V37" s="137" t="str">
        <x:f>IF($A37="","",TRIM(MID(SUBSTITUTE(SUBSTITUTE(TRIM($I37)," ",""),",",REPT(" ",100)),201,100)))</x:f>
      </x:c>
      <x:c r="W37" s="137" t="str">
        <x:f>IF($A37="","",TRIM(MID(SUBSTITUTE(SUBSTITUTE(TRIM($I37)," ",""),",",REPT(" ",100)),301,100)))</x:f>
      </x:c>
      <x:c r="X37" s="137" t="str">
        <x:f>IF($A37="","",TRIM(MID(SUBSTITUTE(SUBSTITUTE(TRIM($I37)," ",""),",",REPT(" ",100)),401,100)))</x:f>
      </x:c>
      <x:c r="Y37" s="137" t="str">
        <x:f>IF($A37="","",TRIM(MID(SUBSTITUTE(SUBSTITUTE(TRIM($I37)," ",""),",",REPT(" ",100)),501,100)))</x:f>
      </x:c>
      <x:c r="Z37" s="137" t="str">
        <x:f>IF($A37="","",TRIM(MID(SUBSTITUTE(SUBSTITUTE(TRIM($I37)," ",""),",",REPT(" ",100)),601,100)))</x:f>
      </x:c>
      <x:c r="AA37" s="137" t="n">
        <x:f>IF($A37="","",IF(SUBSTITUTE(TRIM($I37)," ","")="",0,1+LEN(SUBSTITUTE(TRIM($I37)," ",""))-LEN(SUBSTITUTE(SUBSTITUTE(TRIM($I37)," ",""),",",""))))</x:f>
        <x:v>1</x:v>
      </x:c>
      <x:c r="AB37" s="137" t="n">
        <x:f>IF($A37="","",COUNTIF(TasksTable[Task ID],T37)+COUNTIF(TasksTable[Task ID],U37)+COUNTIF(TasksTable[Task ID],V37)+COUNTIF(TasksTable[Task ID],W37)+COUNTIF(TasksTable[Task ID],X37)+COUNTIF(TasksTable[Task ID],Y37)+COUNTIF(TasksTable[Task ID],Z37))</x:f>
        <x:v>1</x:v>
      </x:c>
      <x:c r="AC37" s="137" t="b">
        <x:f>IF($A37="",FALSE,OR(T37=$A37,U37=$A37,V37=$A37,W37=$A37,X37=$A37,Y37=$A37,Z37=$A37))</x:f>
        <x:v>0</x:v>
      </x:c>
      <x:c r="AD37" s="144" t="n">
        <x:f>IF(AA37=0,0,MAX(IFERROR(INDEX(TasksTable[Start Date],MATCH(T37,TasksTable[Task ID],0)),0),IFERROR(INDEX(TasksTable[Start Date],MATCH(U37,TasksTable[Task ID],0)),0),IFERROR(INDEX(TasksTable[Start Date],MATCH(V37,TasksTable[Task ID],0)),0),IFERROR(INDEX(TasksTable[Start Date],MATCH(W37,TasksTable[Task ID],0)),0),IFERROR(INDEX(TasksTable[Start Date],MATCH(X37,TasksTable[Task ID],0)),0),IFERROR(INDEX(TasksTable[Start Date],MATCH(Y37,TasksTable[Task ID],0)),0),IFERROR(INDEX(TasksTable[Start Date],MATCH(Z37,TasksTable[Task ID],0)),0)))</x:f>
        <x:v>46301</x:v>
      </x:c>
      <x:c r="AE37" s="144" t="n">
        <x:f>IF(AA37=0,0,MAX(IFERROR(INDEX(TasksTable[End Date],MATCH(T37,TasksTable[Task ID],0)),0),IFERROR(INDEX(TasksTable[End Date],MATCH(U37,TasksTable[Task ID],0)),0),IFERROR(INDEX(TasksTable[End Date],MATCH(V37,TasksTable[Task ID],0)),0),IFERROR(INDEX(TasksTable[End Date],MATCH(W37,TasksTable[Task ID],0)),0),IFERROR(INDEX(TasksTable[End Date],MATCH(X37,TasksTable[Task ID],0)),0),IFERROR(INDEX(TasksTable[End Date],MATCH(Y37,TasksTable[Task ID],0)),0),IFERROR(INDEX(TasksTable[End Date],MATCH(Z37,TasksTable[Task ID],0)),0)))</x:f>
        <x:v>46302</x:v>
      </x:c>
      <x:c r="AF37" s="137" t="b">
        <x:f>IF(OR($A37="",AA37=0),FALSE,SWITCH($J37,"FS",$F37&lt;AE37,"SS",$F37&lt;AD37,"FF",$G37&lt;AE37,"SF",$G37&lt;AD37,TRUE))</x:f>
        <x:v>0</x:v>
      </x:c>
      <x:c r="AG37" s="137" t="n">
        <x:f>IF(AND($A37&lt;&gt;"",$K37="No",$N37&lt;&gt;"Completed",$F37&gt;=TODAY()),$F37+ROW()/100000,"")</x:f>
        <x:v>46302.00037</x:v>
      </x:c>
      <x:c r="AH37" s="137" t="str">
        <x:f>IF(AND($A37&lt;&gt;"",$K37="Yes",$N37&lt;&gt;"Completed",$F37&gt;=TODAY()),$F37+ROW()/100000,"")</x:f>
      </x:c>
      <x:c r="AI37" s="137" t="str">
        <x:f>IF(AND($A37&lt;&gt;"",$K37="No",$N37&lt;&gt;"Completed",$G37&gt;=TODAY(),$G37&lt;=TODAY()+3),$G37+ROW()/100000,"")</x:f>
      </x:c>
      <x:c r="AJ37" s="137" t="str">
        <x:f>IF(AND($A37&lt;&gt;"",$K37="No",OR($N37="Delayed",$P37="Dependency conflict")),$G37+ROW()/100000,"")</x:f>
      </x:c>
      <x:c r="AK37" s="137" t="n">
        <x:f>IF(AG37="","",COUNTIFS($AG$7:$AG$206,"&gt;0",$AG$7:$AG$206,"&lt;"&amp;AG37)+1)</x:f>
        <x:v>26</x:v>
      </x:c>
      <x:c r="AL37" s="137" t="str">
        <x:f>IF(AH37="","",COUNTIFS($AH$7:$AH$206,"&gt;0",$AH$7:$AH$206,"&lt;"&amp;AH37)+1)</x:f>
      </x:c>
      <x:c r="AM37" s="137" t="str">
        <x:f>IF(AI37="","",COUNTIFS($AI$7:$AI$206,"&gt;0",$AI$7:$AI$206,"&lt;"&amp;AI37)+1)</x:f>
      </x:c>
      <x:c r="AN37" s="137" t="str">
        <x:f>IF(AJ37="","",COUNTIFS($AJ$7:$AJ$206,"&gt;0",$AJ$7:$AJ$206,"&lt;"&amp;AJ37)+1)</x:f>
      </x:c>
    </x:row>
    <x:row r="38" ht="38" customHeight="1">
      <x:c r="A38" s="52" t="str">
        <x:v>T27</x:v>
      </x:c>
      <x:c r="B38" s="54" t="str">
        <x:v>M6 · Outbound Actuation, Telemetry &amp; Omnichannel Go-Live</x:v>
      </x:c>
      <x:c r="C38" s="54" t="str">
        <x:v>Publish ad campaigns and bid targets to Paid Ad Platforms</x:v>
      </x:c>
      <x:c r="D38" s="54" t="str">
        <x:v>Outbound MCP gateway must be authenticated before dispatching web code, ads, and social posts.</x:v>
      </x:c>
      <x:c r="E38" s="54" t="str">
        <x:v>[INFERRED] Published paid-media campaigns and bid targets</x:v>
      </x:c>
      <x:c r="F38" s="56" t="n">
        <x:v>46302</x:v>
      </x:c>
      <x:c r="G38" s="56" t="n">
        <x:v>46304</x:v>
      </x:c>
      <x:c r="H38" s="60" t="n">
        <x:f>IF(OR(F38="",G38=""),"",G38-F38+1)</x:f>
        <x:v>3</x:v>
      </x:c>
      <x:c r="I38" s="54" t="str">
        <x:v>T25</x:v>
      </x:c>
      <x:c r="J38" s="54" t="str">
        <x:v>FS</x:v>
      </x:c>
      <x:c r="K38" s="54" t="str">
        <x:v>No</x:v>
      </x:c>
      <x:c r="L38" s="54" t="str">
        <x:v>Outbound MCP &amp; Paid Ad Platforms</x:v>
      </x:c>
      <x:c r="M38" s="54" t="str"/>
      <x:c r="N38" s="54" t="str">
        <x:f>IF(O38=0,"Not Started",IF(O38=1,"Completed","In Progress"))</x:f>
        <x:v>Not Started</x:v>
      </x:c>
      <x:c r="O38" s="58" t="n">
        <x:v>0</x:v>
      </x:c>
      <x:c r="P38" s="62" t="str">
        <x:f>IF(A38="","",IF(COUNTIF(TasksTable[Task ID],A38)&gt;1,"Duplicate Task ID",IF(OR(F38="",G38=""),"Missing dates",IF(G38&lt;F38,"Invalid dates",IF(OR(F38&lt;$B$2,G38&gt;$D$2),"Outside window",IF(AA38=0,IF(N38="Delayed","Delayed",IF(N38="On Hold","On Hold","On Track")),IF(J38="","Missing dependency type",IF(AC38,"Dependency cycle",IF(AB38&lt;&gt;AA38,"Invalid predecessor",IF(AF38,"Dependency conflict",IF(N38="Delayed","Delayed",IF(N38="On Hold","On Hold","On Track"))))))))))))</x:f>
        <x:v>On Track</x:v>
      </x:c>
      <x:c r="Q38" s="54" t="str"/>
      <x:c r="T38" s="137" t="str">
        <x:f>IF($A38="","",TRIM(MID(SUBSTITUTE(SUBSTITUTE(TRIM($I38)," ",""),",",REPT(" ",100)),1,100)))</x:f>
        <x:v>T25</x:v>
      </x:c>
      <x:c r="U38" s="137" t="str">
        <x:f>IF($A38="","",TRIM(MID(SUBSTITUTE(SUBSTITUTE(TRIM($I38)," ",""),",",REPT(" ",100)),101,100)))</x:f>
      </x:c>
      <x:c r="V38" s="137" t="str">
        <x:f>IF($A38="","",TRIM(MID(SUBSTITUTE(SUBSTITUTE(TRIM($I38)," ",""),",",REPT(" ",100)),201,100)))</x:f>
      </x:c>
      <x:c r="W38" s="137" t="str">
        <x:f>IF($A38="","",TRIM(MID(SUBSTITUTE(SUBSTITUTE(TRIM($I38)," ",""),",",REPT(" ",100)),301,100)))</x:f>
      </x:c>
      <x:c r="X38" s="137" t="str">
        <x:f>IF($A38="","",TRIM(MID(SUBSTITUTE(SUBSTITUTE(TRIM($I38)," ",""),",",REPT(" ",100)),401,100)))</x:f>
      </x:c>
      <x:c r="Y38" s="137" t="str">
        <x:f>IF($A38="","",TRIM(MID(SUBSTITUTE(SUBSTITUTE(TRIM($I38)," ",""),",",REPT(" ",100)),501,100)))</x:f>
      </x:c>
      <x:c r="Z38" s="137" t="str">
        <x:f>IF($A38="","",TRIM(MID(SUBSTITUTE(SUBSTITUTE(TRIM($I38)," ",""),",",REPT(" ",100)),601,100)))</x:f>
      </x:c>
      <x:c r="AA38" s="137" t="n">
        <x:f>IF($A38="","",IF(SUBSTITUTE(TRIM($I38)," ","")="",0,1+LEN(SUBSTITUTE(TRIM($I38)," ",""))-LEN(SUBSTITUTE(SUBSTITUTE(TRIM($I38)," ",""),",",""))))</x:f>
        <x:v>1</x:v>
      </x:c>
      <x:c r="AB38" s="137" t="n">
        <x:f>IF($A38="","",COUNTIF(TasksTable[Task ID],T38)+COUNTIF(TasksTable[Task ID],U38)+COUNTIF(TasksTable[Task ID],V38)+COUNTIF(TasksTable[Task ID],W38)+COUNTIF(TasksTable[Task ID],X38)+COUNTIF(TasksTable[Task ID],Y38)+COUNTIF(TasksTable[Task ID],Z38))</x:f>
        <x:v>1</x:v>
      </x:c>
      <x:c r="AC38" s="137" t="b">
        <x:f>IF($A38="",FALSE,OR(T38=$A38,U38=$A38,V38=$A38,W38=$A38,X38=$A38,Y38=$A38,Z38=$A38))</x:f>
        <x:v>0</x:v>
      </x:c>
      <x:c r="AD38" s="144" t="n">
        <x:f>IF(AA38=0,0,MAX(IFERROR(INDEX(TasksTable[Start Date],MATCH(T38,TasksTable[Task ID],0)),0),IFERROR(INDEX(TasksTable[Start Date],MATCH(U38,TasksTable[Task ID],0)),0),IFERROR(INDEX(TasksTable[Start Date],MATCH(V38,TasksTable[Task ID],0)),0),IFERROR(INDEX(TasksTable[Start Date],MATCH(W38,TasksTable[Task ID],0)),0),IFERROR(INDEX(TasksTable[Start Date],MATCH(X38,TasksTable[Task ID],0)),0),IFERROR(INDEX(TasksTable[Start Date],MATCH(Y38,TasksTable[Task ID],0)),0),IFERROR(INDEX(TasksTable[Start Date],MATCH(Z38,TasksTable[Task ID],0)),0)))</x:f>
        <x:v>46301</x:v>
      </x:c>
      <x:c r="AE38" s="144" t="n">
        <x:f>IF(AA38=0,0,MAX(IFERROR(INDEX(TasksTable[End Date],MATCH(T38,TasksTable[Task ID],0)),0),IFERROR(INDEX(TasksTable[End Date],MATCH(U38,TasksTable[Task ID],0)),0),IFERROR(INDEX(TasksTable[End Date],MATCH(V38,TasksTable[Task ID],0)),0),IFERROR(INDEX(TasksTable[End Date],MATCH(W38,TasksTable[Task ID],0)),0),IFERROR(INDEX(TasksTable[End Date],MATCH(X38,TasksTable[Task ID],0)),0),IFERROR(INDEX(TasksTable[End Date],MATCH(Y38,TasksTable[Task ID],0)),0),IFERROR(INDEX(TasksTable[End Date],MATCH(Z38,TasksTable[Task ID],0)),0)))</x:f>
        <x:v>46302</x:v>
      </x:c>
      <x:c r="AF38" s="137" t="b">
        <x:f>IF(OR($A38="",AA38=0),FALSE,SWITCH($J38,"FS",$F38&lt;AE38,"SS",$F38&lt;AD38,"FF",$G38&lt;AE38,"SF",$G38&lt;AD38,TRUE))</x:f>
        <x:v>0</x:v>
      </x:c>
      <x:c r="AG38" s="137" t="n">
        <x:f>IF(AND($A38&lt;&gt;"",$K38="No",$N38&lt;&gt;"Completed",$F38&gt;=TODAY()),$F38+ROW()/100000,"")</x:f>
        <x:v>46302.00038</x:v>
      </x:c>
      <x:c r="AH38" s="137" t="str">
        <x:f>IF(AND($A38&lt;&gt;"",$K38="Yes",$N38&lt;&gt;"Completed",$F38&gt;=TODAY()),$F38+ROW()/100000,"")</x:f>
      </x:c>
      <x:c r="AI38" s="137" t="str">
        <x:f>IF(AND($A38&lt;&gt;"",$K38="No",$N38&lt;&gt;"Completed",$G38&gt;=TODAY(),$G38&lt;=TODAY()+3),$G38+ROW()/100000,"")</x:f>
      </x:c>
      <x:c r="AJ38" s="137" t="str">
        <x:f>IF(AND($A38&lt;&gt;"",$K38="No",OR($N38="Delayed",$P38="Dependency conflict")),$G38+ROW()/100000,"")</x:f>
      </x:c>
      <x:c r="AK38" s="137" t="n">
        <x:f>IF(AG38="","",COUNTIFS($AG$7:$AG$206,"&gt;0",$AG$7:$AG$206,"&lt;"&amp;AG38)+1)</x:f>
        <x:v>27</x:v>
      </x:c>
      <x:c r="AL38" s="137" t="str">
        <x:f>IF(AH38="","",COUNTIFS($AH$7:$AH$206,"&gt;0",$AH$7:$AH$206,"&lt;"&amp;AH38)+1)</x:f>
      </x:c>
      <x:c r="AM38" s="137" t="str">
        <x:f>IF(AI38="","",COUNTIFS($AI$7:$AI$206,"&gt;0",$AI$7:$AI$206,"&lt;"&amp;AI38)+1)</x:f>
      </x:c>
      <x:c r="AN38" s="137" t="str">
        <x:f>IF(AJ38="","",COUNTIFS($AJ$7:$AJ$206,"&gt;0",$AJ$7:$AJ$206,"&lt;"&amp;AJ38)+1)</x:f>
      </x:c>
    </x:row>
    <x:row r="39" ht="38" customHeight="1">
      <x:c r="A39" s="52" t="str">
        <x:v>T28</x:v>
      </x:c>
      <x:c r="B39" s="54" t="str">
        <x:v>M6 · Outbound Actuation, Telemetry &amp; Omnichannel Go-Live</x:v>
      </x:c>
      <x:c r="C39" s="54" t="str">
        <x:v>Publish scheduled social media posts and assets to Social Channels</x:v>
      </x:c>
      <x:c r="D39" s="54" t="str">
        <x:v>Outbound MCP gateway must be authenticated before dispatching web code, ads, and social posts.</x:v>
      </x:c>
      <x:c r="E39" s="54" t="str">
        <x:v>[INFERRED] Published scheduled social posts and media assets</x:v>
      </x:c>
      <x:c r="F39" s="56" t="n">
        <x:v>46302</x:v>
      </x:c>
      <x:c r="G39" s="56" t="n">
        <x:v>46304</x:v>
      </x:c>
      <x:c r="H39" s="60" t="n">
        <x:f>IF(OR(F39="",G39=""),"",G39-F39+1)</x:f>
        <x:v>3</x:v>
      </x:c>
      <x:c r="I39" s="54" t="str">
        <x:v>T25</x:v>
      </x:c>
      <x:c r="J39" s="54" t="str">
        <x:v>FS</x:v>
      </x:c>
      <x:c r="K39" s="54" t="str">
        <x:v>No</x:v>
      </x:c>
      <x:c r="L39" s="54" t="str">
        <x:v>Outbound MCP &amp; Social Channels</x:v>
      </x:c>
      <x:c r="M39" s="54" t="str"/>
      <x:c r="N39" s="54" t="str">
        <x:f>IF(O39=0,"Not Started",IF(O39=1,"Completed","In Progress"))</x:f>
        <x:v>Not Started</x:v>
      </x:c>
      <x:c r="O39" s="58" t="n">
        <x:v>0</x:v>
      </x:c>
      <x:c r="P39" s="62" t="str">
        <x:f>IF(A39="","",IF(COUNTIF(TasksTable[Task ID],A39)&gt;1,"Duplicate Task ID",IF(OR(F39="",G39=""),"Missing dates",IF(G39&lt;F39,"Invalid dates",IF(OR(F39&lt;$B$2,G39&gt;$D$2),"Outside window",IF(AA39=0,IF(N39="Delayed","Delayed",IF(N39="On Hold","On Hold","On Track")),IF(J39="","Missing dependency type",IF(AC39,"Dependency cycle",IF(AB39&lt;&gt;AA39,"Invalid predecessor",IF(AF39,"Dependency conflict",IF(N39="Delayed","Delayed",IF(N39="On Hold","On Hold","On Track"))))))))))))</x:f>
        <x:v>On Track</x:v>
      </x:c>
      <x:c r="Q39" s="54" t="str"/>
      <x:c r="T39" s="137" t="str">
        <x:f>IF($A39="","",TRIM(MID(SUBSTITUTE(SUBSTITUTE(TRIM($I39)," ",""),",",REPT(" ",100)),1,100)))</x:f>
        <x:v>T25</x:v>
      </x:c>
      <x:c r="U39" s="137" t="str">
        <x:f>IF($A39="","",TRIM(MID(SUBSTITUTE(SUBSTITUTE(TRIM($I39)," ",""),",",REPT(" ",100)),101,100)))</x:f>
      </x:c>
      <x:c r="V39" s="137" t="str">
        <x:f>IF($A39="","",TRIM(MID(SUBSTITUTE(SUBSTITUTE(TRIM($I39)," ",""),",",REPT(" ",100)),201,100)))</x:f>
      </x:c>
      <x:c r="W39" s="137" t="str">
        <x:f>IF($A39="","",TRIM(MID(SUBSTITUTE(SUBSTITUTE(TRIM($I39)," ",""),",",REPT(" ",100)),301,100)))</x:f>
      </x:c>
      <x:c r="X39" s="137" t="str">
        <x:f>IF($A39="","",TRIM(MID(SUBSTITUTE(SUBSTITUTE(TRIM($I39)," ",""),",",REPT(" ",100)),401,100)))</x:f>
      </x:c>
      <x:c r="Y39" s="137" t="str">
        <x:f>IF($A39="","",TRIM(MID(SUBSTITUTE(SUBSTITUTE(TRIM($I39)," ",""),",",REPT(" ",100)),501,100)))</x:f>
      </x:c>
      <x:c r="Z39" s="137" t="str">
        <x:f>IF($A39="","",TRIM(MID(SUBSTITUTE(SUBSTITUTE(TRIM($I39)," ",""),",",REPT(" ",100)),601,100)))</x:f>
      </x:c>
      <x:c r="AA39" s="137" t="n">
        <x:f>IF($A39="","",IF(SUBSTITUTE(TRIM($I39)," ","")="",0,1+LEN(SUBSTITUTE(TRIM($I39)," ",""))-LEN(SUBSTITUTE(SUBSTITUTE(TRIM($I39)," ",""),",",""))))</x:f>
        <x:v>1</x:v>
      </x:c>
      <x:c r="AB39" s="137" t="n">
        <x:f>IF($A39="","",COUNTIF(TasksTable[Task ID],T39)+COUNTIF(TasksTable[Task ID],U39)+COUNTIF(TasksTable[Task ID],V39)+COUNTIF(TasksTable[Task ID],W39)+COUNTIF(TasksTable[Task ID],X39)+COUNTIF(TasksTable[Task ID],Y39)+COUNTIF(TasksTable[Task ID],Z39))</x:f>
        <x:v>1</x:v>
      </x:c>
      <x:c r="AC39" s="137" t="b">
        <x:f>IF($A39="",FALSE,OR(T39=$A39,U39=$A39,V39=$A39,W39=$A39,X39=$A39,Y39=$A39,Z39=$A39))</x:f>
        <x:v>0</x:v>
      </x:c>
      <x:c r="AD39" s="144" t="n">
        <x:f>IF(AA39=0,0,MAX(IFERROR(INDEX(TasksTable[Start Date],MATCH(T39,TasksTable[Task ID],0)),0),IFERROR(INDEX(TasksTable[Start Date],MATCH(U39,TasksTable[Task ID],0)),0),IFERROR(INDEX(TasksTable[Start Date],MATCH(V39,TasksTable[Task ID],0)),0),IFERROR(INDEX(TasksTable[Start Date],MATCH(W39,TasksTable[Task ID],0)),0),IFERROR(INDEX(TasksTable[Start Date],MATCH(X39,TasksTable[Task ID],0)),0),IFERROR(INDEX(TasksTable[Start Date],MATCH(Y39,TasksTable[Task ID],0)),0),IFERROR(INDEX(TasksTable[Start Date],MATCH(Z39,TasksTable[Task ID],0)),0)))</x:f>
        <x:v>46301</x:v>
      </x:c>
      <x:c r="AE39" s="144" t="n">
        <x:f>IF(AA39=0,0,MAX(IFERROR(INDEX(TasksTable[End Date],MATCH(T39,TasksTable[Task ID],0)),0),IFERROR(INDEX(TasksTable[End Date],MATCH(U39,TasksTable[Task ID],0)),0),IFERROR(INDEX(TasksTable[End Date],MATCH(V39,TasksTable[Task ID],0)),0),IFERROR(INDEX(TasksTable[End Date],MATCH(W39,TasksTable[Task ID],0)),0),IFERROR(INDEX(TasksTable[End Date],MATCH(X39,TasksTable[Task ID],0)),0),IFERROR(INDEX(TasksTable[End Date],MATCH(Y39,TasksTable[Task ID],0)),0),IFERROR(INDEX(TasksTable[End Date],MATCH(Z39,TasksTable[Task ID],0)),0)))</x:f>
        <x:v>46302</x:v>
      </x:c>
      <x:c r="AF39" s="137" t="b">
        <x:f>IF(OR($A39="",AA39=0),FALSE,SWITCH($J39,"FS",$F39&lt;AE39,"SS",$F39&lt;AD39,"FF",$G39&lt;AE39,"SF",$G39&lt;AD39,TRUE))</x:f>
        <x:v>0</x:v>
      </x:c>
      <x:c r="AG39" s="137" t="n">
        <x:f>IF(AND($A39&lt;&gt;"",$K39="No",$N39&lt;&gt;"Completed",$F39&gt;=TODAY()),$F39+ROW()/100000,"")</x:f>
        <x:v>46302.00039</x:v>
      </x:c>
      <x:c r="AH39" s="137" t="str">
        <x:f>IF(AND($A39&lt;&gt;"",$K39="Yes",$N39&lt;&gt;"Completed",$F39&gt;=TODAY()),$F39+ROW()/100000,"")</x:f>
      </x:c>
      <x:c r="AI39" s="137" t="str">
        <x:f>IF(AND($A39&lt;&gt;"",$K39="No",$N39&lt;&gt;"Completed",$G39&gt;=TODAY(),$G39&lt;=TODAY()+3),$G39+ROW()/100000,"")</x:f>
      </x:c>
      <x:c r="AJ39" s="137" t="str">
        <x:f>IF(AND($A39&lt;&gt;"",$K39="No",OR($N39="Delayed",$P39="Dependency conflict")),$G39+ROW()/100000,"")</x:f>
      </x:c>
      <x:c r="AK39" s="137" t="n">
        <x:f>IF(AG39="","",COUNTIFS($AG$7:$AG$206,"&gt;0",$AG$7:$AG$206,"&lt;"&amp;AG39)+1)</x:f>
        <x:v>28</x:v>
      </x:c>
      <x:c r="AL39" s="137" t="str">
        <x:f>IF(AH39="","",COUNTIFS($AH$7:$AH$206,"&gt;0",$AH$7:$AH$206,"&lt;"&amp;AH39)+1)</x:f>
      </x:c>
      <x:c r="AM39" s="137" t="str">
        <x:f>IF(AI39="","",COUNTIFS($AI$7:$AI$206,"&gt;0",$AI$7:$AI$206,"&lt;"&amp;AI39)+1)</x:f>
      </x:c>
      <x:c r="AN39" s="137" t="str">
        <x:f>IF(AJ39="","",COUNTIFS($AJ$7:$AJ$206,"&gt;0",$AJ$7:$AJ$206,"&lt;"&amp;AJ39)+1)</x:f>
      </x:c>
    </x:row>
    <x:row r="40" ht="38" customHeight="1">
      <x:c r="A40" s="52" t="str">
        <x:v>T29</x:v>
      </x:c>
      <x:c r="B40" s="54" t="str">
        <x:v>M6 · Outbound Actuation, Telemetry &amp; Omnichannel Go-Live</x:v>
      </x:c>
      <x:c r="C40" s="54" t="str">
        <x:v>Connect Omnichannel Telemetry Engine webhooks, pixel events &amp; logs</x:v>
      </x:c>
      <x:c r="D40" s="54" t="str">
        <x:v>External surfaces must be active before Omnichannel Telemetry Engine webhooks can attach.</x:v>
      </x:c>
      <x:c r="E40" s="54" t="str">
        <x:v>[INFERRED] Connected telemetry webhooks, pixel events, and server-log feeds</x:v>
      </x:c>
      <x:c r="F40" s="56" t="n">
        <x:v>46304</x:v>
      </x:c>
      <x:c r="G40" s="56" t="n">
        <x:v>46305</x:v>
      </x:c>
      <x:c r="H40" s="60" t="n">
        <x:f>IF(OR(F40="",G40=""),"",G40-F40+1)</x:f>
        <x:v>2</x:v>
      </x:c>
      <x:c r="I40" s="54" t="str">
        <x:v>T26, T27, T28</x:v>
      </x:c>
      <x:c r="J40" s="54" t="str">
        <x:v>FS</x:v>
      </x:c>
      <x:c r="K40" s="54" t="str">
        <x:v>No</x:v>
      </x:c>
      <x:c r="L40" s="54" t="str">
        <x:v>Omnichannel Telemetry Engine</x:v>
      </x:c>
      <x:c r="M40" s="54" t="str"/>
      <x:c r="N40" s="54" t="str">
        <x:f>IF(O40=0,"Not Started",IF(O40=1,"Completed","In Progress"))</x:f>
        <x:v>Not Started</x:v>
      </x:c>
      <x:c r="O40" s="58" t="n">
        <x:v>0</x:v>
      </x:c>
      <x:c r="P40" s="62" t="str">
        <x:f>IF(A40="","",IF(COUNTIF(TasksTable[Task ID],A40)&gt;1,"Duplicate Task ID",IF(OR(F40="",G40=""),"Missing dates",IF(G40&lt;F40,"Invalid dates",IF(OR(F40&lt;$B$2,G40&gt;$D$2),"Outside window",IF(AA40=0,IF(N40="Delayed","Delayed",IF(N40="On Hold","On Hold","On Track")),IF(J40="","Missing dependency type",IF(AC40,"Dependency cycle",IF(AB40&lt;&gt;AA40,"Invalid predecessor",IF(AF40,"Dependency conflict",IF(N40="Delayed","Delayed",IF(N40="On Hold","On Hold","On Track"))))))))))))</x:f>
        <x:v>On Track</x:v>
      </x:c>
      <x:c r="Q40" s="54" t="str"/>
      <x:c r="T40" s="137" t="str">
        <x:f>IF($A40="","",TRIM(MID(SUBSTITUTE(SUBSTITUTE(TRIM($I40)," ",""),",",REPT(" ",100)),1,100)))</x:f>
        <x:v>T26</x:v>
      </x:c>
      <x:c r="U40" s="137" t="str">
        <x:f>IF($A40="","",TRIM(MID(SUBSTITUTE(SUBSTITUTE(TRIM($I40)," ",""),",",REPT(" ",100)),101,100)))</x:f>
        <x:v>T27</x:v>
      </x:c>
      <x:c r="V40" s="137" t="str">
        <x:f>IF($A40="","",TRIM(MID(SUBSTITUTE(SUBSTITUTE(TRIM($I40)," ",""),",",REPT(" ",100)),201,100)))</x:f>
        <x:v>T28</x:v>
      </x:c>
      <x:c r="W40" s="137" t="str">
        <x:f>IF($A40="","",TRIM(MID(SUBSTITUTE(SUBSTITUTE(TRIM($I40)," ",""),",",REPT(" ",100)),301,100)))</x:f>
      </x:c>
      <x:c r="X40" s="137" t="str">
        <x:f>IF($A40="","",TRIM(MID(SUBSTITUTE(SUBSTITUTE(TRIM($I40)," ",""),",",REPT(" ",100)),401,100)))</x:f>
      </x:c>
      <x:c r="Y40" s="137" t="str">
        <x:f>IF($A40="","",TRIM(MID(SUBSTITUTE(SUBSTITUTE(TRIM($I40)," ",""),",",REPT(" ",100)),501,100)))</x:f>
      </x:c>
      <x:c r="Z40" s="137" t="str">
        <x:f>IF($A40="","",TRIM(MID(SUBSTITUTE(SUBSTITUTE(TRIM($I40)," ",""),",",REPT(" ",100)),601,100)))</x:f>
      </x:c>
      <x:c r="AA40" s="137" t="n">
        <x:f>IF($A40="","",IF(SUBSTITUTE(TRIM($I40)," ","")="",0,1+LEN(SUBSTITUTE(TRIM($I40)," ",""))-LEN(SUBSTITUTE(SUBSTITUTE(TRIM($I40)," ",""),",",""))))</x:f>
        <x:v>3</x:v>
      </x:c>
      <x:c r="AB40" s="137" t="n">
        <x:f>IF($A40="","",COUNTIF(TasksTable[Task ID],T40)+COUNTIF(TasksTable[Task ID],U40)+COUNTIF(TasksTable[Task ID],V40)+COUNTIF(TasksTable[Task ID],W40)+COUNTIF(TasksTable[Task ID],X40)+COUNTIF(TasksTable[Task ID],Y40)+COUNTIF(TasksTable[Task ID],Z40))</x:f>
        <x:v>3</x:v>
      </x:c>
      <x:c r="AC40" s="137" t="b">
        <x:f>IF($A40="",FALSE,OR(T40=$A40,U40=$A40,V40=$A40,W40=$A40,X40=$A40,Y40=$A40,Z40=$A40))</x:f>
        <x:v>0</x:v>
      </x:c>
      <x:c r="AD40" s="144" t="n">
        <x:f>IF(AA40=0,0,MAX(IFERROR(INDEX(TasksTable[Start Date],MATCH(T40,TasksTable[Task ID],0)),0),IFERROR(INDEX(TasksTable[Start Date],MATCH(U40,TasksTable[Task ID],0)),0),IFERROR(INDEX(TasksTable[Start Date],MATCH(V40,TasksTable[Task ID],0)),0),IFERROR(INDEX(TasksTable[Start Date],MATCH(W40,TasksTable[Task ID],0)),0),IFERROR(INDEX(TasksTable[Start Date],MATCH(X40,TasksTable[Task ID],0)),0),IFERROR(INDEX(TasksTable[Start Date],MATCH(Y40,TasksTable[Task ID],0)),0),IFERROR(INDEX(TasksTable[Start Date],MATCH(Z40,TasksTable[Task ID],0)),0)))</x:f>
        <x:v>46302</x:v>
      </x:c>
      <x:c r="AE40" s="144" t="n">
        <x:f>IF(AA40=0,0,MAX(IFERROR(INDEX(TasksTable[End Date],MATCH(T40,TasksTable[Task ID],0)),0),IFERROR(INDEX(TasksTable[End Date],MATCH(U40,TasksTable[Task ID],0)),0),IFERROR(INDEX(TasksTable[End Date],MATCH(V40,TasksTable[Task ID],0)),0),IFERROR(INDEX(TasksTable[End Date],MATCH(W40,TasksTable[Task ID],0)),0),IFERROR(INDEX(TasksTable[End Date],MATCH(X40,TasksTable[Task ID],0)),0),IFERROR(INDEX(TasksTable[End Date],MATCH(Y40,TasksTable[Task ID],0)),0),IFERROR(INDEX(TasksTable[End Date],MATCH(Z40,TasksTable[Task ID],0)),0)))</x:f>
        <x:v>46304</x:v>
      </x:c>
      <x:c r="AF40" s="137" t="b">
        <x:f>IF(OR($A40="",AA40=0),FALSE,SWITCH($J40,"FS",$F40&lt;AE40,"SS",$F40&lt;AD40,"FF",$G40&lt;AE40,"SF",$G40&lt;AD40,TRUE))</x:f>
        <x:v>0</x:v>
      </x:c>
      <x:c r="AG40" s="137" t="n">
        <x:f>IF(AND($A40&lt;&gt;"",$K40="No",$N40&lt;&gt;"Completed",$F40&gt;=TODAY()),$F40+ROW()/100000,"")</x:f>
        <x:v>46304.0004</x:v>
      </x:c>
      <x:c r="AH40" s="137" t="str">
        <x:f>IF(AND($A40&lt;&gt;"",$K40="Yes",$N40&lt;&gt;"Completed",$F40&gt;=TODAY()),$F40+ROW()/100000,"")</x:f>
      </x:c>
      <x:c r="AI40" s="137" t="str">
        <x:f>IF(AND($A40&lt;&gt;"",$K40="No",$N40&lt;&gt;"Completed",$G40&gt;=TODAY(),$G40&lt;=TODAY()+3),$G40+ROW()/100000,"")</x:f>
      </x:c>
      <x:c r="AJ40" s="137" t="str">
        <x:f>IF(AND($A40&lt;&gt;"",$K40="No",OR($N40="Delayed",$P40="Dependency conflict")),$G40+ROW()/100000,"")</x:f>
      </x:c>
      <x:c r="AK40" s="137" t="n">
        <x:f>IF(AG40="","",COUNTIFS($AG$7:$AG$206,"&gt;0",$AG$7:$AG$206,"&lt;"&amp;AG40)+1)</x:f>
        <x:v>29</x:v>
      </x:c>
      <x:c r="AL40" s="137" t="str">
        <x:f>IF(AH40="","",COUNTIFS($AH$7:$AH$206,"&gt;0",$AH$7:$AH$206,"&lt;"&amp;AH40)+1)</x:f>
      </x:c>
      <x:c r="AM40" s="137" t="str">
        <x:f>IF(AI40="","",COUNTIFS($AI$7:$AI$206,"&gt;0",$AI$7:$AI$206,"&lt;"&amp;AI40)+1)</x:f>
      </x:c>
      <x:c r="AN40" s="137" t="str">
        <x:f>IF(AJ40="","",COUNTIFS($AJ$7:$AJ$206,"&gt;0",$AJ$7:$AJ$206,"&lt;"&amp;AJ40)+1)</x:f>
      </x:c>
    </x:row>
    <x:row r="41" ht="46" customHeight="1">
      <x:c r="A41" s="156" t="str">
        <x:v>M6</x:v>
      </x:c>
      <x:c r="B41" s="157" t="str">
        <x:v>M6 · Outbound Actuation, Telemetry &amp; Omnichannel Go-Live</x:v>
      </x:c>
      <x:c r="C41" s="157" t="str">
        <x:v>Outbound Actuation, Telemetry &amp; Omnichannel Go-Live</x:v>
      </x:c>
      <x:c r="D41" s="157" t="str">
        <x:v>Explicit checkpoint linked to T25, T26, T27, T28, T29.</x:v>
      </x:c>
      <x:c r="E41" s="157" t="str">
        <x:v>Outbound Actuation, Telemetry &amp; Omnichannel Go-Live</x:v>
      </x:c>
      <x:c r="F41" s="158" t="n">
        <x:v>46305</x:v>
      </x:c>
      <x:c r="G41" s="158" t="n">
        <x:v>46305</x:v>
      </x:c>
      <x:c r="H41" s="159" t="n">
        <x:f>IF(OR(F41="",G41=""),"",G41-F41+1)</x:f>
        <x:v>1</x:v>
      </x:c>
      <x:c r="I41" s="157" t="str">
        <x:v>T25, T26, T27, T28, T29</x:v>
      </x:c>
      <x:c r="J41" s="157" t="str">
        <x:v>FS</x:v>
      </x:c>
      <x:c r="K41" s="157" t="str">
        <x:v>Yes</x:v>
      </x:c>
      <x:c r="L41" s="157" t="str">
        <x:v>Unassigned</x:v>
      </x:c>
      <x:c r="M41" s="157" t="str"/>
      <x:c r="N41" s="157" t="str">
        <x:f>IF(O41=0,"Not Started",IF(O41=1,"Completed","In Progress"))</x:f>
        <x:v>Not Started</x:v>
      </x:c>
      <x:c r="O41" s="160" t="n">
        <x:v>0</x:v>
      </x:c>
      <x:c r="P41" s="157" t="str">
        <x:f>IF(A41="","",IF(COUNTIF(TasksTable[Task ID],A41)&gt;1,"Duplicate Task ID",IF(OR(F41="",G41=""),"Missing dates",IF(G41&lt;F41,"Invalid dates",IF(OR(F41&lt;$B$2,G41&gt;$D$2),"Outside window",IF(AA41=0,IF(N41="Delayed","Delayed",IF(N41="On Hold","On Hold","On Track")),IF(J41="","Missing dependency type",IF(AC41,"Dependency cycle",IF(AB41&lt;&gt;AA41,"Invalid predecessor",IF(AF41,"Dependency conflict",IF(N41="Delayed","Delayed",IF(N41="On Hold","On Hold","On Track"))))))))))))</x:f>
        <x:v>On Track</x:v>
      </x:c>
      <x:c r="Q41" s="157" t="str">
        <x:v>[INFERRED] Milestone linkage is represented as FS predecessors from the source-listed linked tasks; source milestone status was inferred and is reset to 0%/Not Started per workbook requirement.</x:v>
      </x:c>
      <x:c r="T41" s="137" t="str">
        <x:f>IF($A41="","",TRIM(MID(SUBSTITUTE(SUBSTITUTE(TRIM($I41)," ",""),",",REPT(" ",100)),1,100)))</x:f>
        <x:v>T25</x:v>
      </x:c>
      <x:c r="U41" s="137" t="str">
        <x:f>IF($A41="","",TRIM(MID(SUBSTITUTE(SUBSTITUTE(TRIM($I41)," ",""),",",REPT(" ",100)),101,100)))</x:f>
        <x:v>T26</x:v>
      </x:c>
      <x:c r="V41" s="137" t="str">
        <x:f>IF($A41="","",TRIM(MID(SUBSTITUTE(SUBSTITUTE(TRIM($I41)," ",""),",",REPT(" ",100)),201,100)))</x:f>
        <x:v>T27</x:v>
      </x:c>
      <x:c r="W41" s="137" t="str">
        <x:f>IF($A41="","",TRIM(MID(SUBSTITUTE(SUBSTITUTE(TRIM($I41)," ",""),",",REPT(" ",100)),301,100)))</x:f>
        <x:v>T28</x:v>
      </x:c>
      <x:c r="X41" s="137" t="str">
        <x:f>IF($A41="","",TRIM(MID(SUBSTITUTE(SUBSTITUTE(TRIM($I41)," ",""),",",REPT(" ",100)),401,100)))</x:f>
        <x:v>T29</x:v>
      </x:c>
      <x:c r="Y41" s="137" t="str">
        <x:f>IF($A41="","",TRIM(MID(SUBSTITUTE(SUBSTITUTE(TRIM($I41)," ",""),",",REPT(" ",100)),501,100)))</x:f>
      </x:c>
      <x:c r="Z41" s="137" t="str">
        <x:f>IF($A41="","",TRIM(MID(SUBSTITUTE(SUBSTITUTE(TRIM($I41)," ",""),",",REPT(" ",100)),601,100)))</x:f>
      </x:c>
      <x:c r="AA41" s="137" t="n">
        <x:f>IF($A41="","",IF(SUBSTITUTE(TRIM($I41)," ","")="",0,1+LEN(SUBSTITUTE(TRIM($I41)," ",""))-LEN(SUBSTITUTE(SUBSTITUTE(TRIM($I41)," ",""),",",""))))</x:f>
        <x:v>5</x:v>
      </x:c>
      <x:c r="AB41" s="137" t="n">
        <x:f>IF($A41="","",COUNTIF(TasksTable[Task ID],T41)+COUNTIF(TasksTable[Task ID],U41)+COUNTIF(TasksTable[Task ID],V41)+COUNTIF(TasksTable[Task ID],W41)+COUNTIF(TasksTable[Task ID],X41)+COUNTIF(TasksTable[Task ID],Y41)+COUNTIF(TasksTable[Task ID],Z41))</x:f>
        <x:v>5</x:v>
      </x:c>
      <x:c r="AC41" s="137" t="b">
        <x:f>IF($A41="",FALSE,OR(T41=$A41,U41=$A41,V41=$A41,W41=$A41,X41=$A41,Y41=$A41,Z41=$A41))</x:f>
        <x:v>0</x:v>
      </x:c>
      <x:c r="AD41" s="144" t="n">
        <x:f>IF(AA41=0,0,MAX(IFERROR(INDEX(TasksTable[Start Date],MATCH(T41,TasksTable[Task ID],0)),0),IFERROR(INDEX(TasksTable[Start Date],MATCH(U41,TasksTable[Task ID],0)),0),IFERROR(INDEX(TasksTable[Start Date],MATCH(V41,TasksTable[Task ID],0)),0),IFERROR(INDEX(TasksTable[Start Date],MATCH(W41,TasksTable[Task ID],0)),0),IFERROR(INDEX(TasksTable[Start Date],MATCH(X41,TasksTable[Task ID],0)),0),IFERROR(INDEX(TasksTable[Start Date],MATCH(Y41,TasksTable[Task ID],0)),0),IFERROR(INDEX(TasksTable[Start Date],MATCH(Z41,TasksTable[Task ID],0)),0)))</x:f>
        <x:v>46304</x:v>
      </x:c>
      <x:c r="AE41" s="144" t="n">
        <x:f>IF(AA41=0,0,MAX(IFERROR(INDEX(TasksTable[End Date],MATCH(T41,TasksTable[Task ID],0)),0),IFERROR(INDEX(TasksTable[End Date],MATCH(U41,TasksTable[Task ID],0)),0),IFERROR(INDEX(TasksTable[End Date],MATCH(V41,TasksTable[Task ID],0)),0),IFERROR(INDEX(TasksTable[End Date],MATCH(W41,TasksTable[Task ID],0)),0),IFERROR(INDEX(TasksTable[End Date],MATCH(X41,TasksTable[Task ID],0)),0),IFERROR(INDEX(TasksTable[End Date],MATCH(Y41,TasksTable[Task ID],0)),0),IFERROR(INDEX(TasksTable[End Date],MATCH(Z41,TasksTable[Task ID],0)),0)))</x:f>
        <x:v>46305</x:v>
      </x:c>
      <x:c r="AF41" s="137" t="b">
        <x:f>IF(OR($A41="",AA41=0),FALSE,SWITCH($J41,"FS",$F41&lt;AE41,"SS",$F41&lt;AD41,"FF",$G41&lt;AE41,"SF",$G41&lt;AD41,TRUE))</x:f>
        <x:v>0</x:v>
      </x:c>
      <x:c r="AG41" s="137" t="str">
        <x:f>IF(AND($A41&lt;&gt;"",$K41="No",$N41&lt;&gt;"Completed",$F41&gt;=TODAY()),$F41+ROW()/100000,"")</x:f>
      </x:c>
      <x:c r="AH41" s="137" t="n">
        <x:f>IF(AND($A41&lt;&gt;"",$K41="Yes",$N41&lt;&gt;"Completed",$F41&gt;=TODAY()),$F41+ROW()/100000,"")</x:f>
        <x:v>46305.00041</x:v>
      </x:c>
      <x:c r="AI41" s="137" t="str">
        <x:f>IF(AND($A41&lt;&gt;"",$K41="No",$N41&lt;&gt;"Completed",$G41&gt;=TODAY(),$G41&lt;=TODAY()+3),$G41+ROW()/100000,"")</x:f>
      </x:c>
      <x:c r="AJ41" s="137" t="str">
        <x:f>IF(AND($A41&lt;&gt;"",$K41="No",OR($N41="Delayed",$P41="Dependency conflict")),$G41+ROW()/100000,"")</x:f>
      </x:c>
      <x:c r="AK41" s="137" t="str">
        <x:f>IF(AG41="","",COUNTIFS($AG$7:$AG$206,"&gt;0",$AG$7:$AG$206,"&lt;"&amp;AG41)+1)</x:f>
      </x:c>
      <x:c r="AL41" s="137" t="n">
        <x:f>IF(AH41="","",COUNTIFS($AH$7:$AH$206,"&gt;0",$AH$7:$AH$206,"&lt;"&amp;AH41)+1)</x:f>
        <x:v>6</x:v>
      </x:c>
      <x:c r="AM41" s="137" t="str">
        <x:f>IF(AI41="","",COUNTIFS($AI$7:$AI$206,"&gt;0",$AI$7:$AI$206,"&lt;"&amp;AI41)+1)</x:f>
      </x:c>
      <x:c r="AN41" s="137" t="str">
        <x:f>IF(AJ41="","",COUNTIFS($AJ$7:$AJ$206,"&gt;0",$AJ$7:$AJ$206,"&lt;"&amp;AJ41)+1)</x:f>
      </x:c>
    </x:row>
    <x:row r="42" ht="38" customHeight="1">
      <x:c r="A42" s="52" t="str">
        <x:v>T30</x:v>
      </x:c>
      <x:c r="B42" s="54" t="str">
        <x:v>M7 · Closed-Loop Telemetry Optimization &amp; Final Project Closeout</x:v>
      </x:c>
      <x:c r="C42" s="54" t="str">
        <x:v>Ingest live store traffic, checkout transactions &amp; conversion logs into CDB</x:v>
      </x:c>
      <x:c r="D42" s="54" t="str">
        <x:v>Telemetry listeners must be online to ingest live traffic, conversions, and transaction records.</x:v>
      </x:c>
      <x:c r="E42" s="54" t="str">
        <x:v>[INFERRED] Ingested store traffic, checkout, transaction, and conversion telemetry</x:v>
      </x:c>
      <x:c r="F42" s="56" t="n">
        <x:v>46305</x:v>
      </x:c>
      <x:c r="G42" s="56" t="n">
        <x:v>46306</x:v>
      </x:c>
      <x:c r="H42" s="60" t="n">
        <x:f>IF(OR(F42="",G42=""),"",G42-F42+1)</x:f>
        <x:v>2</x:v>
      </x:c>
      <x:c r="I42" s="54" t="str">
        <x:v>T29</x:v>
      </x:c>
      <x:c r="J42" s="54" t="str">
        <x:v>FS</x:v>
      </x:c>
      <x:c r="K42" s="54" t="str">
        <x:v>No</x:v>
      </x:c>
      <x:c r="L42" s="54" t="str">
        <x:v>Telemetry Engine &amp; Central Database</x:v>
      </x:c>
      <x:c r="M42" s="54" t="str"/>
      <x:c r="N42" s="54" t="str">
        <x:f>IF(O42=0,"Not Started",IF(O42=1,"Completed","In Progress"))</x:f>
        <x:v>Not Started</x:v>
      </x:c>
      <x:c r="O42" s="58" t="n">
        <x:v>0</x:v>
      </x:c>
      <x:c r="P42" s="62" t="str">
        <x:f>IF(A42="","",IF(COUNTIF(TasksTable[Task ID],A42)&gt;1,"Duplicate Task ID",IF(OR(F42="",G42=""),"Missing dates",IF(G42&lt;F42,"Invalid dates",IF(OR(F42&lt;$B$2,G42&gt;$D$2),"Outside window",IF(AA42=0,IF(N42="Delayed","Delayed",IF(N42="On Hold","On Hold","On Track")),IF(J42="","Missing dependency type",IF(AC42,"Dependency cycle",IF(AB42&lt;&gt;AA42,"Invalid predecessor",IF(AF42,"Dependency conflict",IF(N42="Delayed","Delayed",IF(N42="On Hold","On Hold","On Track"))))))))))))</x:f>
        <x:v>On Track</x:v>
      </x:c>
      <x:c r="Q42" s="54" t="str"/>
      <x:c r="T42" s="137" t="str">
        <x:f>IF($A42="","",TRIM(MID(SUBSTITUTE(SUBSTITUTE(TRIM($I42)," ",""),",",REPT(" ",100)),1,100)))</x:f>
        <x:v>T29</x:v>
      </x:c>
      <x:c r="U42" s="137" t="str">
        <x:f>IF($A42="","",TRIM(MID(SUBSTITUTE(SUBSTITUTE(TRIM($I42)," ",""),",",REPT(" ",100)),101,100)))</x:f>
      </x:c>
      <x:c r="V42" s="137" t="str">
        <x:f>IF($A42="","",TRIM(MID(SUBSTITUTE(SUBSTITUTE(TRIM($I42)," ",""),",",REPT(" ",100)),201,100)))</x:f>
      </x:c>
      <x:c r="W42" s="137" t="str">
        <x:f>IF($A42="","",TRIM(MID(SUBSTITUTE(SUBSTITUTE(TRIM($I42)," ",""),",",REPT(" ",100)),301,100)))</x:f>
      </x:c>
      <x:c r="X42" s="137" t="str">
        <x:f>IF($A42="","",TRIM(MID(SUBSTITUTE(SUBSTITUTE(TRIM($I42)," ",""),",",REPT(" ",100)),401,100)))</x:f>
      </x:c>
      <x:c r="Y42" s="137" t="str">
        <x:f>IF($A42="","",TRIM(MID(SUBSTITUTE(SUBSTITUTE(TRIM($I42)," ",""),",",REPT(" ",100)),501,100)))</x:f>
      </x:c>
      <x:c r="Z42" s="137" t="str">
        <x:f>IF($A42="","",TRIM(MID(SUBSTITUTE(SUBSTITUTE(TRIM($I42)," ",""),",",REPT(" ",100)),601,100)))</x:f>
      </x:c>
      <x:c r="AA42" s="137" t="n">
        <x:f>IF($A42="","",IF(SUBSTITUTE(TRIM($I42)," ","")="",0,1+LEN(SUBSTITUTE(TRIM($I42)," ",""))-LEN(SUBSTITUTE(SUBSTITUTE(TRIM($I42)," ",""),",",""))))</x:f>
        <x:v>1</x:v>
      </x:c>
      <x:c r="AB42" s="137" t="n">
        <x:f>IF($A42="","",COUNTIF(TasksTable[Task ID],T42)+COUNTIF(TasksTable[Task ID],U42)+COUNTIF(TasksTable[Task ID],V42)+COUNTIF(TasksTable[Task ID],W42)+COUNTIF(TasksTable[Task ID],X42)+COUNTIF(TasksTable[Task ID],Y42)+COUNTIF(TasksTable[Task ID],Z42))</x:f>
        <x:v>1</x:v>
      </x:c>
      <x:c r="AC42" s="137" t="b">
        <x:f>IF($A42="",FALSE,OR(T42=$A42,U42=$A42,V42=$A42,W42=$A42,X42=$A42,Y42=$A42,Z42=$A42))</x:f>
        <x:v>0</x:v>
      </x:c>
      <x:c r="AD42" s="144" t="n">
        <x:f>IF(AA42=0,0,MAX(IFERROR(INDEX(TasksTable[Start Date],MATCH(T42,TasksTable[Task ID],0)),0),IFERROR(INDEX(TasksTable[Start Date],MATCH(U42,TasksTable[Task ID],0)),0),IFERROR(INDEX(TasksTable[Start Date],MATCH(V42,TasksTable[Task ID],0)),0),IFERROR(INDEX(TasksTable[Start Date],MATCH(W42,TasksTable[Task ID],0)),0),IFERROR(INDEX(TasksTable[Start Date],MATCH(X42,TasksTable[Task ID],0)),0),IFERROR(INDEX(TasksTable[Start Date],MATCH(Y42,TasksTable[Task ID],0)),0),IFERROR(INDEX(TasksTable[Start Date],MATCH(Z42,TasksTable[Task ID],0)),0)))</x:f>
        <x:v>46304</x:v>
      </x:c>
      <x:c r="AE42" s="144" t="n">
        <x:f>IF(AA42=0,0,MAX(IFERROR(INDEX(TasksTable[End Date],MATCH(T42,TasksTable[Task ID],0)),0),IFERROR(INDEX(TasksTable[End Date],MATCH(U42,TasksTable[Task ID],0)),0),IFERROR(INDEX(TasksTable[End Date],MATCH(V42,TasksTable[Task ID],0)),0),IFERROR(INDEX(TasksTable[End Date],MATCH(W42,TasksTable[Task ID],0)),0),IFERROR(INDEX(TasksTable[End Date],MATCH(X42,TasksTable[Task ID],0)),0),IFERROR(INDEX(TasksTable[End Date],MATCH(Y42,TasksTable[Task ID],0)),0),IFERROR(INDEX(TasksTable[End Date],MATCH(Z42,TasksTable[Task ID],0)),0)))</x:f>
        <x:v>46305</x:v>
      </x:c>
      <x:c r="AF42" s="137" t="b">
        <x:f>IF(OR($A42="",AA42=0),FALSE,SWITCH($J42,"FS",$F42&lt;AE42,"SS",$F42&lt;AD42,"FF",$G42&lt;AE42,"SF",$G42&lt;AD42,TRUE))</x:f>
        <x:v>0</x:v>
      </x:c>
      <x:c r="AG42" s="137" t="n">
        <x:f>IF(AND($A42&lt;&gt;"",$K42="No",$N42&lt;&gt;"Completed",$F42&gt;=TODAY()),$F42+ROW()/100000,"")</x:f>
        <x:v>46305.00042</x:v>
      </x:c>
      <x:c r="AH42" s="137" t="str">
        <x:f>IF(AND($A42&lt;&gt;"",$K42="Yes",$N42&lt;&gt;"Completed",$F42&gt;=TODAY()),$F42+ROW()/100000,"")</x:f>
      </x:c>
      <x:c r="AI42" s="137" t="str">
        <x:f>IF(AND($A42&lt;&gt;"",$K42="No",$N42&lt;&gt;"Completed",$G42&gt;=TODAY(),$G42&lt;=TODAY()+3),$G42+ROW()/100000,"")</x:f>
      </x:c>
      <x:c r="AJ42" s="137" t="str">
        <x:f>IF(AND($A42&lt;&gt;"",$K42="No",OR($N42="Delayed",$P42="Dependency conflict")),$G42+ROW()/100000,"")</x:f>
      </x:c>
      <x:c r="AK42" s="137" t="n">
        <x:f>IF(AG42="","",COUNTIFS($AG$7:$AG$206,"&gt;0",$AG$7:$AG$206,"&lt;"&amp;AG42)+1)</x:f>
        <x:v>30</x:v>
      </x:c>
      <x:c r="AL42" s="137" t="str">
        <x:f>IF(AH42="","",COUNTIFS($AH$7:$AH$206,"&gt;0",$AH$7:$AH$206,"&lt;"&amp;AH42)+1)</x:f>
      </x:c>
      <x:c r="AM42" s="137" t="str">
        <x:f>IF(AI42="","",COUNTIFS($AI$7:$AI$206,"&gt;0",$AI$7:$AI$206,"&lt;"&amp;AI42)+1)</x:f>
      </x:c>
      <x:c r="AN42" s="137" t="str">
        <x:f>IF(AJ42="","",COUNTIFS($AJ$7:$AJ$206,"&gt;0",$AJ$7:$AJ$206,"&lt;"&amp;AJ42)+1)</x:f>
      </x:c>
    </x:row>
    <x:row r="43" ht="38" customHeight="1">
      <x:c r="A43" s="52" t="str">
        <x:v>T31</x:v>
      </x:c>
      <x:c r="B43" s="54" t="str">
        <x:v>M7 · Closed-Loop Telemetry Optimization &amp; Final Project Closeout</x:v>
      </x:c>
      <x:c r="C43" s="54" t="str">
        <x:v>Calculate multi-touch attribution, creative decay &amp; ROAS (W_LEARN)</x:v>
      </x:c>
      <x:c r="D43" s="54" t="str">
        <x:v>Attribution and creative decay algorithms require live performance metrics from Central DB.</x:v>
      </x:c>
      <x:c r="E43" s="54" t="str">
        <x:v>[INFERRED] Attribution weights, creative-decay metrics, and ROAS calculations</x:v>
      </x:c>
      <x:c r="F43" s="56" t="n">
        <x:v>46306</x:v>
      </x:c>
      <x:c r="G43" s="56" t="n">
        <x:v>46308</x:v>
      </x:c>
      <x:c r="H43" s="60" t="n">
        <x:f>IF(OR(F43="",G43=""),"",G43-F43+1)</x:f>
        <x:v>3</x:v>
      </x:c>
      <x:c r="I43" s="54" t="str">
        <x:v>T30</x:v>
      </x:c>
      <x:c r="J43" s="54" t="str">
        <x:v>FS</x:v>
      </x:c>
      <x:c r="K43" s="54" t="str">
        <x:v>No</x:v>
      </x:c>
      <x:c r="L43" s="54" t="str">
        <x:v>Learning Engine &amp; S_ATTR</x:v>
      </x:c>
      <x:c r="M43" s="54" t="str"/>
      <x:c r="N43" s="54" t="str">
        <x:f>IF(O43=0,"Not Started",IF(O43=1,"Completed","In Progress"))</x:f>
        <x:v>Not Started</x:v>
      </x:c>
      <x:c r="O43" s="58" t="n">
        <x:v>0</x:v>
      </x:c>
      <x:c r="P43" s="62" t="str">
        <x:f>IF(A43="","",IF(COUNTIF(TasksTable[Task ID],A43)&gt;1,"Duplicate Task ID",IF(OR(F43="",G43=""),"Missing dates",IF(G43&lt;F43,"Invalid dates",IF(OR(F43&lt;$B$2,G43&gt;$D$2),"Outside window",IF(AA43=0,IF(N43="Delayed","Delayed",IF(N43="On Hold","On Hold","On Track")),IF(J43="","Missing dependency type",IF(AC43,"Dependency cycle",IF(AB43&lt;&gt;AA43,"Invalid predecessor",IF(AF43,"Dependency conflict",IF(N43="Delayed","Delayed",IF(N43="On Hold","On Hold","On Track"))))))))))))</x:f>
        <x:v>On Track</x:v>
      </x:c>
      <x:c r="Q43" s="54" t="str"/>
      <x:c r="T43" s="137" t="str">
        <x:f>IF($A43="","",TRIM(MID(SUBSTITUTE(SUBSTITUTE(TRIM($I43)," ",""),",",REPT(" ",100)),1,100)))</x:f>
        <x:v>T30</x:v>
      </x:c>
      <x:c r="U43" s="137" t="str">
        <x:f>IF($A43="","",TRIM(MID(SUBSTITUTE(SUBSTITUTE(TRIM($I43)," ",""),",",REPT(" ",100)),101,100)))</x:f>
      </x:c>
      <x:c r="V43" s="137" t="str">
        <x:f>IF($A43="","",TRIM(MID(SUBSTITUTE(SUBSTITUTE(TRIM($I43)," ",""),",",REPT(" ",100)),201,100)))</x:f>
      </x:c>
      <x:c r="W43" s="137" t="str">
        <x:f>IF($A43="","",TRIM(MID(SUBSTITUTE(SUBSTITUTE(TRIM($I43)," ",""),",",REPT(" ",100)),301,100)))</x:f>
      </x:c>
      <x:c r="X43" s="137" t="str">
        <x:f>IF($A43="","",TRIM(MID(SUBSTITUTE(SUBSTITUTE(TRIM($I43)," ",""),",",REPT(" ",100)),401,100)))</x:f>
      </x:c>
      <x:c r="Y43" s="137" t="str">
        <x:f>IF($A43="","",TRIM(MID(SUBSTITUTE(SUBSTITUTE(TRIM($I43)," ",""),",",REPT(" ",100)),501,100)))</x:f>
      </x:c>
      <x:c r="Z43" s="137" t="str">
        <x:f>IF($A43="","",TRIM(MID(SUBSTITUTE(SUBSTITUTE(TRIM($I43)," ",""),",",REPT(" ",100)),601,100)))</x:f>
      </x:c>
      <x:c r="AA43" s="137" t="n">
        <x:f>IF($A43="","",IF(SUBSTITUTE(TRIM($I43)," ","")="",0,1+LEN(SUBSTITUTE(TRIM($I43)," ",""))-LEN(SUBSTITUTE(SUBSTITUTE(TRIM($I43)," ",""),",",""))))</x:f>
        <x:v>1</x:v>
      </x:c>
      <x:c r="AB43" s="137" t="n">
        <x:f>IF($A43="","",COUNTIF(TasksTable[Task ID],T43)+COUNTIF(TasksTable[Task ID],U43)+COUNTIF(TasksTable[Task ID],V43)+COUNTIF(TasksTable[Task ID],W43)+COUNTIF(TasksTable[Task ID],X43)+COUNTIF(TasksTable[Task ID],Y43)+COUNTIF(TasksTable[Task ID],Z43))</x:f>
        <x:v>1</x:v>
      </x:c>
      <x:c r="AC43" s="137" t="b">
        <x:f>IF($A43="",FALSE,OR(T43=$A43,U43=$A43,V43=$A43,W43=$A43,X43=$A43,Y43=$A43,Z43=$A43))</x:f>
        <x:v>0</x:v>
      </x:c>
      <x:c r="AD43" s="144" t="n">
        <x:f>IF(AA43=0,0,MAX(IFERROR(INDEX(TasksTable[Start Date],MATCH(T43,TasksTable[Task ID],0)),0),IFERROR(INDEX(TasksTable[Start Date],MATCH(U43,TasksTable[Task ID],0)),0),IFERROR(INDEX(TasksTable[Start Date],MATCH(V43,TasksTable[Task ID],0)),0),IFERROR(INDEX(TasksTable[Start Date],MATCH(W43,TasksTable[Task ID],0)),0),IFERROR(INDEX(TasksTable[Start Date],MATCH(X43,TasksTable[Task ID],0)),0),IFERROR(INDEX(TasksTable[Start Date],MATCH(Y43,TasksTable[Task ID],0)),0),IFERROR(INDEX(TasksTable[Start Date],MATCH(Z43,TasksTable[Task ID],0)),0)))</x:f>
        <x:v>46305</x:v>
      </x:c>
      <x:c r="AE43" s="144" t="n">
        <x:f>IF(AA43=0,0,MAX(IFERROR(INDEX(TasksTable[End Date],MATCH(T43,TasksTable[Task ID],0)),0),IFERROR(INDEX(TasksTable[End Date],MATCH(U43,TasksTable[Task ID],0)),0),IFERROR(INDEX(TasksTable[End Date],MATCH(V43,TasksTable[Task ID],0)),0),IFERROR(INDEX(TasksTable[End Date],MATCH(W43,TasksTable[Task ID],0)),0),IFERROR(INDEX(TasksTable[End Date],MATCH(X43,TasksTable[Task ID],0)),0),IFERROR(INDEX(TasksTable[End Date],MATCH(Y43,TasksTable[Task ID],0)),0),IFERROR(INDEX(TasksTable[End Date],MATCH(Z43,TasksTable[Task ID],0)),0)))</x:f>
        <x:v>46306</x:v>
      </x:c>
      <x:c r="AF43" s="137" t="b">
        <x:f>IF(OR($A43="",AA43=0),FALSE,SWITCH($J43,"FS",$F43&lt;AE43,"SS",$F43&lt;AD43,"FF",$G43&lt;AE43,"SF",$G43&lt;AD43,TRUE))</x:f>
        <x:v>0</x:v>
      </x:c>
      <x:c r="AG43" s="137" t="n">
        <x:f>IF(AND($A43&lt;&gt;"",$K43="No",$N43&lt;&gt;"Completed",$F43&gt;=TODAY()),$F43+ROW()/100000,"")</x:f>
        <x:v>46306.00043</x:v>
      </x:c>
      <x:c r="AH43" s="137" t="str">
        <x:f>IF(AND($A43&lt;&gt;"",$K43="Yes",$N43&lt;&gt;"Completed",$F43&gt;=TODAY()),$F43+ROW()/100000,"")</x:f>
      </x:c>
      <x:c r="AI43" s="137" t="str">
        <x:f>IF(AND($A43&lt;&gt;"",$K43="No",$N43&lt;&gt;"Completed",$G43&gt;=TODAY(),$G43&lt;=TODAY()+3),$G43+ROW()/100000,"")</x:f>
      </x:c>
      <x:c r="AJ43" s="137" t="str">
        <x:f>IF(AND($A43&lt;&gt;"",$K43="No",OR($N43="Delayed",$P43="Dependency conflict")),$G43+ROW()/100000,"")</x:f>
      </x:c>
      <x:c r="AK43" s="137" t="n">
        <x:f>IF(AG43="","",COUNTIFS($AG$7:$AG$206,"&gt;0",$AG$7:$AG$206,"&lt;"&amp;AG43)+1)</x:f>
        <x:v>31</x:v>
      </x:c>
      <x:c r="AL43" s="137" t="str">
        <x:f>IF(AH43="","",COUNTIFS($AH$7:$AH$206,"&gt;0",$AH$7:$AH$206,"&lt;"&amp;AH43)+1)</x:f>
      </x:c>
      <x:c r="AM43" s="137" t="str">
        <x:f>IF(AI43="","",COUNTIFS($AI$7:$AI$206,"&gt;0",$AI$7:$AI$206,"&lt;"&amp;AI43)+1)</x:f>
      </x:c>
      <x:c r="AN43" s="137" t="str">
        <x:f>IF(AJ43="","",COUNTIFS($AJ$7:$AJ$206,"&gt;0",$AJ$7:$AJ$206,"&lt;"&amp;AJ43)+1)</x:f>
      </x:c>
    </x:row>
    <x:row r="44" ht="38" customHeight="1">
      <x:c r="A44" s="52" t="str">
        <x:v>T32</x:v>
      </x:c>
      <x:c r="B44" s="54" t="str">
        <x:v>M7 · Closed-Loop Telemetry Optimization &amp; Final Project Closeout</x:v>
      </x:c>
      <x:c r="C44" s="54" t="str">
        <x:v>Promote validated memory deltas into Institutional Memory and IE</x:v>
      </x:c>
      <x:c r="D44" s="54" t="str">
        <x:v>Attribution weights must be validated before promotion into Institutional Memory.</x:v>
      </x:c>
      <x:c r="E44" s="54" t="str">
        <x:v>[INFERRED] Validated learning/memory deltas promoted to Memory Store and IE</x:v>
      </x:c>
      <x:c r="F44" s="56" t="n">
        <x:v>46308</x:v>
      </x:c>
      <x:c r="G44" s="56" t="n">
        <x:v>46309</x:v>
      </x:c>
      <x:c r="H44" s="60" t="n">
        <x:f>IF(OR(F44="",G44=""),"",G44-F44+1)</x:f>
        <x:v>2</x:v>
      </x:c>
      <x:c r="I44" s="54" t="str">
        <x:v>T31</x:v>
      </x:c>
      <x:c r="J44" s="54" t="str">
        <x:v>FS</x:v>
      </x:c>
      <x:c r="K44" s="54" t="str">
        <x:v>No</x:v>
      </x:c>
      <x:c r="L44" s="54" t="str">
        <x:v>Learning Engine, Memory Store &amp; IE</x:v>
      </x:c>
      <x:c r="M44" s="54" t="str"/>
      <x:c r="N44" s="54" t="str">
        <x:f>IF(O44=0,"Not Started",IF(O44=1,"Completed","In Progress"))</x:f>
        <x:v>Not Started</x:v>
      </x:c>
      <x:c r="O44" s="58" t="n">
        <x:v>0</x:v>
      </x:c>
      <x:c r="P44" s="62" t="str">
        <x:f>IF(A44="","",IF(COUNTIF(TasksTable[Task ID],A44)&gt;1,"Duplicate Task ID",IF(OR(F44="",G44=""),"Missing dates",IF(G44&lt;F44,"Invalid dates",IF(OR(F44&lt;$B$2,G44&gt;$D$2),"Outside window",IF(AA44=0,IF(N44="Delayed","Delayed",IF(N44="On Hold","On Hold","On Track")),IF(J44="","Missing dependency type",IF(AC44,"Dependency cycle",IF(AB44&lt;&gt;AA44,"Invalid predecessor",IF(AF44,"Dependency conflict",IF(N44="Delayed","Delayed",IF(N44="On Hold","On Hold","On Track"))))))))))))</x:f>
        <x:v>On Track</x:v>
      </x:c>
      <x:c r="Q44" s="54" t="str"/>
      <x:c r="T44" s="137" t="str">
        <x:f>IF($A44="","",TRIM(MID(SUBSTITUTE(SUBSTITUTE(TRIM($I44)," ",""),",",REPT(" ",100)),1,100)))</x:f>
        <x:v>T31</x:v>
      </x:c>
      <x:c r="U44" s="137" t="str">
        <x:f>IF($A44="","",TRIM(MID(SUBSTITUTE(SUBSTITUTE(TRIM($I44)," ",""),",",REPT(" ",100)),101,100)))</x:f>
      </x:c>
      <x:c r="V44" s="137" t="str">
        <x:f>IF($A44="","",TRIM(MID(SUBSTITUTE(SUBSTITUTE(TRIM($I44)," ",""),",",REPT(" ",100)),201,100)))</x:f>
      </x:c>
      <x:c r="W44" s="137" t="str">
        <x:f>IF($A44="","",TRIM(MID(SUBSTITUTE(SUBSTITUTE(TRIM($I44)," ",""),",",REPT(" ",100)),301,100)))</x:f>
      </x:c>
      <x:c r="X44" s="137" t="str">
        <x:f>IF($A44="","",TRIM(MID(SUBSTITUTE(SUBSTITUTE(TRIM($I44)," ",""),",",REPT(" ",100)),401,100)))</x:f>
      </x:c>
      <x:c r="Y44" s="137" t="str">
        <x:f>IF($A44="","",TRIM(MID(SUBSTITUTE(SUBSTITUTE(TRIM($I44)," ",""),",",REPT(" ",100)),501,100)))</x:f>
      </x:c>
      <x:c r="Z44" s="137" t="str">
        <x:f>IF($A44="","",TRIM(MID(SUBSTITUTE(SUBSTITUTE(TRIM($I44)," ",""),",",REPT(" ",100)),601,100)))</x:f>
      </x:c>
      <x:c r="AA44" s="137" t="n">
        <x:f>IF($A44="","",IF(SUBSTITUTE(TRIM($I44)," ","")="",0,1+LEN(SUBSTITUTE(TRIM($I44)," ",""))-LEN(SUBSTITUTE(SUBSTITUTE(TRIM($I44)," ",""),",",""))))</x:f>
        <x:v>1</x:v>
      </x:c>
      <x:c r="AB44" s="137" t="n">
        <x:f>IF($A44="","",COUNTIF(TasksTable[Task ID],T44)+COUNTIF(TasksTable[Task ID],U44)+COUNTIF(TasksTable[Task ID],V44)+COUNTIF(TasksTable[Task ID],W44)+COUNTIF(TasksTable[Task ID],X44)+COUNTIF(TasksTable[Task ID],Y44)+COUNTIF(TasksTable[Task ID],Z44))</x:f>
        <x:v>1</x:v>
      </x:c>
      <x:c r="AC44" s="137" t="b">
        <x:f>IF($A44="",FALSE,OR(T44=$A44,U44=$A44,V44=$A44,W44=$A44,X44=$A44,Y44=$A44,Z44=$A44))</x:f>
        <x:v>0</x:v>
      </x:c>
      <x:c r="AD44" s="144" t="n">
        <x:f>IF(AA44=0,0,MAX(IFERROR(INDEX(TasksTable[Start Date],MATCH(T44,TasksTable[Task ID],0)),0),IFERROR(INDEX(TasksTable[Start Date],MATCH(U44,TasksTable[Task ID],0)),0),IFERROR(INDEX(TasksTable[Start Date],MATCH(V44,TasksTable[Task ID],0)),0),IFERROR(INDEX(TasksTable[Start Date],MATCH(W44,TasksTable[Task ID],0)),0),IFERROR(INDEX(TasksTable[Start Date],MATCH(X44,TasksTable[Task ID],0)),0),IFERROR(INDEX(TasksTable[Start Date],MATCH(Y44,TasksTable[Task ID],0)),0),IFERROR(INDEX(TasksTable[Start Date],MATCH(Z44,TasksTable[Task ID],0)),0)))</x:f>
        <x:v>46306</x:v>
      </x:c>
      <x:c r="AE44" s="144" t="n">
        <x:f>IF(AA44=0,0,MAX(IFERROR(INDEX(TasksTable[End Date],MATCH(T44,TasksTable[Task ID],0)),0),IFERROR(INDEX(TasksTable[End Date],MATCH(U44,TasksTable[Task ID],0)),0),IFERROR(INDEX(TasksTable[End Date],MATCH(V44,TasksTable[Task ID],0)),0),IFERROR(INDEX(TasksTable[End Date],MATCH(W44,TasksTable[Task ID],0)),0),IFERROR(INDEX(TasksTable[End Date],MATCH(X44,TasksTable[Task ID],0)),0),IFERROR(INDEX(TasksTable[End Date],MATCH(Y44,TasksTable[Task ID],0)),0),IFERROR(INDEX(TasksTable[End Date],MATCH(Z44,TasksTable[Task ID],0)),0)))</x:f>
        <x:v>46308</x:v>
      </x:c>
      <x:c r="AF44" s="137" t="b">
        <x:f>IF(OR($A44="",AA44=0),FALSE,SWITCH($J44,"FS",$F44&lt;AE44,"SS",$F44&lt;AD44,"FF",$G44&lt;AE44,"SF",$G44&lt;AD44,TRUE))</x:f>
        <x:v>0</x:v>
      </x:c>
      <x:c r="AG44" s="137" t="n">
        <x:f>IF(AND($A44&lt;&gt;"",$K44="No",$N44&lt;&gt;"Completed",$F44&gt;=TODAY()),$F44+ROW()/100000,"")</x:f>
        <x:v>46308.00044</x:v>
      </x:c>
      <x:c r="AH44" s="137" t="str">
        <x:f>IF(AND($A44&lt;&gt;"",$K44="Yes",$N44&lt;&gt;"Completed",$F44&gt;=TODAY()),$F44+ROW()/100000,"")</x:f>
      </x:c>
      <x:c r="AI44" s="137" t="str">
        <x:f>IF(AND($A44&lt;&gt;"",$K44="No",$N44&lt;&gt;"Completed",$G44&gt;=TODAY(),$G44&lt;=TODAY()+3),$G44+ROW()/100000,"")</x:f>
      </x:c>
      <x:c r="AJ44" s="137" t="str">
        <x:f>IF(AND($A44&lt;&gt;"",$K44="No",OR($N44="Delayed",$P44="Dependency conflict")),$G44+ROW()/100000,"")</x:f>
      </x:c>
      <x:c r="AK44" s="137" t="n">
        <x:f>IF(AG44="","",COUNTIFS($AG$7:$AG$206,"&gt;0",$AG$7:$AG$206,"&lt;"&amp;AG44)+1)</x:f>
        <x:v>32</x:v>
      </x:c>
      <x:c r="AL44" s="137" t="str">
        <x:f>IF(AH44="","",COUNTIFS($AH$7:$AH$206,"&gt;0",$AH$7:$AH$206,"&lt;"&amp;AH44)+1)</x:f>
      </x:c>
      <x:c r="AM44" s="137" t="str">
        <x:f>IF(AI44="","",COUNTIFS($AI$7:$AI$206,"&gt;0",$AI$7:$AI$206,"&lt;"&amp;AI44)+1)</x:f>
      </x:c>
      <x:c r="AN44" s="137" t="str">
        <x:f>IF(AJ44="","",COUNTIFS($AJ$7:$AJ$206,"&gt;0",$AJ$7:$AJ$206,"&lt;"&amp;AJ44)+1)</x:f>
      </x:c>
    </x:row>
    <x:row r="45" ht="38" customHeight="1">
      <x:c r="A45" s="52" t="str">
        <x:v>T33</x:v>
      </x:c>
      <x:c r="B45" s="54" t="str">
        <x:v>M7 · Closed-Loop Telemetry Optimization &amp; Final Project Closeout</x:v>
      </x:c>
      <x:c r="C45" s="54" t="str">
        <x:v>Validate end-to-end W3C PROV audit lineage, state integrity &amp; logs</x:v>
      </x:c>
      <x:c r="D45" s="54" t="str">
        <x:v>Complete execution and telemetry logs must be sealed in W3C PROV audit registry.</x:v>
      </x:c>
      <x:c r="E45" s="54" t="str">
        <x:v>[INFERRED] Verified end-to-end W3C PROV audit lineage and state integrity</x:v>
      </x:c>
      <x:c r="F45" s="56" t="n">
        <x:v>46308</x:v>
      </x:c>
      <x:c r="G45" s="56" t="n">
        <x:v>46309</x:v>
      </x:c>
      <x:c r="H45" s="60" t="n">
        <x:f>IF(OR(F45="",G45=""),"",G45-F45+1)</x:f>
        <x:v>2</x:v>
      </x:c>
      <x:c r="I45" s="54" t="str">
        <x:v>T30, T31</x:v>
      </x:c>
      <x:c r="J45" s="54" t="str">
        <x:v>FS</x:v>
      </x:c>
      <x:c r="K45" s="54" t="str">
        <x:v>No</x:v>
      </x:c>
      <x:c r="L45" s="54" t="str">
        <x:v>W3C PROV Immutable Ledger</x:v>
      </x:c>
      <x:c r="M45" s="54" t="str"/>
      <x:c r="N45" s="54" t="str">
        <x:f>IF(O45=0,"Not Started",IF(O45=1,"Completed","In Progress"))</x:f>
        <x:v>Not Started</x:v>
      </x:c>
      <x:c r="O45" s="58" t="n">
        <x:v>0</x:v>
      </x:c>
      <x:c r="P45" s="62" t="str">
        <x:f>IF(A45="","",IF(COUNTIF(TasksTable[Task ID],A45)&gt;1,"Duplicate Task ID",IF(OR(F45="",G45=""),"Missing dates",IF(G45&lt;F45,"Invalid dates",IF(OR(F45&lt;$B$2,G45&gt;$D$2),"Outside window",IF(AA45=0,IF(N45="Delayed","Delayed",IF(N45="On Hold","On Hold","On Track")),IF(J45="","Missing dependency type",IF(AC45,"Dependency cycle",IF(AB45&lt;&gt;AA45,"Invalid predecessor",IF(AF45,"Dependency conflict",IF(N45="Delayed","Delayed",IF(N45="On Hold","On Hold","On Track"))))))))))))</x:f>
        <x:v>On Track</x:v>
      </x:c>
      <x:c r="Q45" s="54" t="str"/>
      <x:c r="T45" s="137" t="str">
        <x:f>IF($A45="","",TRIM(MID(SUBSTITUTE(SUBSTITUTE(TRIM($I45)," ",""),",",REPT(" ",100)),1,100)))</x:f>
        <x:v>T30</x:v>
      </x:c>
      <x:c r="U45" s="137" t="str">
        <x:f>IF($A45="","",TRIM(MID(SUBSTITUTE(SUBSTITUTE(TRIM($I45)," ",""),",",REPT(" ",100)),101,100)))</x:f>
        <x:v>T31</x:v>
      </x:c>
      <x:c r="V45" s="137" t="str">
        <x:f>IF($A45="","",TRIM(MID(SUBSTITUTE(SUBSTITUTE(TRIM($I45)," ",""),",",REPT(" ",100)),201,100)))</x:f>
      </x:c>
      <x:c r="W45" s="137" t="str">
        <x:f>IF($A45="","",TRIM(MID(SUBSTITUTE(SUBSTITUTE(TRIM($I45)," ",""),",",REPT(" ",100)),301,100)))</x:f>
      </x:c>
      <x:c r="X45" s="137" t="str">
        <x:f>IF($A45="","",TRIM(MID(SUBSTITUTE(SUBSTITUTE(TRIM($I45)," ",""),",",REPT(" ",100)),401,100)))</x:f>
      </x:c>
      <x:c r="Y45" s="137" t="str">
        <x:f>IF($A45="","",TRIM(MID(SUBSTITUTE(SUBSTITUTE(TRIM($I45)," ",""),",",REPT(" ",100)),501,100)))</x:f>
      </x:c>
      <x:c r="Z45" s="137" t="str">
        <x:f>IF($A45="","",TRIM(MID(SUBSTITUTE(SUBSTITUTE(TRIM($I45)," ",""),",",REPT(" ",100)),601,100)))</x:f>
      </x:c>
      <x:c r="AA45" s="137" t="n">
        <x:f>IF($A45="","",IF(SUBSTITUTE(TRIM($I45)," ","")="",0,1+LEN(SUBSTITUTE(TRIM($I45)," ",""))-LEN(SUBSTITUTE(SUBSTITUTE(TRIM($I45)," ",""),",",""))))</x:f>
        <x:v>2</x:v>
      </x:c>
      <x:c r="AB45" s="137" t="n">
        <x:f>IF($A45="","",COUNTIF(TasksTable[Task ID],T45)+COUNTIF(TasksTable[Task ID],U45)+COUNTIF(TasksTable[Task ID],V45)+COUNTIF(TasksTable[Task ID],W45)+COUNTIF(TasksTable[Task ID],X45)+COUNTIF(TasksTable[Task ID],Y45)+COUNTIF(TasksTable[Task ID],Z45))</x:f>
        <x:v>2</x:v>
      </x:c>
      <x:c r="AC45" s="137" t="b">
        <x:f>IF($A45="",FALSE,OR(T45=$A45,U45=$A45,V45=$A45,W45=$A45,X45=$A45,Y45=$A45,Z45=$A45))</x:f>
        <x:v>0</x:v>
      </x:c>
      <x:c r="AD45" s="144" t="n">
        <x:f>IF(AA45=0,0,MAX(IFERROR(INDEX(TasksTable[Start Date],MATCH(T45,TasksTable[Task ID],0)),0),IFERROR(INDEX(TasksTable[Start Date],MATCH(U45,TasksTable[Task ID],0)),0),IFERROR(INDEX(TasksTable[Start Date],MATCH(V45,TasksTable[Task ID],0)),0),IFERROR(INDEX(TasksTable[Start Date],MATCH(W45,TasksTable[Task ID],0)),0),IFERROR(INDEX(TasksTable[Start Date],MATCH(X45,TasksTable[Task ID],0)),0),IFERROR(INDEX(TasksTable[Start Date],MATCH(Y45,TasksTable[Task ID],0)),0),IFERROR(INDEX(TasksTable[Start Date],MATCH(Z45,TasksTable[Task ID],0)),0)))</x:f>
        <x:v>46306</x:v>
      </x:c>
      <x:c r="AE45" s="144" t="n">
        <x:f>IF(AA45=0,0,MAX(IFERROR(INDEX(TasksTable[End Date],MATCH(T45,TasksTable[Task ID],0)),0),IFERROR(INDEX(TasksTable[End Date],MATCH(U45,TasksTable[Task ID],0)),0),IFERROR(INDEX(TasksTable[End Date],MATCH(V45,TasksTable[Task ID],0)),0),IFERROR(INDEX(TasksTable[End Date],MATCH(W45,TasksTable[Task ID],0)),0),IFERROR(INDEX(TasksTable[End Date],MATCH(X45,TasksTable[Task ID],0)),0),IFERROR(INDEX(TasksTable[End Date],MATCH(Y45,TasksTable[Task ID],0)),0),IFERROR(INDEX(TasksTable[End Date],MATCH(Z45,TasksTable[Task ID],0)),0)))</x:f>
        <x:v>46308</x:v>
      </x:c>
      <x:c r="AF45" s="137" t="b">
        <x:f>IF(OR($A45="",AA45=0),FALSE,SWITCH($J45,"FS",$F45&lt;AE45,"SS",$F45&lt;AD45,"FF",$G45&lt;AE45,"SF",$G45&lt;AD45,TRUE))</x:f>
        <x:v>0</x:v>
      </x:c>
      <x:c r="AG45" s="137" t="n">
        <x:f>IF(AND($A45&lt;&gt;"",$K45="No",$N45&lt;&gt;"Completed",$F45&gt;=TODAY()),$F45+ROW()/100000,"")</x:f>
        <x:v>46308.00045</x:v>
      </x:c>
      <x:c r="AH45" s="137" t="str">
        <x:f>IF(AND($A45&lt;&gt;"",$K45="Yes",$N45&lt;&gt;"Completed",$F45&gt;=TODAY()),$F45+ROW()/100000,"")</x:f>
      </x:c>
      <x:c r="AI45" s="137" t="str">
        <x:f>IF(AND($A45&lt;&gt;"",$K45="No",$N45&lt;&gt;"Completed",$G45&gt;=TODAY(),$G45&lt;=TODAY()+3),$G45+ROW()/100000,"")</x:f>
      </x:c>
      <x:c r="AJ45" s="137" t="str">
        <x:f>IF(AND($A45&lt;&gt;"",$K45="No",OR($N45="Delayed",$P45="Dependency conflict")),$G45+ROW()/100000,"")</x:f>
      </x:c>
      <x:c r="AK45" s="137" t="n">
        <x:f>IF(AG45="","",COUNTIFS($AG$7:$AG$206,"&gt;0",$AG$7:$AG$206,"&lt;"&amp;AG45)+1)</x:f>
        <x:v>33</x:v>
      </x:c>
      <x:c r="AL45" s="137" t="str">
        <x:f>IF(AH45="","",COUNTIFS($AH$7:$AH$206,"&gt;0",$AH$7:$AH$206,"&lt;"&amp;AH45)+1)</x:f>
      </x:c>
      <x:c r="AM45" s="137" t="str">
        <x:f>IF(AI45="","",COUNTIFS($AI$7:$AI$206,"&gt;0",$AI$7:$AI$206,"&lt;"&amp;AI45)+1)</x:f>
      </x:c>
      <x:c r="AN45" s="137" t="str">
        <x:f>IF(AJ45="","",COUNTIFS($AJ$7:$AJ$206,"&gt;0",$AJ$7:$AJ$206,"&lt;"&amp;AJ45)+1)</x:f>
      </x:c>
    </x:row>
    <x:row r="46" ht="38" customHeight="1">
      <x:c r="A46" s="52" t="str">
        <x:v>T34</x:v>
      </x:c>
      <x:c r="B46" s="54" t="str">
        <x:v>M7 · Closed-Loop Telemetry Optimization &amp; Final Project Closeout</x:v>
      </x:c>
      <x:c r="C46" s="54" t="str">
        <x:v>Perform final project verification against acceptance criteria &amp; close</x:v>
      </x:c>
      <x:c r="D46" s="54" t="str">
        <x:v>Final project acceptance occurs only after closed-loop learning and audit integrity verification.</x:v>
      </x:c>
      <x:c r="E46" s="54" t="str">
        <x:v>[INFERRED] Final acceptance verification and project closeout record</x:v>
      </x:c>
      <x:c r="F46" s="56" t="n">
        <x:v>46309</x:v>
      </x:c>
      <x:c r="G46" s="56" t="n">
        <x:v>46309</x:v>
      </x:c>
      <x:c r="H46" s="60" t="n">
        <x:f>IF(OR(F46="",G46=""),"",G46-F46+1)</x:f>
        <x:v>1</x:v>
      </x:c>
      <x:c r="I46" s="54" t="str">
        <x:v>T32, T33</x:v>
      </x:c>
      <x:c r="J46" s="54" t="str">
        <x:v>FS</x:v>
      </x:c>
      <x:c r="K46" s="54" t="str">
        <x:v>No</x:v>
      </x:c>
      <x:c r="L46" s="54" t="str">
        <x:v>Intelligence Engine &amp; Brand Owner</x:v>
      </x:c>
      <x:c r="M46" s="54" t="str"/>
      <x:c r="N46" s="54" t="str">
        <x:f>IF(O46=0,"Not Started",IF(O46=1,"Completed","In Progress"))</x:f>
        <x:v>Not Started</x:v>
      </x:c>
      <x:c r="O46" s="58" t="n">
        <x:v>0</x:v>
      </x:c>
      <x:c r="P46" s="62" t="str">
        <x:f>IF(A46="","",IF(COUNTIF(TasksTable[Task ID],A46)&gt;1,"Duplicate Task ID",IF(OR(F46="",G46=""),"Missing dates",IF(G46&lt;F46,"Invalid dates",IF(OR(F46&lt;$B$2,G46&gt;$D$2),"Outside window",IF(AA46=0,IF(N46="Delayed","Delayed",IF(N46="On Hold","On Hold","On Track")),IF(J46="","Missing dependency type",IF(AC46,"Dependency cycle",IF(AB46&lt;&gt;AA46,"Invalid predecessor",IF(AF46,"Dependency conflict",IF(N46="Delayed","Delayed",IF(N46="On Hold","On Hold","On Track"))))))))))))</x:f>
        <x:v>On Track</x:v>
      </x:c>
      <x:c r="Q46" s="54" t="str"/>
      <x:c r="T46" s="137" t="str">
        <x:f>IF($A46="","",TRIM(MID(SUBSTITUTE(SUBSTITUTE(TRIM($I46)," ",""),",",REPT(" ",100)),1,100)))</x:f>
        <x:v>T32</x:v>
      </x:c>
      <x:c r="U46" s="137" t="str">
        <x:f>IF($A46="","",TRIM(MID(SUBSTITUTE(SUBSTITUTE(TRIM($I46)," ",""),",",REPT(" ",100)),101,100)))</x:f>
        <x:v>T33</x:v>
      </x:c>
      <x:c r="V46" s="137" t="str">
        <x:f>IF($A46="","",TRIM(MID(SUBSTITUTE(SUBSTITUTE(TRIM($I46)," ",""),",",REPT(" ",100)),201,100)))</x:f>
      </x:c>
      <x:c r="W46" s="137" t="str">
        <x:f>IF($A46="","",TRIM(MID(SUBSTITUTE(SUBSTITUTE(TRIM($I46)," ",""),",",REPT(" ",100)),301,100)))</x:f>
      </x:c>
      <x:c r="X46" s="137" t="str">
        <x:f>IF($A46="","",TRIM(MID(SUBSTITUTE(SUBSTITUTE(TRIM($I46)," ",""),",",REPT(" ",100)),401,100)))</x:f>
      </x:c>
      <x:c r="Y46" s="137" t="str">
        <x:f>IF($A46="","",TRIM(MID(SUBSTITUTE(SUBSTITUTE(TRIM($I46)," ",""),",",REPT(" ",100)),501,100)))</x:f>
      </x:c>
      <x:c r="Z46" s="137" t="str">
        <x:f>IF($A46="","",TRIM(MID(SUBSTITUTE(SUBSTITUTE(TRIM($I46)," ",""),",",REPT(" ",100)),601,100)))</x:f>
      </x:c>
      <x:c r="AA46" s="137" t="n">
        <x:f>IF($A46="","",IF(SUBSTITUTE(TRIM($I46)," ","")="",0,1+LEN(SUBSTITUTE(TRIM($I46)," ",""))-LEN(SUBSTITUTE(SUBSTITUTE(TRIM($I46)," ",""),",",""))))</x:f>
        <x:v>2</x:v>
      </x:c>
      <x:c r="AB46" s="137" t="n">
        <x:f>IF($A46="","",COUNTIF(TasksTable[Task ID],T46)+COUNTIF(TasksTable[Task ID],U46)+COUNTIF(TasksTable[Task ID],V46)+COUNTIF(TasksTable[Task ID],W46)+COUNTIF(TasksTable[Task ID],X46)+COUNTIF(TasksTable[Task ID],Y46)+COUNTIF(TasksTable[Task ID],Z46))</x:f>
        <x:v>2</x:v>
      </x:c>
      <x:c r="AC46" s="137" t="b">
        <x:f>IF($A46="",FALSE,OR(T46=$A46,U46=$A46,V46=$A46,W46=$A46,X46=$A46,Y46=$A46,Z46=$A46))</x:f>
        <x:v>0</x:v>
      </x:c>
      <x:c r="AD46" s="144" t="n">
        <x:f>IF(AA46=0,0,MAX(IFERROR(INDEX(TasksTable[Start Date],MATCH(T46,TasksTable[Task ID],0)),0),IFERROR(INDEX(TasksTable[Start Date],MATCH(U46,TasksTable[Task ID],0)),0),IFERROR(INDEX(TasksTable[Start Date],MATCH(V46,TasksTable[Task ID],0)),0),IFERROR(INDEX(TasksTable[Start Date],MATCH(W46,TasksTable[Task ID],0)),0),IFERROR(INDEX(TasksTable[Start Date],MATCH(X46,TasksTable[Task ID],0)),0),IFERROR(INDEX(TasksTable[Start Date],MATCH(Y46,TasksTable[Task ID],0)),0),IFERROR(INDEX(TasksTable[Start Date],MATCH(Z46,TasksTable[Task ID],0)),0)))</x:f>
        <x:v>46308</x:v>
      </x:c>
      <x:c r="AE46" s="144" t="n">
        <x:f>IF(AA46=0,0,MAX(IFERROR(INDEX(TasksTable[End Date],MATCH(T46,TasksTable[Task ID],0)),0),IFERROR(INDEX(TasksTable[End Date],MATCH(U46,TasksTable[Task ID],0)),0),IFERROR(INDEX(TasksTable[End Date],MATCH(V46,TasksTable[Task ID],0)),0),IFERROR(INDEX(TasksTable[End Date],MATCH(W46,TasksTable[Task ID],0)),0),IFERROR(INDEX(TasksTable[End Date],MATCH(X46,TasksTable[Task ID],0)),0),IFERROR(INDEX(TasksTable[End Date],MATCH(Y46,TasksTable[Task ID],0)),0),IFERROR(INDEX(TasksTable[End Date],MATCH(Z46,TasksTable[Task ID],0)),0)))</x:f>
        <x:v>46309</x:v>
      </x:c>
      <x:c r="AF46" s="137" t="b">
        <x:f>IF(OR($A46="",AA46=0),FALSE,SWITCH($J46,"FS",$F46&lt;AE46,"SS",$F46&lt;AD46,"FF",$G46&lt;AE46,"SF",$G46&lt;AD46,TRUE))</x:f>
        <x:v>0</x:v>
      </x:c>
      <x:c r="AG46" s="137" t="n">
        <x:f>IF(AND($A46&lt;&gt;"",$K46="No",$N46&lt;&gt;"Completed",$F46&gt;=TODAY()),$F46+ROW()/100000,"")</x:f>
        <x:v>46309.00046</x:v>
      </x:c>
      <x:c r="AH46" s="137" t="str">
        <x:f>IF(AND($A46&lt;&gt;"",$K46="Yes",$N46&lt;&gt;"Completed",$F46&gt;=TODAY()),$F46+ROW()/100000,"")</x:f>
      </x:c>
      <x:c r="AI46" s="137" t="str">
        <x:f>IF(AND($A46&lt;&gt;"",$K46="No",$N46&lt;&gt;"Completed",$G46&gt;=TODAY(),$G46&lt;=TODAY()+3),$G46+ROW()/100000,"")</x:f>
      </x:c>
      <x:c r="AJ46" s="137" t="str">
        <x:f>IF(AND($A46&lt;&gt;"",$K46="No",OR($N46="Delayed",$P46="Dependency conflict")),$G46+ROW()/100000,"")</x:f>
      </x:c>
      <x:c r="AK46" s="137" t="n">
        <x:f>IF(AG46="","",COUNTIFS($AG$7:$AG$206,"&gt;0",$AG$7:$AG$206,"&lt;"&amp;AG46)+1)</x:f>
        <x:v>34</x:v>
      </x:c>
      <x:c r="AL46" s="137" t="str">
        <x:f>IF(AH46="","",COUNTIFS($AH$7:$AH$206,"&gt;0",$AH$7:$AH$206,"&lt;"&amp;AH46)+1)</x:f>
      </x:c>
      <x:c r="AM46" s="137" t="str">
        <x:f>IF(AI46="","",COUNTIFS($AI$7:$AI$206,"&gt;0",$AI$7:$AI$206,"&lt;"&amp;AI46)+1)</x:f>
      </x:c>
      <x:c r="AN46" s="137" t="str">
        <x:f>IF(AJ46="","",COUNTIFS($AJ$7:$AJ$206,"&gt;0",$AJ$7:$AJ$206,"&lt;"&amp;AJ46)+1)</x:f>
      </x:c>
    </x:row>
    <x:row r="47" ht="46" customHeight="1">
      <x:c r="A47" s="156" t="str">
        <x:v>M7</x:v>
      </x:c>
      <x:c r="B47" s="157" t="str">
        <x:v>M7 · Closed-Loop Telemetry Optimization &amp; Final Project Closeout</x:v>
      </x:c>
      <x:c r="C47" s="157" t="str">
        <x:v>Closed-Loop Telemetry Optimization &amp; Final Project Closeout</x:v>
      </x:c>
      <x:c r="D47" s="157" t="str">
        <x:v>Explicit checkpoint linked to T30, T31, T32, T33, T34.</x:v>
      </x:c>
      <x:c r="E47" s="157" t="str">
        <x:v>Closed-Loop Telemetry Optimization &amp; Final Project Closeout</x:v>
      </x:c>
      <x:c r="F47" s="158" t="n">
        <x:v>46309</x:v>
      </x:c>
      <x:c r="G47" s="158" t="n">
        <x:v>46309</x:v>
      </x:c>
      <x:c r="H47" s="159" t="n">
        <x:f>IF(OR(F47="",G47=""),"",G47-F47+1)</x:f>
        <x:v>1</x:v>
      </x:c>
      <x:c r="I47" s="157" t="str">
        <x:v>T30, T31, T32, T33, T34</x:v>
      </x:c>
      <x:c r="J47" s="157" t="str">
        <x:v>FS</x:v>
      </x:c>
      <x:c r="K47" s="157" t="str">
        <x:v>Yes</x:v>
      </x:c>
      <x:c r="L47" s="157" t="str">
        <x:v>Unassigned</x:v>
      </x:c>
      <x:c r="M47" s="157" t="str"/>
      <x:c r="N47" s="157" t="str">
        <x:f>IF(O47=0,"Not Started",IF(O47=1,"Completed","In Progress"))</x:f>
        <x:v>Not Started</x:v>
      </x:c>
      <x:c r="O47" s="160" t="n">
        <x:v>0</x:v>
      </x:c>
      <x:c r="P47" s="157" t="str">
        <x:f>IF(A47="","",IF(COUNTIF(TasksTable[Task ID],A47)&gt;1,"Duplicate Task ID",IF(OR(F47="",G47=""),"Missing dates",IF(G47&lt;F47,"Invalid dates",IF(OR(F47&lt;$B$2,G47&gt;$D$2),"Outside window",IF(AA47=0,IF(N47="Delayed","Delayed",IF(N47="On Hold","On Hold","On Track")),IF(J47="","Missing dependency type",IF(AC47,"Dependency cycle",IF(AB47&lt;&gt;AA47,"Invalid predecessor",IF(AF47,"Dependency conflict",IF(N47="Delayed","Delayed",IF(N47="On Hold","On Hold","On Track"))))))))))))</x:f>
        <x:v>On Track</x:v>
      </x:c>
      <x:c r="Q47" s="157" t="str">
        <x:v>[INFERRED] Milestone linkage is represented as FS predecessors from the source-listed linked tasks; source milestone status was inferred and is reset to 0%/Not Started per workbook requirement.</x:v>
      </x:c>
      <x:c r="T47" s="137" t="str">
        <x:f>IF($A47="","",TRIM(MID(SUBSTITUTE(SUBSTITUTE(TRIM($I47)," ",""),",",REPT(" ",100)),1,100)))</x:f>
        <x:v>T30</x:v>
      </x:c>
      <x:c r="U47" s="137" t="str">
        <x:f>IF($A47="","",TRIM(MID(SUBSTITUTE(SUBSTITUTE(TRIM($I47)," ",""),",",REPT(" ",100)),101,100)))</x:f>
        <x:v>T31</x:v>
      </x:c>
      <x:c r="V47" s="137" t="str">
        <x:f>IF($A47="","",TRIM(MID(SUBSTITUTE(SUBSTITUTE(TRIM($I47)," ",""),",",REPT(" ",100)),201,100)))</x:f>
        <x:v>T32</x:v>
      </x:c>
      <x:c r="W47" s="137" t="str">
        <x:f>IF($A47="","",TRIM(MID(SUBSTITUTE(SUBSTITUTE(TRIM($I47)," ",""),",",REPT(" ",100)),301,100)))</x:f>
        <x:v>T33</x:v>
      </x:c>
      <x:c r="X47" s="137" t="str">
        <x:f>IF($A47="","",TRIM(MID(SUBSTITUTE(SUBSTITUTE(TRIM($I47)," ",""),",",REPT(" ",100)),401,100)))</x:f>
        <x:v>T34</x:v>
      </x:c>
      <x:c r="Y47" s="137" t="str">
        <x:f>IF($A47="","",TRIM(MID(SUBSTITUTE(SUBSTITUTE(TRIM($I47)," ",""),",",REPT(" ",100)),501,100)))</x:f>
      </x:c>
      <x:c r="Z47" s="137" t="str">
        <x:f>IF($A47="","",TRIM(MID(SUBSTITUTE(SUBSTITUTE(TRIM($I47)," ",""),",",REPT(" ",100)),601,100)))</x:f>
      </x:c>
      <x:c r="AA47" s="137" t="n">
        <x:f>IF($A47="","",IF(SUBSTITUTE(TRIM($I47)," ","")="",0,1+LEN(SUBSTITUTE(TRIM($I47)," ",""))-LEN(SUBSTITUTE(SUBSTITUTE(TRIM($I47)," ",""),",",""))))</x:f>
        <x:v>5</x:v>
      </x:c>
      <x:c r="AB47" s="137" t="n">
        <x:f>IF($A47="","",COUNTIF(TasksTable[Task ID],T47)+COUNTIF(TasksTable[Task ID],U47)+COUNTIF(TasksTable[Task ID],V47)+COUNTIF(TasksTable[Task ID],W47)+COUNTIF(TasksTable[Task ID],X47)+COUNTIF(TasksTable[Task ID],Y47)+COUNTIF(TasksTable[Task ID],Z47))</x:f>
        <x:v>5</x:v>
      </x:c>
      <x:c r="AC47" s="137" t="b">
        <x:f>IF($A47="",FALSE,OR(T47=$A47,U47=$A47,V47=$A47,W47=$A47,X47=$A47,Y47=$A47,Z47=$A47))</x:f>
        <x:v>0</x:v>
      </x:c>
      <x:c r="AD47" s="144" t="n">
        <x:f>IF(AA47=0,0,MAX(IFERROR(INDEX(TasksTable[Start Date],MATCH(T47,TasksTable[Task ID],0)),0),IFERROR(INDEX(TasksTable[Start Date],MATCH(U47,TasksTable[Task ID],0)),0),IFERROR(INDEX(TasksTable[Start Date],MATCH(V47,TasksTable[Task ID],0)),0),IFERROR(INDEX(TasksTable[Start Date],MATCH(W47,TasksTable[Task ID],0)),0),IFERROR(INDEX(TasksTable[Start Date],MATCH(X47,TasksTable[Task ID],0)),0),IFERROR(INDEX(TasksTable[Start Date],MATCH(Y47,TasksTable[Task ID],0)),0),IFERROR(INDEX(TasksTable[Start Date],MATCH(Z47,TasksTable[Task ID],0)),0)))</x:f>
        <x:v>46309</x:v>
      </x:c>
      <x:c r="AE47" s="144" t="n">
        <x:f>IF(AA47=0,0,MAX(IFERROR(INDEX(TasksTable[End Date],MATCH(T47,TasksTable[Task ID],0)),0),IFERROR(INDEX(TasksTable[End Date],MATCH(U47,TasksTable[Task ID],0)),0),IFERROR(INDEX(TasksTable[End Date],MATCH(V47,TasksTable[Task ID],0)),0),IFERROR(INDEX(TasksTable[End Date],MATCH(W47,TasksTable[Task ID],0)),0),IFERROR(INDEX(TasksTable[End Date],MATCH(X47,TasksTable[Task ID],0)),0),IFERROR(INDEX(TasksTable[End Date],MATCH(Y47,TasksTable[Task ID],0)),0),IFERROR(INDEX(TasksTable[End Date],MATCH(Z47,TasksTable[Task ID],0)),0)))</x:f>
        <x:v>46309</x:v>
      </x:c>
      <x:c r="AF47" s="137" t="b">
        <x:f>IF(OR($A47="",AA47=0),FALSE,SWITCH($J47,"FS",$F47&lt;AE47,"SS",$F47&lt;AD47,"FF",$G47&lt;AE47,"SF",$G47&lt;AD47,TRUE))</x:f>
        <x:v>0</x:v>
      </x:c>
      <x:c r="AG47" s="137" t="str">
        <x:f>IF(AND($A47&lt;&gt;"",$K47="No",$N47&lt;&gt;"Completed",$F47&gt;=TODAY()),$F47+ROW()/100000,"")</x:f>
      </x:c>
      <x:c r="AH47" s="137" t="n">
        <x:f>IF(AND($A47&lt;&gt;"",$K47="Yes",$N47&lt;&gt;"Completed",$F47&gt;=TODAY()),$F47+ROW()/100000,"")</x:f>
        <x:v>46309.00047</x:v>
      </x:c>
      <x:c r="AI47" s="137" t="str">
        <x:f>IF(AND($A47&lt;&gt;"",$K47="No",$N47&lt;&gt;"Completed",$G47&gt;=TODAY(),$G47&lt;=TODAY()+3),$G47+ROW()/100000,"")</x:f>
      </x:c>
      <x:c r="AJ47" s="137" t="str">
        <x:f>IF(AND($A47&lt;&gt;"",$K47="No",OR($N47="Delayed",$P47="Dependency conflict")),$G47+ROW()/100000,"")</x:f>
      </x:c>
      <x:c r="AK47" s="137" t="str">
        <x:f>IF(AG47="","",COUNTIFS($AG$7:$AG$206,"&gt;0",$AG$7:$AG$206,"&lt;"&amp;AG47)+1)</x:f>
      </x:c>
      <x:c r="AL47" s="137" t="n">
        <x:f>IF(AH47="","",COUNTIFS($AH$7:$AH$206,"&gt;0",$AH$7:$AH$206,"&lt;"&amp;AH47)+1)</x:f>
        <x:v>7</x:v>
      </x:c>
      <x:c r="AM47" s="137" t="str">
        <x:f>IF(AI47="","",COUNTIFS($AI$7:$AI$206,"&gt;0",$AI$7:$AI$206,"&lt;"&amp;AI47)+1)</x:f>
      </x:c>
      <x:c r="AN47" s="137" t="str">
        <x:f>IF(AJ47="","",COUNTIFS($AJ$7:$AJ$206,"&gt;0",$AJ$7:$AJ$206,"&lt;"&amp;AJ47)+1)</x:f>
      </x:c>
    </x:row>
    <x:row r="48">
      <x:c r="T48" s="137" t="str">
        <x:f>IF($A48="","",TRIM(MID(SUBSTITUTE(SUBSTITUTE(TRIM($I48)," ",""),",",REPT(" ",100)),1,100)))</x:f>
      </x:c>
      <x:c r="U48" s="137" t="str">
        <x:f>IF($A48="","",TRIM(MID(SUBSTITUTE(SUBSTITUTE(TRIM($I48)," ",""),",",REPT(" ",100)),101,100)))</x:f>
      </x:c>
      <x:c r="V48" s="137" t="str">
        <x:f>IF($A48="","",TRIM(MID(SUBSTITUTE(SUBSTITUTE(TRIM($I48)," ",""),",",REPT(" ",100)),201,100)))</x:f>
      </x:c>
      <x:c r="W48" s="137" t="str">
        <x:f>IF($A48="","",TRIM(MID(SUBSTITUTE(SUBSTITUTE(TRIM($I48)," ",""),",",REPT(" ",100)),301,100)))</x:f>
      </x:c>
      <x:c r="X48" s="137" t="str">
        <x:f>IF($A48="","",TRIM(MID(SUBSTITUTE(SUBSTITUTE(TRIM($I48)," ",""),",",REPT(" ",100)),401,100)))</x:f>
      </x:c>
      <x:c r="Y48" s="137" t="str">
        <x:f>IF($A48="","",TRIM(MID(SUBSTITUTE(SUBSTITUTE(TRIM($I48)," ",""),",",REPT(" ",100)),501,100)))</x:f>
      </x:c>
      <x:c r="Z48" s="137" t="str">
        <x:f>IF($A48="","",TRIM(MID(SUBSTITUTE(SUBSTITUTE(TRIM($I48)," ",""),",",REPT(" ",100)),601,100)))</x:f>
      </x:c>
      <x:c r="AA48" s="137" t="str">
        <x:f>IF($A48="","",IF(SUBSTITUTE(TRIM($I48)," ","")="",0,1+LEN(SUBSTITUTE(TRIM($I48)," ",""))-LEN(SUBSTITUTE(SUBSTITUTE(TRIM($I48)," ",""),",",""))))</x:f>
      </x:c>
      <x:c r="AB48" s="137" t="str">
        <x:f>IF($A48="","",COUNTIF(TasksTable[Task ID],T48)+COUNTIF(TasksTable[Task ID],U48)+COUNTIF(TasksTable[Task ID],V48)+COUNTIF(TasksTable[Task ID],W48)+COUNTIF(TasksTable[Task ID],X48)+COUNTIF(TasksTable[Task ID],Y48)+COUNTIF(TasksTable[Task ID],Z48))</x:f>
      </x:c>
      <x:c r="AC48" s="137" t="b">
        <x:f>IF($A48="",FALSE,OR(T48=$A48,U48=$A48,V48=$A48,W48=$A48,X48=$A48,Y48=$A48,Z48=$A48))</x:f>
        <x:v>0</x:v>
      </x:c>
      <x:c r="AD48" s="144" t="n">
        <x:f>IF(AA48=0,0,MAX(IFERROR(INDEX(TasksTable[Start Date],MATCH(T48,TasksTable[Task ID],0)),0),IFERROR(INDEX(TasksTable[Start Date],MATCH(U48,TasksTable[Task ID],0)),0),IFERROR(INDEX(TasksTable[Start Date],MATCH(V48,TasksTable[Task ID],0)),0),IFERROR(INDEX(TasksTable[Start Date],MATCH(W48,TasksTable[Task ID],0)),0),IFERROR(INDEX(TasksTable[Start Date],MATCH(X48,TasksTable[Task ID],0)),0),IFERROR(INDEX(TasksTable[Start Date],MATCH(Y48,TasksTable[Task ID],0)),0),IFERROR(INDEX(TasksTable[Start Date],MATCH(Z48,TasksTable[Task ID],0)),0)))</x:f>
        <x:v>0</x:v>
      </x:c>
      <x:c r="AE48" s="144" t="n">
        <x:f>IF(AA48=0,0,MAX(IFERROR(INDEX(TasksTable[End Date],MATCH(T48,TasksTable[Task ID],0)),0),IFERROR(INDEX(TasksTable[End Date],MATCH(U48,TasksTable[Task ID],0)),0),IFERROR(INDEX(TasksTable[End Date],MATCH(V48,TasksTable[Task ID],0)),0),IFERROR(INDEX(TasksTable[End Date],MATCH(W48,TasksTable[Task ID],0)),0),IFERROR(INDEX(TasksTable[End Date],MATCH(X48,TasksTable[Task ID],0)),0),IFERROR(INDEX(TasksTable[End Date],MATCH(Y48,TasksTable[Task ID],0)),0),IFERROR(INDEX(TasksTable[End Date],MATCH(Z48,TasksTable[Task ID],0)),0)))</x:f>
        <x:v>0</x:v>
      </x:c>
      <x:c r="AF48" s="137" t="b">
        <x:f>IF(OR($A48="",AA48=0),FALSE,SWITCH($J48,"FS",$F48&lt;AE48,"SS",$F48&lt;AD48,"FF",$G48&lt;AE48,"SF",$G48&lt;AD48,TRUE))</x:f>
        <x:v>0</x:v>
      </x:c>
      <x:c r="AG48" s="137" t="str">
        <x:f>IF(AND($A48&lt;&gt;"",$K48="No",$N48&lt;&gt;"Completed",$F48&gt;=TODAY()),$F48+ROW()/100000,"")</x:f>
      </x:c>
      <x:c r="AH48" s="137" t="str">
        <x:f>IF(AND($A48&lt;&gt;"",$K48="Yes",$N48&lt;&gt;"Completed",$F48&gt;=TODAY()),$F48+ROW()/100000,"")</x:f>
      </x:c>
      <x:c r="AI48" s="137" t="str">
        <x:f>IF(AND($A48&lt;&gt;"",$K48="No",$N48&lt;&gt;"Completed",$G48&gt;=TODAY(),$G48&lt;=TODAY()+3),$G48+ROW()/100000,"")</x:f>
      </x:c>
      <x:c r="AJ48" s="137" t="str">
        <x:f>IF(AND($A48&lt;&gt;"",$K48="No",OR($N48="Delayed",$P48="Dependency conflict")),$G48+ROW()/100000,"")</x:f>
      </x:c>
      <x:c r="AK48" s="137" t="str">
        <x:f>IF(AG48="","",COUNTIFS($AG$7:$AG$206,"&gt;0",$AG$7:$AG$206,"&lt;"&amp;AG48)+1)</x:f>
      </x:c>
      <x:c r="AL48" s="137" t="str">
        <x:f>IF(AH48="","",COUNTIFS($AH$7:$AH$206,"&gt;0",$AH$7:$AH$206,"&lt;"&amp;AH48)+1)</x:f>
      </x:c>
      <x:c r="AM48" s="137" t="str">
        <x:f>IF(AI48="","",COUNTIFS($AI$7:$AI$206,"&gt;0",$AI$7:$AI$206,"&lt;"&amp;AI48)+1)</x:f>
      </x:c>
      <x:c r="AN48" s="137" t="str">
        <x:f>IF(AJ48="","",COUNTIFS($AJ$7:$AJ$206,"&gt;0",$AJ$7:$AJ$206,"&lt;"&amp;AJ48)+1)</x:f>
      </x:c>
    </x:row>
    <x:row r="49">
      <x:c r="T49" s="137" t="str">
        <x:f>IF($A49="","",TRIM(MID(SUBSTITUTE(SUBSTITUTE(TRIM($I49)," ",""),",",REPT(" ",100)),1,100)))</x:f>
      </x:c>
      <x:c r="U49" s="137" t="str">
        <x:f>IF($A49="","",TRIM(MID(SUBSTITUTE(SUBSTITUTE(TRIM($I49)," ",""),",",REPT(" ",100)),101,100)))</x:f>
      </x:c>
      <x:c r="V49" s="137" t="str">
        <x:f>IF($A49="","",TRIM(MID(SUBSTITUTE(SUBSTITUTE(TRIM($I49)," ",""),",",REPT(" ",100)),201,100)))</x:f>
      </x:c>
      <x:c r="W49" s="137" t="str">
        <x:f>IF($A49="","",TRIM(MID(SUBSTITUTE(SUBSTITUTE(TRIM($I49)," ",""),",",REPT(" ",100)),301,100)))</x:f>
      </x:c>
      <x:c r="X49" s="137" t="str">
        <x:f>IF($A49="","",TRIM(MID(SUBSTITUTE(SUBSTITUTE(TRIM($I49)," ",""),",",REPT(" ",100)),401,100)))</x:f>
      </x:c>
      <x:c r="Y49" s="137" t="str">
        <x:f>IF($A49="","",TRIM(MID(SUBSTITUTE(SUBSTITUTE(TRIM($I49)," ",""),",",REPT(" ",100)),501,100)))</x:f>
      </x:c>
      <x:c r="Z49" s="137" t="str">
        <x:f>IF($A49="","",TRIM(MID(SUBSTITUTE(SUBSTITUTE(TRIM($I49)," ",""),",",REPT(" ",100)),601,100)))</x:f>
      </x:c>
      <x:c r="AA49" s="137" t="str">
        <x:f>IF($A49="","",IF(SUBSTITUTE(TRIM($I49)," ","")="",0,1+LEN(SUBSTITUTE(TRIM($I49)," ",""))-LEN(SUBSTITUTE(SUBSTITUTE(TRIM($I49)," ",""),",",""))))</x:f>
      </x:c>
      <x:c r="AB49" s="137" t="str">
        <x:f>IF($A49="","",COUNTIF(TasksTable[Task ID],T49)+COUNTIF(TasksTable[Task ID],U49)+COUNTIF(TasksTable[Task ID],V49)+COUNTIF(TasksTable[Task ID],W49)+COUNTIF(TasksTable[Task ID],X49)+COUNTIF(TasksTable[Task ID],Y49)+COUNTIF(TasksTable[Task ID],Z49))</x:f>
      </x:c>
      <x:c r="AC49" s="137" t="b">
        <x:f>IF($A49="",FALSE,OR(T49=$A49,U49=$A49,V49=$A49,W49=$A49,X49=$A49,Y49=$A49,Z49=$A49))</x:f>
        <x:v>0</x:v>
      </x:c>
      <x:c r="AD49" s="144" t="n">
        <x:f>IF(AA49=0,0,MAX(IFERROR(INDEX(TasksTable[Start Date],MATCH(T49,TasksTable[Task ID],0)),0),IFERROR(INDEX(TasksTable[Start Date],MATCH(U49,TasksTable[Task ID],0)),0),IFERROR(INDEX(TasksTable[Start Date],MATCH(V49,TasksTable[Task ID],0)),0),IFERROR(INDEX(TasksTable[Start Date],MATCH(W49,TasksTable[Task ID],0)),0),IFERROR(INDEX(TasksTable[Start Date],MATCH(X49,TasksTable[Task ID],0)),0),IFERROR(INDEX(TasksTable[Start Date],MATCH(Y49,TasksTable[Task ID],0)),0),IFERROR(INDEX(TasksTable[Start Date],MATCH(Z49,TasksTable[Task ID],0)),0)))</x:f>
        <x:v>0</x:v>
      </x:c>
      <x:c r="AE49" s="144" t="n">
        <x:f>IF(AA49=0,0,MAX(IFERROR(INDEX(TasksTable[End Date],MATCH(T49,TasksTable[Task ID],0)),0),IFERROR(INDEX(TasksTable[End Date],MATCH(U49,TasksTable[Task ID],0)),0),IFERROR(INDEX(TasksTable[End Date],MATCH(V49,TasksTable[Task ID],0)),0),IFERROR(INDEX(TasksTable[End Date],MATCH(W49,TasksTable[Task ID],0)),0),IFERROR(INDEX(TasksTable[End Date],MATCH(X49,TasksTable[Task ID],0)),0),IFERROR(INDEX(TasksTable[End Date],MATCH(Y49,TasksTable[Task ID],0)),0),IFERROR(INDEX(TasksTable[End Date],MATCH(Z49,TasksTable[Task ID],0)),0)))</x:f>
        <x:v>0</x:v>
      </x:c>
      <x:c r="AF49" s="137" t="b">
        <x:f>IF(OR($A49="",AA49=0),FALSE,SWITCH($J49,"FS",$F49&lt;AE49,"SS",$F49&lt;AD49,"FF",$G49&lt;AE49,"SF",$G49&lt;AD49,TRUE))</x:f>
        <x:v>0</x:v>
      </x:c>
      <x:c r="AG49" s="137" t="str">
        <x:f>IF(AND($A49&lt;&gt;"",$K49="No",$N49&lt;&gt;"Completed",$F49&gt;=TODAY()),$F49+ROW()/100000,"")</x:f>
      </x:c>
      <x:c r="AH49" s="137" t="str">
        <x:f>IF(AND($A49&lt;&gt;"",$K49="Yes",$N49&lt;&gt;"Completed",$F49&gt;=TODAY()),$F49+ROW()/100000,"")</x:f>
      </x:c>
      <x:c r="AI49" s="137" t="str">
        <x:f>IF(AND($A49&lt;&gt;"",$K49="No",$N49&lt;&gt;"Completed",$G49&gt;=TODAY(),$G49&lt;=TODAY()+3),$G49+ROW()/100000,"")</x:f>
      </x:c>
      <x:c r="AJ49" s="137" t="str">
        <x:f>IF(AND($A49&lt;&gt;"",$K49="No",OR($N49="Delayed",$P49="Dependency conflict")),$G49+ROW()/100000,"")</x:f>
      </x:c>
      <x:c r="AK49" s="137" t="str">
        <x:f>IF(AG49="","",COUNTIFS($AG$7:$AG$206,"&gt;0",$AG$7:$AG$206,"&lt;"&amp;AG49)+1)</x:f>
      </x:c>
      <x:c r="AL49" s="137" t="str">
        <x:f>IF(AH49="","",COUNTIFS($AH$7:$AH$206,"&gt;0",$AH$7:$AH$206,"&lt;"&amp;AH49)+1)</x:f>
      </x:c>
      <x:c r="AM49" s="137" t="str">
        <x:f>IF(AI49="","",COUNTIFS($AI$7:$AI$206,"&gt;0",$AI$7:$AI$206,"&lt;"&amp;AI49)+1)</x:f>
      </x:c>
      <x:c r="AN49" s="137" t="str">
        <x:f>IF(AJ49="","",COUNTIFS($AJ$7:$AJ$206,"&gt;0",$AJ$7:$AJ$206,"&lt;"&amp;AJ49)+1)</x:f>
      </x:c>
    </x:row>
    <x:row r="50">
      <x:c r="T50" s="137" t="str">
        <x:f>IF($A50="","",TRIM(MID(SUBSTITUTE(SUBSTITUTE(TRIM($I50)," ",""),",",REPT(" ",100)),1,100)))</x:f>
      </x:c>
      <x:c r="U50" s="137" t="str">
        <x:f>IF($A50="","",TRIM(MID(SUBSTITUTE(SUBSTITUTE(TRIM($I50)," ",""),",",REPT(" ",100)),101,100)))</x:f>
      </x:c>
      <x:c r="V50" s="137" t="str">
        <x:f>IF($A50="","",TRIM(MID(SUBSTITUTE(SUBSTITUTE(TRIM($I50)," ",""),",",REPT(" ",100)),201,100)))</x:f>
      </x:c>
      <x:c r="W50" s="137" t="str">
        <x:f>IF($A50="","",TRIM(MID(SUBSTITUTE(SUBSTITUTE(TRIM($I50)," ",""),",",REPT(" ",100)),301,100)))</x:f>
      </x:c>
      <x:c r="X50" s="137" t="str">
        <x:f>IF($A50="","",TRIM(MID(SUBSTITUTE(SUBSTITUTE(TRIM($I50)," ",""),",",REPT(" ",100)),401,100)))</x:f>
      </x:c>
      <x:c r="Y50" s="137" t="str">
        <x:f>IF($A50="","",TRIM(MID(SUBSTITUTE(SUBSTITUTE(TRIM($I50)," ",""),",",REPT(" ",100)),501,100)))</x:f>
      </x:c>
      <x:c r="Z50" s="137" t="str">
        <x:f>IF($A50="","",TRIM(MID(SUBSTITUTE(SUBSTITUTE(TRIM($I50)," ",""),",",REPT(" ",100)),601,100)))</x:f>
      </x:c>
      <x:c r="AA50" s="137" t="str">
        <x:f>IF($A50="","",IF(SUBSTITUTE(TRIM($I50)," ","")="",0,1+LEN(SUBSTITUTE(TRIM($I50)," ",""))-LEN(SUBSTITUTE(SUBSTITUTE(TRIM($I50)," ",""),",",""))))</x:f>
      </x:c>
      <x:c r="AB50" s="137" t="str">
        <x:f>IF($A50="","",COUNTIF(TasksTable[Task ID],T50)+COUNTIF(TasksTable[Task ID],U50)+COUNTIF(TasksTable[Task ID],V50)+COUNTIF(TasksTable[Task ID],W50)+COUNTIF(TasksTable[Task ID],X50)+COUNTIF(TasksTable[Task ID],Y50)+COUNTIF(TasksTable[Task ID],Z50))</x:f>
      </x:c>
      <x:c r="AC50" s="137" t="b">
        <x:f>IF($A50="",FALSE,OR(T50=$A50,U50=$A50,V50=$A50,W50=$A50,X50=$A50,Y50=$A50,Z50=$A50))</x:f>
        <x:v>0</x:v>
      </x:c>
      <x:c r="AD50" s="144" t="n">
        <x:f>IF(AA50=0,0,MAX(IFERROR(INDEX(TasksTable[Start Date],MATCH(T50,TasksTable[Task ID],0)),0),IFERROR(INDEX(TasksTable[Start Date],MATCH(U50,TasksTable[Task ID],0)),0),IFERROR(INDEX(TasksTable[Start Date],MATCH(V50,TasksTable[Task ID],0)),0),IFERROR(INDEX(TasksTable[Start Date],MATCH(W50,TasksTable[Task ID],0)),0),IFERROR(INDEX(TasksTable[Start Date],MATCH(X50,TasksTable[Task ID],0)),0),IFERROR(INDEX(TasksTable[Start Date],MATCH(Y50,TasksTable[Task ID],0)),0),IFERROR(INDEX(TasksTable[Start Date],MATCH(Z50,TasksTable[Task ID],0)),0)))</x:f>
        <x:v>0</x:v>
      </x:c>
      <x:c r="AE50" s="144" t="n">
        <x:f>IF(AA50=0,0,MAX(IFERROR(INDEX(TasksTable[End Date],MATCH(T50,TasksTable[Task ID],0)),0),IFERROR(INDEX(TasksTable[End Date],MATCH(U50,TasksTable[Task ID],0)),0),IFERROR(INDEX(TasksTable[End Date],MATCH(V50,TasksTable[Task ID],0)),0),IFERROR(INDEX(TasksTable[End Date],MATCH(W50,TasksTable[Task ID],0)),0),IFERROR(INDEX(TasksTable[End Date],MATCH(X50,TasksTable[Task ID],0)),0),IFERROR(INDEX(TasksTable[End Date],MATCH(Y50,TasksTable[Task ID],0)),0),IFERROR(INDEX(TasksTable[End Date],MATCH(Z50,TasksTable[Task ID],0)),0)))</x:f>
        <x:v>0</x:v>
      </x:c>
      <x:c r="AF50" s="137" t="b">
        <x:f>IF(OR($A50="",AA50=0),FALSE,SWITCH($J50,"FS",$F50&lt;AE50,"SS",$F50&lt;AD50,"FF",$G50&lt;AE50,"SF",$G50&lt;AD50,TRUE))</x:f>
        <x:v>0</x:v>
      </x:c>
      <x:c r="AG50" s="137" t="str">
        <x:f>IF(AND($A50&lt;&gt;"",$K50="No",$N50&lt;&gt;"Completed",$F50&gt;=TODAY()),$F50+ROW()/100000,"")</x:f>
      </x:c>
      <x:c r="AH50" s="137" t="str">
        <x:f>IF(AND($A50&lt;&gt;"",$K50="Yes",$N50&lt;&gt;"Completed",$F50&gt;=TODAY()),$F50+ROW()/100000,"")</x:f>
      </x:c>
      <x:c r="AI50" s="137" t="str">
        <x:f>IF(AND($A50&lt;&gt;"",$K50="No",$N50&lt;&gt;"Completed",$G50&gt;=TODAY(),$G50&lt;=TODAY()+3),$G50+ROW()/100000,"")</x:f>
      </x:c>
      <x:c r="AJ50" s="137" t="str">
        <x:f>IF(AND($A50&lt;&gt;"",$K50="No",OR($N50="Delayed",$P50="Dependency conflict")),$G50+ROW()/100000,"")</x:f>
      </x:c>
      <x:c r="AK50" s="137" t="str">
        <x:f>IF(AG50="","",COUNTIFS($AG$7:$AG$206,"&gt;0",$AG$7:$AG$206,"&lt;"&amp;AG50)+1)</x:f>
      </x:c>
      <x:c r="AL50" s="137" t="str">
        <x:f>IF(AH50="","",COUNTIFS($AH$7:$AH$206,"&gt;0",$AH$7:$AH$206,"&lt;"&amp;AH50)+1)</x:f>
      </x:c>
      <x:c r="AM50" s="137" t="str">
        <x:f>IF(AI50="","",COUNTIFS($AI$7:$AI$206,"&gt;0",$AI$7:$AI$206,"&lt;"&amp;AI50)+1)</x:f>
      </x:c>
      <x:c r="AN50" s="137" t="str">
        <x:f>IF(AJ50="","",COUNTIFS($AJ$7:$AJ$206,"&gt;0",$AJ$7:$AJ$206,"&lt;"&amp;AJ50)+1)</x:f>
      </x:c>
    </x:row>
    <x:row r="51">
      <x:c r="T51" s="137" t="str">
        <x:f>IF($A51="","",TRIM(MID(SUBSTITUTE(SUBSTITUTE(TRIM($I51)," ",""),",",REPT(" ",100)),1,100)))</x:f>
      </x:c>
      <x:c r="U51" s="137" t="str">
        <x:f>IF($A51="","",TRIM(MID(SUBSTITUTE(SUBSTITUTE(TRIM($I51)," ",""),",",REPT(" ",100)),101,100)))</x:f>
      </x:c>
      <x:c r="V51" s="137" t="str">
        <x:f>IF($A51="","",TRIM(MID(SUBSTITUTE(SUBSTITUTE(TRIM($I51)," ",""),",",REPT(" ",100)),201,100)))</x:f>
      </x:c>
      <x:c r="W51" s="137" t="str">
        <x:f>IF($A51="","",TRIM(MID(SUBSTITUTE(SUBSTITUTE(TRIM($I51)," ",""),",",REPT(" ",100)),301,100)))</x:f>
      </x:c>
      <x:c r="X51" s="137" t="str">
        <x:f>IF($A51="","",TRIM(MID(SUBSTITUTE(SUBSTITUTE(TRIM($I51)," ",""),",",REPT(" ",100)),401,100)))</x:f>
      </x:c>
      <x:c r="Y51" s="137" t="str">
        <x:f>IF($A51="","",TRIM(MID(SUBSTITUTE(SUBSTITUTE(TRIM($I51)," ",""),",",REPT(" ",100)),501,100)))</x:f>
      </x:c>
      <x:c r="Z51" s="137" t="str">
        <x:f>IF($A51="","",TRIM(MID(SUBSTITUTE(SUBSTITUTE(TRIM($I51)," ",""),",",REPT(" ",100)),601,100)))</x:f>
      </x:c>
      <x:c r="AA51" s="137" t="str">
        <x:f>IF($A51="","",IF(SUBSTITUTE(TRIM($I51)," ","")="",0,1+LEN(SUBSTITUTE(TRIM($I51)," ",""))-LEN(SUBSTITUTE(SUBSTITUTE(TRIM($I51)," ",""),",",""))))</x:f>
      </x:c>
      <x:c r="AB51" s="137" t="str">
        <x:f>IF($A51="","",COUNTIF(TasksTable[Task ID],T51)+COUNTIF(TasksTable[Task ID],U51)+COUNTIF(TasksTable[Task ID],V51)+COUNTIF(TasksTable[Task ID],W51)+COUNTIF(TasksTable[Task ID],X51)+COUNTIF(TasksTable[Task ID],Y51)+COUNTIF(TasksTable[Task ID],Z51))</x:f>
      </x:c>
      <x:c r="AC51" s="137" t="b">
        <x:f>IF($A51="",FALSE,OR(T51=$A51,U51=$A51,V51=$A51,W51=$A51,X51=$A51,Y51=$A51,Z51=$A51))</x:f>
        <x:v>0</x:v>
      </x:c>
      <x:c r="AD51" s="144" t="n">
        <x:f>IF(AA51=0,0,MAX(IFERROR(INDEX(TasksTable[Start Date],MATCH(T51,TasksTable[Task ID],0)),0),IFERROR(INDEX(TasksTable[Start Date],MATCH(U51,TasksTable[Task ID],0)),0),IFERROR(INDEX(TasksTable[Start Date],MATCH(V51,TasksTable[Task ID],0)),0),IFERROR(INDEX(TasksTable[Start Date],MATCH(W51,TasksTable[Task ID],0)),0),IFERROR(INDEX(TasksTable[Start Date],MATCH(X51,TasksTable[Task ID],0)),0),IFERROR(INDEX(TasksTable[Start Date],MATCH(Y51,TasksTable[Task ID],0)),0),IFERROR(INDEX(TasksTable[Start Date],MATCH(Z51,TasksTable[Task ID],0)),0)))</x:f>
        <x:v>0</x:v>
      </x:c>
      <x:c r="AE51" s="144" t="n">
        <x:f>IF(AA51=0,0,MAX(IFERROR(INDEX(TasksTable[End Date],MATCH(T51,TasksTable[Task ID],0)),0),IFERROR(INDEX(TasksTable[End Date],MATCH(U51,TasksTable[Task ID],0)),0),IFERROR(INDEX(TasksTable[End Date],MATCH(V51,TasksTable[Task ID],0)),0),IFERROR(INDEX(TasksTable[End Date],MATCH(W51,TasksTable[Task ID],0)),0),IFERROR(INDEX(TasksTable[End Date],MATCH(X51,TasksTable[Task ID],0)),0),IFERROR(INDEX(TasksTable[End Date],MATCH(Y51,TasksTable[Task ID],0)),0),IFERROR(INDEX(TasksTable[End Date],MATCH(Z51,TasksTable[Task ID],0)),0)))</x:f>
        <x:v>0</x:v>
      </x:c>
      <x:c r="AF51" s="137" t="b">
        <x:f>IF(OR($A51="",AA51=0),FALSE,SWITCH($J51,"FS",$F51&lt;AE51,"SS",$F51&lt;AD51,"FF",$G51&lt;AE51,"SF",$G51&lt;AD51,TRUE))</x:f>
        <x:v>0</x:v>
      </x:c>
      <x:c r="AG51" s="137" t="str">
        <x:f>IF(AND($A51&lt;&gt;"",$K51="No",$N51&lt;&gt;"Completed",$F51&gt;=TODAY()),$F51+ROW()/100000,"")</x:f>
      </x:c>
      <x:c r="AH51" s="137" t="str">
        <x:f>IF(AND($A51&lt;&gt;"",$K51="Yes",$N51&lt;&gt;"Completed",$F51&gt;=TODAY()),$F51+ROW()/100000,"")</x:f>
      </x:c>
      <x:c r="AI51" s="137" t="str">
        <x:f>IF(AND($A51&lt;&gt;"",$K51="No",$N51&lt;&gt;"Completed",$G51&gt;=TODAY(),$G51&lt;=TODAY()+3),$G51+ROW()/100000,"")</x:f>
      </x:c>
      <x:c r="AJ51" s="137" t="str">
        <x:f>IF(AND($A51&lt;&gt;"",$K51="No",OR($N51="Delayed",$P51="Dependency conflict")),$G51+ROW()/100000,"")</x:f>
      </x:c>
      <x:c r="AK51" s="137" t="str">
        <x:f>IF(AG51="","",COUNTIFS($AG$7:$AG$206,"&gt;0",$AG$7:$AG$206,"&lt;"&amp;AG51)+1)</x:f>
      </x:c>
      <x:c r="AL51" s="137" t="str">
        <x:f>IF(AH51="","",COUNTIFS($AH$7:$AH$206,"&gt;0",$AH$7:$AH$206,"&lt;"&amp;AH51)+1)</x:f>
      </x:c>
      <x:c r="AM51" s="137" t="str">
        <x:f>IF(AI51="","",COUNTIFS($AI$7:$AI$206,"&gt;0",$AI$7:$AI$206,"&lt;"&amp;AI51)+1)</x:f>
      </x:c>
      <x:c r="AN51" s="137" t="str">
        <x:f>IF(AJ51="","",COUNTIFS($AJ$7:$AJ$206,"&gt;0",$AJ$7:$AJ$206,"&lt;"&amp;AJ51)+1)</x:f>
      </x:c>
    </x:row>
    <x:row r="52">
      <x:c r="T52" s="137" t="str">
        <x:f>IF($A52="","",TRIM(MID(SUBSTITUTE(SUBSTITUTE(TRIM($I52)," ",""),",",REPT(" ",100)),1,100)))</x:f>
      </x:c>
      <x:c r="U52" s="137" t="str">
        <x:f>IF($A52="","",TRIM(MID(SUBSTITUTE(SUBSTITUTE(TRIM($I52)," ",""),",",REPT(" ",100)),101,100)))</x:f>
      </x:c>
      <x:c r="V52" s="137" t="str">
        <x:f>IF($A52="","",TRIM(MID(SUBSTITUTE(SUBSTITUTE(TRIM($I52)," ",""),",",REPT(" ",100)),201,100)))</x:f>
      </x:c>
      <x:c r="W52" s="137" t="str">
        <x:f>IF($A52="","",TRIM(MID(SUBSTITUTE(SUBSTITUTE(TRIM($I52)," ",""),",",REPT(" ",100)),301,100)))</x:f>
      </x:c>
      <x:c r="X52" s="137" t="str">
        <x:f>IF($A52="","",TRIM(MID(SUBSTITUTE(SUBSTITUTE(TRIM($I52)," ",""),",",REPT(" ",100)),401,100)))</x:f>
      </x:c>
      <x:c r="Y52" s="137" t="str">
        <x:f>IF($A52="","",TRIM(MID(SUBSTITUTE(SUBSTITUTE(TRIM($I52)," ",""),",",REPT(" ",100)),501,100)))</x:f>
      </x:c>
      <x:c r="Z52" s="137" t="str">
        <x:f>IF($A52="","",TRIM(MID(SUBSTITUTE(SUBSTITUTE(TRIM($I52)," ",""),",",REPT(" ",100)),601,100)))</x:f>
      </x:c>
      <x:c r="AA52" s="137" t="str">
        <x:f>IF($A52="","",IF(SUBSTITUTE(TRIM($I52)," ","")="",0,1+LEN(SUBSTITUTE(TRIM($I52)," ",""))-LEN(SUBSTITUTE(SUBSTITUTE(TRIM($I52)," ",""),",",""))))</x:f>
      </x:c>
      <x:c r="AB52" s="137" t="str">
        <x:f>IF($A52="","",COUNTIF(TasksTable[Task ID],T52)+COUNTIF(TasksTable[Task ID],U52)+COUNTIF(TasksTable[Task ID],V52)+COUNTIF(TasksTable[Task ID],W52)+COUNTIF(TasksTable[Task ID],X52)+COUNTIF(TasksTable[Task ID],Y52)+COUNTIF(TasksTable[Task ID],Z52))</x:f>
      </x:c>
      <x:c r="AC52" s="137" t="b">
        <x:f>IF($A52="",FALSE,OR(T52=$A52,U52=$A52,V52=$A52,W52=$A52,X52=$A52,Y52=$A52,Z52=$A52))</x:f>
        <x:v>0</x:v>
      </x:c>
      <x:c r="AD52" s="144" t="n">
        <x:f>IF(AA52=0,0,MAX(IFERROR(INDEX(TasksTable[Start Date],MATCH(T52,TasksTable[Task ID],0)),0),IFERROR(INDEX(TasksTable[Start Date],MATCH(U52,TasksTable[Task ID],0)),0),IFERROR(INDEX(TasksTable[Start Date],MATCH(V52,TasksTable[Task ID],0)),0),IFERROR(INDEX(TasksTable[Start Date],MATCH(W52,TasksTable[Task ID],0)),0),IFERROR(INDEX(TasksTable[Start Date],MATCH(X52,TasksTable[Task ID],0)),0),IFERROR(INDEX(TasksTable[Start Date],MATCH(Y52,TasksTable[Task ID],0)),0),IFERROR(INDEX(TasksTable[Start Date],MATCH(Z52,TasksTable[Task ID],0)),0)))</x:f>
        <x:v>0</x:v>
      </x:c>
      <x:c r="AE52" s="144" t="n">
        <x:f>IF(AA52=0,0,MAX(IFERROR(INDEX(TasksTable[End Date],MATCH(T52,TasksTable[Task ID],0)),0),IFERROR(INDEX(TasksTable[End Date],MATCH(U52,TasksTable[Task ID],0)),0),IFERROR(INDEX(TasksTable[End Date],MATCH(V52,TasksTable[Task ID],0)),0),IFERROR(INDEX(TasksTable[End Date],MATCH(W52,TasksTable[Task ID],0)),0),IFERROR(INDEX(TasksTable[End Date],MATCH(X52,TasksTable[Task ID],0)),0),IFERROR(INDEX(TasksTable[End Date],MATCH(Y52,TasksTable[Task ID],0)),0),IFERROR(INDEX(TasksTable[End Date],MATCH(Z52,TasksTable[Task ID],0)),0)))</x:f>
        <x:v>0</x:v>
      </x:c>
      <x:c r="AF52" s="137" t="b">
        <x:f>IF(OR($A52="",AA52=0),FALSE,SWITCH($J52,"FS",$F52&lt;AE52,"SS",$F52&lt;AD52,"FF",$G52&lt;AE52,"SF",$G52&lt;AD52,TRUE))</x:f>
        <x:v>0</x:v>
      </x:c>
      <x:c r="AG52" s="137" t="str">
        <x:f>IF(AND($A52&lt;&gt;"",$K52="No",$N52&lt;&gt;"Completed",$F52&gt;=TODAY()),$F52+ROW()/100000,"")</x:f>
      </x:c>
      <x:c r="AH52" s="137" t="str">
        <x:f>IF(AND($A52&lt;&gt;"",$K52="Yes",$N52&lt;&gt;"Completed",$F52&gt;=TODAY()),$F52+ROW()/100000,"")</x:f>
      </x:c>
      <x:c r="AI52" s="137" t="str">
        <x:f>IF(AND($A52&lt;&gt;"",$K52="No",$N52&lt;&gt;"Completed",$G52&gt;=TODAY(),$G52&lt;=TODAY()+3),$G52+ROW()/100000,"")</x:f>
      </x:c>
      <x:c r="AJ52" s="137" t="str">
        <x:f>IF(AND($A52&lt;&gt;"",$K52="No",OR($N52="Delayed",$P52="Dependency conflict")),$G52+ROW()/100000,"")</x:f>
      </x:c>
      <x:c r="AK52" s="137" t="str">
        <x:f>IF(AG52="","",COUNTIFS($AG$7:$AG$206,"&gt;0",$AG$7:$AG$206,"&lt;"&amp;AG52)+1)</x:f>
      </x:c>
      <x:c r="AL52" s="137" t="str">
        <x:f>IF(AH52="","",COUNTIFS($AH$7:$AH$206,"&gt;0",$AH$7:$AH$206,"&lt;"&amp;AH52)+1)</x:f>
      </x:c>
      <x:c r="AM52" s="137" t="str">
        <x:f>IF(AI52="","",COUNTIFS($AI$7:$AI$206,"&gt;0",$AI$7:$AI$206,"&lt;"&amp;AI52)+1)</x:f>
      </x:c>
      <x:c r="AN52" s="137" t="str">
        <x:f>IF(AJ52="","",COUNTIFS($AJ$7:$AJ$206,"&gt;0",$AJ$7:$AJ$206,"&lt;"&amp;AJ52)+1)</x:f>
      </x:c>
    </x:row>
    <x:row r="53">
      <x:c r="T53" s="137" t="str">
        <x:f>IF($A53="","",TRIM(MID(SUBSTITUTE(SUBSTITUTE(TRIM($I53)," ",""),",",REPT(" ",100)),1,100)))</x:f>
      </x:c>
      <x:c r="U53" s="137" t="str">
        <x:f>IF($A53="","",TRIM(MID(SUBSTITUTE(SUBSTITUTE(TRIM($I53)," ",""),",",REPT(" ",100)),101,100)))</x:f>
      </x:c>
      <x:c r="V53" s="137" t="str">
        <x:f>IF($A53="","",TRIM(MID(SUBSTITUTE(SUBSTITUTE(TRIM($I53)," ",""),",",REPT(" ",100)),201,100)))</x:f>
      </x:c>
      <x:c r="W53" s="137" t="str">
        <x:f>IF($A53="","",TRIM(MID(SUBSTITUTE(SUBSTITUTE(TRIM($I53)," ",""),",",REPT(" ",100)),301,100)))</x:f>
      </x:c>
      <x:c r="X53" s="137" t="str">
        <x:f>IF($A53="","",TRIM(MID(SUBSTITUTE(SUBSTITUTE(TRIM($I53)," ",""),",",REPT(" ",100)),401,100)))</x:f>
      </x:c>
      <x:c r="Y53" s="137" t="str">
        <x:f>IF($A53="","",TRIM(MID(SUBSTITUTE(SUBSTITUTE(TRIM($I53)," ",""),",",REPT(" ",100)),501,100)))</x:f>
      </x:c>
      <x:c r="Z53" s="137" t="str">
        <x:f>IF($A53="","",TRIM(MID(SUBSTITUTE(SUBSTITUTE(TRIM($I53)," ",""),",",REPT(" ",100)),601,100)))</x:f>
      </x:c>
      <x:c r="AA53" s="137" t="str">
        <x:f>IF($A53="","",IF(SUBSTITUTE(TRIM($I53)," ","")="",0,1+LEN(SUBSTITUTE(TRIM($I53)," ",""))-LEN(SUBSTITUTE(SUBSTITUTE(TRIM($I53)," ",""),",",""))))</x:f>
      </x:c>
      <x:c r="AB53" s="137" t="str">
        <x:f>IF($A53="","",COUNTIF(TasksTable[Task ID],T53)+COUNTIF(TasksTable[Task ID],U53)+COUNTIF(TasksTable[Task ID],V53)+COUNTIF(TasksTable[Task ID],W53)+COUNTIF(TasksTable[Task ID],X53)+COUNTIF(TasksTable[Task ID],Y53)+COUNTIF(TasksTable[Task ID],Z53))</x:f>
      </x:c>
      <x:c r="AC53" s="137" t="b">
        <x:f>IF($A53="",FALSE,OR(T53=$A53,U53=$A53,V53=$A53,W53=$A53,X53=$A53,Y53=$A53,Z53=$A53))</x:f>
        <x:v>0</x:v>
      </x:c>
      <x:c r="AD53" s="144" t="n">
        <x:f>IF(AA53=0,0,MAX(IFERROR(INDEX(TasksTable[Start Date],MATCH(T53,TasksTable[Task ID],0)),0),IFERROR(INDEX(TasksTable[Start Date],MATCH(U53,TasksTable[Task ID],0)),0),IFERROR(INDEX(TasksTable[Start Date],MATCH(V53,TasksTable[Task ID],0)),0),IFERROR(INDEX(TasksTable[Start Date],MATCH(W53,TasksTable[Task ID],0)),0),IFERROR(INDEX(TasksTable[Start Date],MATCH(X53,TasksTable[Task ID],0)),0),IFERROR(INDEX(TasksTable[Start Date],MATCH(Y53,TasksTable[Task ID],0)),0),IFERROR(INDEX(TasksTable[Start Date],MATCH(Z53,TasksTable[Task ID],0)),0)))</x:f>
        <x:v>0</x:v>
      </x:c>
      <x:c r="AE53" s="144" t="n">
        <x:f>IF(AA53=0,0,MAX(IFERROR(INDEX(TasksTable[End Date],MATCH(T53,TasksTable[Task ID],0)),0),IFERROR(INDEX(TasksTable[End Date],MATCH(U53,TasksTable[Task ID],0)),0),IFERROR(INDEX(TasksTable[End Date],MATCH(V53,TasksTable[Task ID],0)),0),IFERROR(INDEX(TasksTable[End Date],MATCH(W53,TasksTable[Task ID],0)),0),IFERROR(INDEX(TasksTable[End Date],MATCH(X53,TasksTable[Task ID],0)),0),IFERROR(INDEX(TasksTable[End Date],MATCH(Y53,TasksTable[Task ID],0)),0),IFERROR(INDEX(TasksTable[End Date],MATCH(Z53,TasksTable[Task ID],0)),0)))</x:f>
        <x:v>0</x:v>
      </x:c>
      <x:c r="AF53" s="137" t="b">
        <x:f>IF(OR($A53="",AA53=0),FALSE,SWITCH($J53,"FS",$F53&lt;AE53,"SS",$F53&lt;AD53,"FF",$G53&lt;AE53,"SF",$G53&lt;AD53,TRUE))</x:f>
        <x:v>0</x:v>
      </x:c>
      <x:c r="AG53" s="137" t="str">
        <x:f>IF(AND($A53&lt;&gt;"",$K53="No",$N53&lt;&gt;"Completed",$F53&gt;=TODAY()),$F53+ROW()/100000,"")</x:f>
      </x:c>
      <x:c r="AH53" s="137" t="str">
        <x:f>IF(AND($A53&lt;&gt;"",$K53="Yes",$N53&lt;&gt;"Completed",$F53&gt;=TODAY()),$F53+ROW()/100000,"")</x:f>
      </x:c>
      <x:c r="AI53" s="137" t="str">
        <x:f>IF(AND($A53&lt;&gt;"",$K53="No",$N53&lt;&gt;"Completed",$G53&gt;=TODAY(),$G53&lt;=TODAY()+3),$G53+ROW()/100000,"")</x:f>
      </x:c>
      <x:c r="AJ53" s="137" t="str">
        <x:f>IF(AND($A53&lt;&gt;"",$K53="No",OR($N53="Delayed",$P53="Dependency conflict")),$G53+ROW()/100000,"")</x:f>
      </x:c>
      <x:c r="AK53" s="137" t="str">
        <x:f>IF(AG53="","",COUNTIFS($AG$7:$AG$206,"&gt;0",$AG$7:$AG$206,"&lt;"&amp;AG53)+1)</x:f>
      </x:c>
      <x:c r="AL53" s="137" t="str">
        <x:f>IF(AH53="","",COUNTIFS($AH$7:$AH$206,"&gt;0",$AH$7:$AH$206,"&lt;"&amp;AH53)+1)</x:f>
      </x:c>
      <x:c r="AM53" s="137" t="str">
        <x:f>IF(AI53="","",COUNTIFS($AI$7:$AI$206,"&gt;0",$AI$7:$AI$206,"&lt;"&amp;AI53)+1)</x:f>
      </x:c>
      <x:c r="AN53" s="137" t="str">
        <x:f>IF(AJ53="","",COUNTIFS($AJ$7:$AJ$206,"&gt;0",$AJ$7:$AJ$206,"&lt;"&amp;AJ53)+1)</x:f>
      </x:c>
    </x:row>
    <x:row r="54">
      <x:c r="T54" s="137" t="str">
        <x:f>IF($A54="","",TRIM(MID(SUBSTITUTE(SUBSTITUTE(TRIM($I54)," ",""),",",REPT(" ",100)),1,100)))</x:f>
      </x:c>
      <x:c r="U54" s="137" t="str">
        <x:f>IF($A54="","",TRIM(MID(SUBSTITUTE(SUBSTITUTE(TRIM($I54)," ",""),",",REPT(" ",100)),101,100)))</x:f>
      </x:c>
      <x:c r="V54" s="137" t="str">
        <x:f>IF($A54="","",TRIM(MID(SUBSTITUTE(SUBSTITUTE(TRIM($I54)," ",""),",",REPT(" ",100)),201,100)))</x:f>
      </x:c>
      <x:c r="W54" s="137" t="str">
        <x:f>IF($A54="","",TRIM(MID(SUBSTITUTE(SUBSTITUTE(TRIM($I54)," ",""),",",REPT(" ",100)),301,100)))</x:f>
      </x:c>
      <x:c r="X54" s="137" t="str">
        <x:f>IF($A54="","",TRIM(MID(SUBSTITUTE(SUBSTITUTE(TRIM($I54)," ",""),",",REPT(" ",100)),401,100)))</x:f>
      </x:c>
      <x:c r="Y54" s="137" t="str">
        <x:f>IF($A54="","",TRIM(MID(SUBSTITUTE(SUBSTITUTE(TRIM($I54)," ",""),",",REPT(" ",100)),501,100)))</x:f>
      </x:c>
      <x:c r="Z54" s="137" t="str">
        <x:f>IF($A54="","",TRIM(MID(SUBSTITUTE(SUBSTITUTE(TRIM($I54)," ",""),",",REPT(" ",100)),601,100)))</x:f>
      </x:c>
      <x:c r="AA54" s="137" t="str">
        <x:f>IF($A54="","",IF(SUBSTITUTE(TRIM($I54)," ","")="",0,1+LEN(SUBSTITUTE(TRIM($I54)," ",""))-LEN(SUBSTITUTE(SUBSTITUTE(TRIM($I54)," ",""),",",""))))</x:f>
      </x:c>
      <x:c r="AB54" s="137" t="str">
        <x:f>IF($A54="","",COUNTIF(TasksTable[Task ID],T54)+COUNTIF(TasksTable[Task ID],U54)+COUNTIF(TasksTable[Task ID],V54)+COUNTIF(TasksTable[Task ID],W54)+COUNTIF(TasksTable[Task ID],X54)+COUNTIF(TasksTable[Task ID],Y54)+COUNTIF(TasksTable[Task ID],Z54))</x:f>
      </x:c>
      <x:c r="AC54" s="137" t="b">
        <x:f>IF($A54="",FALSE,OR(T54=$A54,U54=$A54,V54=$A54,W54=$A54,X54=$A54,Y54=$A54,Z54=$A54))</x:f>
        <x:v>0</x:v>
      </x:c>
      <x:c r="AD54" s="144" t="n">
        <x:f>IF(AA54=0,0,MAX(IFERROR(INDEX(TasksTable[Start Date],MATCH(T54,TasksTable[Task ID],0)),0),IFERROR(INDEX(TasksTable[Start Date],MATCH(U54,TasksTable[Task ID],0)),0),IFERROR(INDEX(TasksTable[Start Date],MATCH(V54,TasksTable[Task ID],0)),0),IFERROR(INDEX(TasksTable[Start Date],MATCH(W54,TasksTable[Task ID],0)),0),IFERROR(INDEX(TasksTable[Start Date],MATCH(X54,TasksTable[Task ID],0)),0),IFERROR(INDEX(TasksTable[Start Date],MATCH(Y54,TasksTable[Task ID],0)),0),IFERROR(INDEX(TasksTable[Start Date],MATCH(Z54,TasksTable[Task ID],0)),0)))</x:f>
        <x:v>0</x:v>
      </x:c>
      <x:c r="AE54" s="144" t="n">
        <x:f>IF(AA54=0,0,MAX(IFERROR(INDEX(TasksTable[End Date],MATCH(T54,TasksTable[Task ID],0)),0),IFERROR(INDEX(TasksTable[End Date],MATCH(U54,TasksTable[Task ID],0)),0),IFERROR(INDEX(TasksTable[End Date],MATCH(V54,TasksTable[Task ID],0)),0),IFERROR(INDEX(TasksTable[End Date],MATCH(W54,TasksTable[Task ID],0)),0),IFERROR(INDEX(TasksTable[End Date],MATCH(X54,TasksTable[Task ID],0)),0),IFERROR(INDEX(TasksTable[End Date],MATCH(Y54,TasksTable[Task ID],0)),0),IFERROR(INDEX(TasksTable[End Date],MATCH(Z54,TasksTable[Task ID],0)),0)))</x:f>
        <x:v>0</x:v>
      </x:c>
      <x:c r="AF54" s="137" t="b">
        <x:f>IF(OR($A54="",AA54=0),FALSE,SWITCH($J54,"FS",$F54&lt;AE54,"SS",$F54&lt;AD54,"FF",$G54&lt;AE54,"SF",$G54&lt;AD54,TRUE))</x:f>
        <x:v>0</x:v>
      </x:c>
      <x:c r="AG54" s="137" t="str">
        <x:f>IF(AND($A54&lt;&gt;"",$K54="No",$N54&lt;&gt;"Completed",$F54&gt;=TODAY()),$F54+ROW()/100000,"")</x:f>
      </x:c>
      <x:c r="AH54" s="137" t="str">
        <x:f>IF(AND($A54&lt;&gt;"",$K54="Yes",$N54&lt;&gt;"Completed",$F54&gt;=TODAY()),$F54+ROW()/100000,"")</x:f>
      </x:c>
      <x:c r="AI54" s="137" t="str">
        <x:f>IF(AND($A54&lt;&gt;"",$K54="No",$N54&lt;&gt;"Completed",$G54&gt;=TODAY(),$G54&lt;=TODAY()+3),$G54+ROW()/100000,"")</x:f>
      </x:c>
      <x:c r="AJ54" s="137" t="str">
        <x:f>IF(AND($A54&lt;&gt;"",$K54="No",OR($N54="Delayed",$P54="Dependency conflict")),$G54+ROW()/100000,"")</x:f>
      </x:c>
      <x:c r="AK54" s="137" t="str">
        <x:f>IF(AG54="","",COUNTIFS($AG$7:$AG$206,"&gt;0",$AG$7:$AG$206,"&lt;"&amp;AG54)+1)</x:f>
      </x:c>
      <x:c r="AL54" s="137" t="str">
        <x:f>IF(AH54="","",COUNTIFS($AH$7:$AH$206,"&gt;0",$AH$7:$AH$206,"&lt;"&amp;AH54)+1)</x:f>
      </x:c>
      <x:c r="AM54" s="137" t="str">
        <x:f>IF(AI54="","",COUNTIFS($AI$7:$AI$206,"&gt;0",$AI$7:$AI$206,"&lt;"&amp;AI54)+1)</x:f>
      </x:c>
      <x:c r="AN54" s="137" t="str">
        <x:f>IF(AJ54="","",COUNTIFS($AJ$7:$AJ$206,"&gt;0",$AJ$7:$AJ$206,"&lt;"&amp;AJ54)+1)</x:f>
      </x:c>
    </x:row>
    <x:row r="55">
      <x:c r="T55" s="137" t="str">
        <x:f>IF($A55="","",TRIM(MID(SUBSTITUTE(SUBSTITUTE(TRIM($I55)," ",""),",",REPT(" ",100)),1,100)))</x:f>
      </x:c>
      <x:c r="U55" s="137" t="str">
        <x:f>IF($A55="","",TRIM(MID(SUBSTITUTE(SUBSTITUTE(TRIM($I55)," ",""),",",REPT(" ",100)),101,100)))</x:f>
      </x:c>
      <x:c r="V55" s="137" t="str">
        <x:f>IF($A55="","",TRIM(MID(SUBSTITUTE(SUBSTITUTE(TRIM($I55)," ",""),",",REPT(" ",100)),201,100)))</x:f>
      </x:c>
      <x:c r="W55" s="137" t="str">
        <x:f>IF($A55="","",TRIM(MID(SUBSTITUTE(SUBSTITUTE(TRIM($I55)," ",""),",",REPT(" ",100)),301,100)))</x:f>
      </x:c>
      <x:c r="X55" s="137" t="str">
        <x:f>IF($A55="","",TRIM(MID(SUBSTITUTE(SUBSTITUTE(TRIM($I55)," ",""),",",REPT(" ",100)),401,100)))</x:f>
      </x:c>
      <x:c r="Y55" s="137" t="str">
        <x:f>IF($A55="","",TRIM(MID(SUBSTITUTE(SUBSTITUTE(TRIM($I55)," ",""),",",REPT(" ",100)),501,100)))</x:f>
      </x:c>
      <x:c r="Z55" s="137" t="str">
        <x:f>IF($A55="","",TRIM(MID(SUBSTITUTE(SUBSTITUTE(TRIM($I55)," ",""),",",REPT(" ",100)),601,100)))</x:f>
      </x:c>
      <x:c r="AA55" s="137" t="str">
        <x:f>IF($A55="","",IF(SUBSTITUTE(TRIM($I55)," ","")="",0,1+LEN(SUBSTITUTE(TRIM($I55)," ",""))-LEN(SUBSTITUTE(SUBSTITUTE(TRIM($I55)," ",""),",",""))))</x:f>
      </x:c>
      <x:c r="AB55" s="137" t="str">
        <x:f>IF($A55="","",COUNTIF(TasksTable[Task ID],T55)+COUNTIF(TasksTable[Task ID],U55)+COUNTIF(TasksTable[Task ID],V55)+COUNTIF(TasksTable[Task ID],W55)+COUNTIF(TasksTable[Task ID],X55)+COUNTIF(TasksTable[Task ID],Y55)+COUNTIF(TasksTable[Task ID],Z55))</x:f>
      </x:c>
      <x:c r="AC55" s="137" t="b">
        <x:f>IF($A55="",FALSE,OR(T55=$A55,U55=$A55,V55=$A55,W55=$A55,X55=$A55,Y55=$A55,Z55=$A55))</x:f>
        <x:v>0</x:v>
      </x:c>
      <x:c r="AD55" s="144" t="n">
        <x:f>IF(AA55=0,0,MAX(IFERROR(INDEX(TasksTable[Start Date],MATCH(T55,TasksTable[Task ID],0)),0),IFERROR(INDEX(TasksTable[Start Date],MATCH(U55,TasksTable[Task ID],0)),0),IFERROR(INDEX(TasksTable[Start Date],MATCH(V55,TasksTable[Task ID],0)),0),IFERROR(INDEX(TasksTable[Start Date],MATCH(W55,TasksTable[Task ID],0)),0),IFERROR(INDEX(TasksTable[Start Date],MATCH(X55,TasksTable[Task ID],0)),0),IFERROR(INDEX(TasksTable[Start Date],MATCH(Y55,TasksTable[Task ID],0)),0),IFERROR(INDEX(TasksTable[Start Date],MATCH(Z55,TasksTable[Task ID],0)),0)))</x:f>
        <x:v>0</x:v>
      </x:c>
      <x:c r="AE55" s="144" t="n">
        <x:f>IF(AA55=0,0,MAX(IFERROR(INDEX(TasksTable[End Date],MATCH(T55,TasksTable[Task ID],0)),0),IFERROR(INDEX(TasksTable[End Date],MATCH(U55,TasksTable[Task ID],0)),0),IFERROR(INDEX(TasksTable[End Date],MATCH(V55,TasksTable[Task ID],0)),0),IFERROR(INDEX(TasksTable[End Date],MATCH(W55,TasksTable[Task ID],0)),0),IFERROR(INDEX(TasksTable[End Date],MATCH(X55,TasksTable[Task ID],0)),0),IFERROR(INDEX(TasksTable[End Date],MATCH(Y55,TasksTable[Task ID],0)),0),IFERROR(INDEX(TasksTable[End Date],MATCH(Z55,TasksTable[Task ID],0)),0)))</x:f>
        <x:v>0</x:v>
      </x:c>
      <x:c r="AF55" s="137" t="b">
        <x:f>IF(OR($A55="",AA55=0),FALSE,SWITCH($J55,"FS",$F55&lt;AE55,"SS",$F55&lt;AD55,"FF",$G55&lt;AE55,"SF",$G55&lt;AD55,TRUE))</x:f>
        <x:v>0</x:v>
      </x:c>
      <x:c r="AG55" s="137" t="str">
        <x:f>IF(AND($A55&lt;&gt;"",$K55="No",$N55&lt;&gt;"Completed",$F55&gt;=TODAY()),$F55+ROW()/100000,"")</x:f>
      </x:c>
      <x:c r="AH55" s="137" t="str">
        <x:f>IF(AND($A55&lt;&gt;"",$K55="Yes",$N55&lt;&gt;"Completed",$F55&gt;=TODAY()),$F55+ROW()/100000,"")</x:f>
      </x:c>
      <x:c r="AI55" s="137" t="str">
        <x:f>IF(AND($A55&lt;&gt;"",$K55="No",$N55&lt;&gt;"Completed",$G55&gt;=TODAY(),$G55&lt;=TODAY()+3),$G55+ROW()/100000,"")</x:f>
      </x:c>
      <x:c r="AJ55" s="137" t="str">
        <x:f>IF(AND($A55&lt;&gt;"",$K55="No",OR($N55="Delayed",$P55="Dependency conflict")),$G55+ROW()/100000,"")</x:f>
      </x:c>
      <x:c r="AK55" s="137" t="str">
        <x:f>IF(AG55="","",COUNTIFS($AG$7:$AG$206,"&gt;0",$AG$7:$AG$206,"&lt;"&amp;AG55)+1)</x:f>
      </x:c>
      <x:c r="AL55" s="137" t="str">
        <x:f>IF(AH55="","",COUNTIFS($AH$7:$AH$206,"&gt;0",$AH$7:$AH$206,"&lt;"&amp;AH55)+1)</x:f>
      </x:c>
      <x:c r="AM55" s="137" t="str">
        <x:f>IF(AI55="","",COUNTIFS($AI$7:$AI$206,"&gt;0",$AI$7:$AI$206,"&lt;"&amp;AI55)+1)</x:f>
      </x:c>
      <x:c r="AN55" s="137" t="str">
        <x:f>IF(AJ55="","",COUNTIFS($AJ$7:$AJ$206,"&gt;0",$AJ$7:$AJ$206,"&lt;"&amp;AJ55)+1)</x:f>
      </x:c>
    </x:row>
    <x:row r="56">
      <x:c r="T56" s="137" t="str">
        <x:f>IF($A56="","",TRIM(MID(SUBSTITUTE(SUBSTITUTE(TRIM($I56)," ",""),",",REPT(" ",100)),1,100)))</x:f>
      </x:c>
      <x:c r="U56" s="137" t="str">
        <x:f>IF($A56="","",TRIM(MID(SUBSTITUTE(SUBSTITUTE(TRIM($I56)," ",""),",",REPT(" ",100)),101,100)))</x:f>
      </x:c>
      <x:c r="V56" s="137" t="str">
        <x:f>IF($A56="","",TRIM(MID(SUBSTITUTE(SUBSTITUTE(TRIM($I56)," ",""),",",REPT(" ",100)),201,100)))</x:f>
      </x:c>
      <x:c r="W56" s="137" t="str">
        <x:f>IF($A56="","",TRIM(MID(SUBSTITUTE(SUBSTITUTE(TRIM($I56)," ",""),",",REPT(" ",100)),301,100)))</x:f>
      </x:c>
      <x:c r="X56" s="137" t="str">
        <x:f>IF($A56="","",TRIM(MID(SUBSTITUTE(SUBSTITUTE(TRIM($I56)," ",""),",",REPT(" ",100)),401,100)))</x:f>
      </x:c>
      <x:c r="Y56" s="137" t="str">
        <x:f>IF($A56="","",TRIM(MID(SUBSTITUTE(SUBSTITUTE(TRIM($I56)," ",""),",",REPT(" ",100)),501,100)))</x:f>
      </x:c>
      <x:c r="Z56" s="137" t="str">
        <x:f>IF($A56="","",TRIM(MID(SUBSTITUTE(SUBSTITUTE(TRIM($I56)," ",""),",",REPT(" ",100)),601,100)))</x:f>
      </x:c>
      <x:c r="AA56" s="137" t="str">
        <x:f>IF($A56="","",IF(SUBSTITUTE(TRIM($I56)," ","")="",0,1+LEN(SUBSTITUTE(TRIM($I56)," ",""))-LEN(SUBSTITUTE(SUBSTITUTE(TRIM($I56)," ",""),",",""))))</x:f>
      </x:c>
      <x:c r="AB56" s="137" t="str">
        <x:f>IF($A56="","",COUNTIF(TasksTable[Task ID],T56)+COUNTIF(TasksTable[Task ID],U56)+COUNTIF(TasksTable[Task ID],V56)+COUNTIF(TasksTable[Task ID],W56)+COUNTIF(TasksTable[Task ID],X56)+COUNTIF(TasksTable[Task ID],Y56)+COUNTIF(TasksTable[Task ID],Z56))</x:f>
      </x:c>
      <x:c r="AC56" s="137" t="b">
        <x:f>IF($A56="",FALSE,OR(T56=$A56,U56=$A56,V56=$A56,W56=$A56,X56=$A56,Y56=$A56,Z56=$A56))</x:f>
        <x:v>0</x:v>
      </x:c>
      <x:c r="AD56" s="144" t="n">
        <x:f>IF(AA56=0,0,MAX(IFERROR(INDEX(TasksTable[Start Date],MATCH(T56,TasksTable[Task ID],0)),0),IFERROR(INDEX(TasksTable[Start Date],MATCH(U56,TasksTable[Task ID],0)),0),IFERROR(INDEX(TasksTable[Start Date],MATCH(V56,TasksTable[Task ID],0)),0),IFERROR(INDEX(TasksTable[Start Date],MATCH(W56,TasksTable[Task ID],0)),0),IFERROR(INDEX(TasksTable[Start Date],MATCH(X56,TasksTable[Task ID],0)),0),IFERROR(INDEX(TasksTable[Start Date],MATCH(Y56,TasksTable[Task ID],0)),0),IFERROR(INDEX(TasksTable[Start Date],MATCH(Z56,TasksTable[Task ID],0)),0)))</x:f>
        <x:v>0</x:v>
      </x:c>
      <x:c r="AE56" s="144" t="n">
        <x:f>IF(AA56=0,0,MAX(IFERROR(INDEX(TasksTable[End Date],MATCH(T56,TasksTable[Task ID],0)),0),IFERROR(INDEX(TasksTable[End Date],MATCH(U56,TasksTable[Task ID],0)),0),IFERROR(INDEX(TasksTable[End Date],MATCH(V56,TasksTable[Task ID],0)),0),IFERROR(INDEX(TasksTable[End Date],MATCH(W56,TasksTable[Task ID],0)),0),IFERROR(INDEX(TasksTable[End Date],MATCH(X56,TasksTable[Task ID],0)),0),IFERROR(INDEX(TasksTable[End Date],MATCH(Y56,TasksTable[Task ID],0)),0),IFERROR(INDEX(TasksTable[End Date],MATCH(Z56,TasksTable[Task ID],0)),0)))</x:f>
        <x:v>0</x:v>
      </x:c>
      <x:c r="AF56" s="137" t="b">
        <x:f>IF(OR($A56="",AA56=0),FALSE,SWITCH($J56,"FS",$F56&lt;AE56,"SS",$F56&lt;AD56,"FF",$G56&lt;AE56,"SF",$G56&lt;AD56,TRUE))</x:f>
        <x:v>0</x:v>
      </x:c>
      <x:c r="AG56" s="137" t="str">
        <x:f>IF(AND($A56&lt;&gt;"",$K56="No",$N56&lt;&gt;"Completed",$F56&gt;=TODAY()),$F56+ROW()/100000,"")</x:f>
      </x:c>
      <x:c r="AH56" s="137" t="str">
        <x:f>IF(AND($A56&lt;&gt;"",$K56="Yes",$N56&lt;&gt;"Completed",$F56&gt;=TODAY()),$F56+ROW()/100000,"")</x:f>
      </x:c>
      <x:c r="AI56" s="137" t="str">
        <x:f>IF(AND($A56&lt;&gt;"",$K56="No",$N56&lt;&gt;"Completed",$G56&gt;=TODAY(),$G56&lt;=TODAY()+3),$G56+ROW()/100000,"")</x:f>
      </x:c>
      <x:c r="AJ56" s="137" t="str">
        <x:f>IF(AND($A56&lt;&gt;"",$K56="No",OR($N56="Delayed",$P56="Dependency conflict")),$G56+ROW()/100000,"")</x:f>
      </x:c>
      <x:c r="AK56" s="137" t="str">
        <x:f>IF(AG56="","",COUNTIFS($AG$7:$AG$206,"&gt;0",$AG$7:$AG$206,"&lt;"&amp;AG56)+1)</x:f>
      </x:c>
      <x:c r="AL56" s="137" t="str">
        <x:f>IF(AH56="","",COUNTIFS($AH$7:$AH$206,"&gt;0",$AH$7:$AH$206,"&lt;"&amp;AH56)+1)</x:f>
      </x:c>
      <x:c r="AM56" s="137" t="str">
        <x:f>IF(AI56="","",COUNTIFS($AI$7:$AI$206,"&gt;0",$AI$7:$AI$206,"&lt;"&amp;AI56)+1)</x:f>
      </x:c>
      <x:c r="AN56" s="137" t="str">
        <x:f>IF(AJ56="","",COUNTIFS($AJ$7:$AJ$206,"&gt;0",$AJ$7:$AJ$206,"&lt;"&amp;AJ56)+1)</x:f>
      </x:c>
    </x:row>
    <x:row r="57">
      <x:c r="T57" s="137" t="str">
        <x:f>IF($A57="","",TRIM(MID(SUBSTITUTE(SUBSTITUTE(TRIM($I57)," ",""),",",REPT(" ",100)),1,100)))</x:f>
      </x:c>
      <x:c r="U57" s="137" t="str">
        <x:f>IF($A57="","",TRIM(MID(SUBSTITUTE(SUBSTITUTE(TRIM($I57)," ",""),",",REPT(" ",100)),101,100)))</x:f>
      </x:c>
      <x:c r="V57" s="137" t="str">
        <x:f>IF($A57="","",TRIM(MID(SUBSTITUTE(SUBSTITUTE(TRIM($I57)," ",""),",",REPT(" ",100)),201,100)))</x:f>
      </x:c>
      <x:c r="W57" s="137" t="str">
        <x:f>IF($A57="","",TRIM(MID(SUBSTITUTE(SUBSTITUTE(TRIM($I57)," ",""),",",REPT(" ",100)),301,100)))</x:f>
      </x:c>
      <x:c r="X57" s="137" t="str">
        <x:f>IF($A57="","",TRIM(MID(SUBSTITUTE(SUBSTITUTE(TRIM($I57)," ",""),",",REPT(" ",100)),401,100)))</x:f>
      </x:c>
      <x:c r="Y57" s="137" t="str">
        <x:f>IF($A57="","",TRIM(MID(SUBSTITUTE(SUBSTITUTE(TRIM($I57)," ",""),",",REPT(" ",100)),501,100)))</x:f>
      </x:c>
      <x:c r="Z57" s="137" t="str">
        <x:f>IF($A57="","",TRIM(MID(SUBSTITUTE(SUBSTITUTE(TRIM($I57)," ",""),",",REPT(" ",100)),601,100)))</x:f>
      </x:c>
      <x:c r="AA57" s="137" t="str">
        <x:f>IF($A57="","",IF(SUBSTITUTE(TRIM($I57)," ","")="",0,1+LEN(SUBSTITUTE(TRIM($I57)," ",""))-LEN(SUBSTITUTE(SUBSTITUTE(TRIM($I57)," ",""),",",""))))</x:f>
      </x:c>
      <x:c r="AB57" s="137" t="str">
        <x:f>IF($A57="","",COUNTIF(TasksTable[Task ID],T57)+COUNTIF(TasksTable[Task ID],U57)+COUNTIF(TasksTable[Task ID],V57)+COUNTIF(TasksTable[Task ID],W57)+COUNTIF(TasksTable[Task ID],X57)+COUNTIF(TasksTable[Task ID],Y57)+COUNTIF(TasksTable[Task ID],Z57))</x:f>
      </x:c>
      <x:c r="AC57" s="137" t="b">
        <x:f>IF($A57="",FALSE,OR(T57=$A57,U57=$A57,V57=$A57,W57=$A57,X57=$A57,Y57=$A57,Z57=$A57))</x:f>
        <x:v>0</x:v>
      </x:c>
      <x:c r="AD57" s="144" t="n">
        <x:f>IF(AA57=0,0,MAX(IFERROR(INDEX(TasksTable[Start Date],MATCH(T57,TasksTable[Task ID],0)),0),IFERROR(INDEX(TasksTable[Start Date],MATCH(U57,TasksTable[Task ID],0)),0),IFERROR(INDEX(TasksTable[Start Date],MATCH(V57,TasksTable[Task ID],0)),0),IFERROR(INDEX(TasksTable[Start Date],MATCH(W57,TasksTable[Task ID],0)),0),IFERROR(INDEX(TasksTable[Start Date],MATCH(X57,TasksTable[Task ID],0)),0),IFERROR(INDEX(TasksTable[Start Date],MATCH(Y57,TasksTable[Task ID],0)),0),IFERROR(INDEX(TasksTable[Start Date],MATCH(Z57,TasksTable[Task ID],0)),0)))</x:f>
        <x:v>0</x:v>
      </x:c>
      <x:c r="AE57" s="144" t="n">
        <x:f>IF(AA57=0,0,MAX(IFERROR(INDEX(TasksTable[End Date],MATCH(T57,TasksTable[Task ID],0)),0),IFERROR(INDEX(TasksTable[End Date],MATCH(U57,TasksTable[Task ID],0)),0),IFERROR(INDEX(TasksTable[End Date],MATCH(V57,TasksTable[Task ID],0)),0),IFERROR(INDEX(TasksTable[End Date],MATCH(W57,TasksTable[Task ID],0)),0),IFERROR(INDEX(TasksTable[End Date],MATCH(X57,TasksTable[Task ID],0)),0),IFERROR(INDEX(TasksTable[End Date],MATCH(Y57,TasksTable[Task ID],0)),0),IFERROR(INDEX(TasksTable[End Date],MATCH(Z57,TasksTable[Task ID],0)),0)))</x:f>
        <x:v>0</x:v>
      </x:c>
      <x:c r="AF57" s="137" t="b">
        <x:f>IF(OR($A57="",AA57=0),FALSE,SWITCH($J57,"FS",$F57&lt;AE57,"SS",$F57&lt;AD57,"FF",$G57&lt;AE57,"SF",$G57&lt;AD57,TRUE))</x:f>
        <x:v>0</x:v>
      </x:c>
      <x:c r="AG57" s="137" t="str">
        <x:f>IF(AND($A57&lt;&gt;"",$K57="No",$N57&lt;&gt;"Completed",$F57&gt;=TODAY()),$F57+ROW()/100000,"")</x:f>
      </x:c>
      <x:c r="AH57" s="137" t="str">
        <x:f>IF(AND($A57&lt;&gt;"",$K57="Yes",$N57&lt;&gt;"Completed",$F57&gt;=TODAY()),$F57+ROW()/100000,"")</x:f>
      </x:c>
      <x:c r="AI57" s="137" t="str">
        <x:f>IF(AND($A57&lt;&gt;"",$K57="No",$N57&lt;&gt;"Completed",$G57&gt;=TODAY(),$G57&lt;=TODAY()+3),$G57+ROW()/100000,"")</x:f>
      </x:c>
      <x:c r="AJ57" s="137" t="str">
        <x:f>IF(AND($A57&lt;&gt;"",$K57="No",OR($N57="Delayed",$P57="Dependency conflict")),$G57+ROW()/100000,"")</x:f>
      </x:c>
      <x:c r="AK57" s="137" t="str">
        <x:f>IF(AG57="","",COUNTIFS($AG$7:$AG$206,"&gt;0",$AG$7:$AG$206,"&lt;"&amp;AG57)+1)</x:f>
      </x:c>
      <x:c r="AL57" s="137" t="str">
        <x:f>IF(AH57="","",COUNTIFS($AH$7:$AH$206,"&gt;0",$AH$7:$AH$206,"&lt;"&amp;AH57)+1)</x:f>
      </x:c>
      <x:c r="AM57" s="137" t="str">
        <x:f>IF(AI57="","",COUNTIFS($AI$7:$AI$206,"&gt;0",$AI$7:$AI$206,"&lt;"&amp;AI57)+1)</x:f>
      </x:c>
      <x:c r="AN57" s="137" t="str">
        <x:f>IF(AJ57="","",COUNTIFS($AJ$7:$AJ$206,"&gt;0",$AJ$7:$AJ$206,"&lt;"&amp;AJ57)+1)</x:f>
      </x:c>
    </x:row>
    <x:row r="58">
      <x:c r="T58" s="137" t="str">
        <x:f>IF($A58="","",TRIM(MID(SUBSTITUTE(SUBSTITUTE(TRIM($I58)," ",""),",",REPT(" ",100)),1,100)))</x:f>
      </x:c>
      <x:c r="U58" s="137" t="str">
        <x:f>IF($A58="","",TRIM(MID(SUBSTITUTE(SUBSTITUTE(TRIM($I58)," ",""),",",REPT(" ",100)),101,100)))</x:f>
      </x:c>
      <x:c r="V58" s="137" t="str">
        <x:f>IF($A58="","",TRIM(MID(SUBSTITUTE(SUBSTITUTE(TRIM($I58)," ",""),",",REPT(" ",100)),201,100)))</x:f>
      </x:c>
      <x:c r="W58" s="137" t="str">
        <x:f>IF($A58="","",TRIM(MID(SUBSTITUTE(SUBSTITUTE(TRIM($I58)," ",""),",",REPT(" ",100)),301,100)))</x:f>
      </x:c>
      <x:c r="X58" s="137" t="str">
        <x:f>IF($A58="","",TRIM(MID(SUBSTITUTE(SUBSTITUTE(TRIM($I58)," ",""),",",REPT(" ",100)),401,100)))</x:f>
      </x:c>
      <x:c r="Y58" s="137" t="str">
        <x:f>IF($A58="","",TRIM(MID(SUBSTITUTE(SUBSTITUTE(TRIM($I58)," ",""),",",REPT(" ",100)),501,100)))</x:f>
      </x:c>
      <x:c r="Z58" s="137" t="str">
        <x:f>IF($A58="","",TRIM(MID(SUBSTITUTE(SUBSTITUTE(TRIM($I58)," ",""),",",REPT(" ",100)),601,100)))</x:f>
      </x:c>
      <x:c r="AA58" s="137" t="str">
        <x:f>IF($A58="","",IF(SUBSTITUTE(TRIM($I58)," ","")="",0,1+LEN(SUBSTITUTE(TRIM($I58)," ",""))-LEN(SUBSTITUTE(SUBSTITUTE(TRIM($I58)," ",""),",",""))))</x:f>
      </x:c>
      <x:c r="AB58" s="137" t="str">
        <x:f>IF($A58="","",COUNTIF(TasksTable[Task ID],T58)+COUNTIF(TasksTable[Task ID],U58)+COUNTIF(TasksTable[Task ID],V58)+COUNTIF(TasksTable[Task ID],W58)+COUNTIF(TasksTable[Task ID],X58)+COUNTIF(TasksTable[Task ID],Y58)+COUNTIF(TasksTable[Task ID],Z58))</x:f>
      </x:c>
      <x:c r="AC58" s="137" t="b">
        <x:f>IF($A58="",FALSE,OR(T58=$A58,U58=$A58,V58=$A58,W58=$A58,X58=$A58,Y58=$A58,Z58=$A58))</x:f>
        <x:v>0</x:v>
      </x:c>
      <x:c r="AD58" s="144" t="n">
        <x:f>IF(AA58=0,0,MAX(IFERROR(INDEX(TasksTable[Start Date],MATCH(T58,TasksTable[Task ID],0)),0),IFERROR(INDEX(TasksTable[Start Date],MATCH(U58,TasksTable[Task ID],0)),0),IFERROR(INDEX(TasksTable[Start Date],MATCH(V58,TasksTable[Task ID],0)),0),IFERROR(INDEX(TasksTable[Start Date],MATCH(W58,TasksTable[Task ID],0)),0),IFERROR(INDEX(TasksTable[Start Date],MATCH(X58,TasksTable[Task ID],0)),0),IFERROR(INDEX(TasksTable[Start Date],MATCH(Y58,TasksTable[Task ID],0)),0),IFERROR(INDEX(TasksTable[Start Date],MATCH(Z58,TasksTable[Task ID],0)),0)))</x:f>
        <x:v>0</x:v>
      </x:c>
      <x:c r="AE58" s="144" t="n">
        <x:f>IF(AA58=0,0,MAX(IFERROR(INDEX(TasksTable[End Date],MATCH(T58,TasksTable[Task ID],0)),0),IFERROR(INDEX(TasksTable[End Date],MATCH(U58,TasksTable[Task ID],0)),0),IFERROR(INDEX(TasksTable[End Date],MATCH(V58,TasksTable[Task ID],0)),0),IFERROR(INDEX(TasksTable[End Date],MATCH(W58,TasksTable[Task ID],0)),0),IFERROR(INDEX(TasksTable[End Date],MATCH(X58,TasksTable[Task ID],0)),0),IFERROR(INDEX(TasksTable[End Date],MATCH(Y58,TasksTable[Task ID],0)),0),IFERROR(INDEX(TasksTable[End Date],MATCH(Z58,TasksTable[Task ID],0)),0)))</x:f>
        <x:v>0</x:v>
      </x:c>
      <x:c r="AF58" s="137" t="b">
        <x:f>IF(OR($A58="",AA58=0),FALSE,SWITCH($J58,"FS",$F58&lt;AE58,"SS",$F58&lt;AD58,"FF",$G58&lt;AE58,"SF",$G58&lt;AD58,TRUE))</x:f>
        <x:v>0</x:v>
      </x:c>
      <x:c r="AG58" s="137" t="str">
        <x:f>IF(AND($A58&lt;&gt;"",$K58="No",$N58&lt;&gt;"Completed",$F58&gt;=TODAY()),$F58+ROW()/100000,"")</x:f>
      </x:c>
      <x:c r="AH58" s="137" t="str">
        <x:f>IF(AND($A58&lt;&gt;"",$K58="Yes",$N58&lt;&gt;"Completed",$F58&gt;=TODAY()),$F58+ROW()/100000,"")</x:f>
      </x:c>
      <x:c r="AI58" s="137" t="str">
        <x:f>IF(AND($A58&lt;&gt;"",$K58="No",$N58&lt;&gt;"Completed",$G58&gt;=TODAY(),$G58&lt;=TODAY()+3),$G58+ROW()/100000,"")</x:f>
      </x:c>
      <x:c r="AJ58" s="137" t="str">
        <x:f>IF(AND($A58&lt;&gt;"",$K58="No",OR($N58="Delayed",$P58="Dependency conflict")),$G58+ROW()/100000,"")</x:f>
      </x:c>
      <x:c r="AK58" s="137" t="str">
        <x:f>IF(AG58="","",COUNTIFS($AG$7:$AG$206,"&gt;0",$AG$7:$AG$206,"&lt;"&amp;AG58)+1)</x:f>
      </x:c>
      <x:c r="AL58" s="137" t="str">
        <x:f>IF(AH58="","",COUNTIFS($AH$7:$AH$206,"&gt;0",$AH$7:$AH$206,"&lt;"&amp;AH58)+1)</x:f>
      </x:c>
      <x:c r="AM58" s="137" t="str">
        <x:f>IF(AI58="","",COUNTIFS($AI$7:$AI$206,"&gt;0",$AI$7:$AI$206,"&lt;"&amp;AI58)+1)</x:f>
      </x:c>
      <x:c r="AN58" s="137" t="str">
        <x:f>IF(AJ58="","",COUNTIFS($AJ$7:$AJ$206,"&gt;0",$AJ$7:$AJ$206,"&lt;"&amp;AJ58)+1)</x:f>
      </x:c>
    </x:row>
    <x:row r="59">
      <x:c r="T59" s="137" t="str">
        <x:f>IF($A59="","",TRIM(MID(SUBSTITUTE(SUBSTITUTE(TRIM($I59)," ",""),",",REPT(" ",100)),1,100)))</x:f>
      </x:c>
      <x:c r="U59" s="137" t="str">
        <x:f>IF($A59="","",TRIM(MID(SUBSTITUTE(SUBSTITUTE(TRIM($I59)," ",""),",",REPT(" ",100)),101,100)))</x:f>
      </x:c>
      <x:c r="V59" s="137" t="str">
        <x:f>IF($A59="","",TRIM(MID(SUBSTITUTE(SUBSTITUTE(TRIM($I59)," ",""),",",REPT(" ",100)),201,100)))</x:f>
      </x:c>
      <x:c r="W59" s="137" t="str">
        <x:f>IF($A59="","",TRIM(MID(SUBSTITUTE(SUBSTITUTE(TRIM($I59)," ",""),",",REPT(" ",100)),301,100)))</x:f>
      </x:c>
      <x:c r="X59" s="137" t="str">
        <x:f>IF($A59="","",TRIM(MID(SUBSTITUTE(SUBSTITUTE(TRIM($I59)," ",""),",",REPT(" ",100)),401,100)))</x:f>
      </x:c>
      <x:c r="Y59" s="137" t="str">
        <x:f>IF($A59="","",TRIM(MID(SUBSTITUTE(SUBSTITUTE(TRIM($I59)," ",""),",",REPT(" ",100)),501,100)))</x:f>
      </x:c>
      <x:c r="Z59" s="137" t="str">
        <x:f>IF($A59="","",TRIM(MID(SUBSTITUTE(SUBSTITUTE(TRIM($I59)," ",""),",",REPT(" ",100)),601,100)))</x:f>
      </x:c>
      <x:c r="AA59" s="137" t="str">
        <x:f>IF($A59="","",IF(SUBSTITUTE(TRIM($I59)," ","")="",0,1+LEN(SUBSTITUTE(TRIM($I59)," ",""))-LEN(SUBSTITUTE(SUBSTITUTE(TRIM($I59)," ",""),",",""))))</x:f>
      </x:c>
      <x:c r="AB59" s="137" t="str">
        <x:f>IF($A59="","",COUNTIF(TasksTable[Task ID],T59)+COUNTIF(TasksTable[Task ID],U59)+COUNTIF(TasksTable[Task ID],V59)+COUNTIF(TasksTable[Task ID],W59)+COUNTIF(TasksTable[Task ID],X59)+COUNTIF(TasksTable[Task ID],Y59)+COUNTIF(TasksTable[Task ID],Z59))</x:f>
      </x:c>
      <x:c r="AC59" s="137" t="b">
        <x:f>IF($A59="",FALSE,OR(T59=$A59,U59=$A59,V59=$A59,W59=$A59,X59=$A59,Y59=$A59,Z59=$A59))</x:f>
        <x:v>0</x:v>
      </x:c>
      <x:c r="AD59" s="144" t="n">
        <x:f>IF(AA59=0,0,MAX(IFERROR(INDEX(TasksTable[Start Date],MATCH(T59,TasksTable[Task ID],0)),0),IFERROR(INDEX(TasksTable[Start Date],MATCH(U59,TasksTable[Task ID],0)),0),IFERROR(INDEX(TasksTable[Start Date],MATCH(V59,TasksTable[Task ID],0)),0),IFERROR(INDEX(TasksTable[Start Date],MATCH(W59,TasksTable[Task ID],0)),0),IFERROR(INDEX(TasksTable[Start Date],MATCH(X59,TasksTable[Task ID],0)),0),IFERROR(INDEX(TasksTable[Start Date],MATCH(Y59,TasksTable[Task ID],0)),0),IFERROR(INDEX(TasksTable[Start Date],MATCH(Z59,TasksTable[Task ID],0)),0)))</x:f>
        <x:v>0</x:v>
      </x:c>
      <x:c r="AE59" s="144" t="n">
        <x:f>IF(AA59=0,0,MAX(IFERROR(INDEX(TasksTable[End Date],MATCH(T59,TasksTable[Task ID],0)),0),IFERROR(INDEX(TasksTable[End Date],MATCH(U59,TasksTable[Task ID],0)),0),IFERROR(INDEX(TasksTable[End Date],MATCH(V59,TasksTable[Task ID],0)),0),IFERROR(INDEX(TasksTable[End Date],MATCH(W59,TasksTable[Task ID],0)),0),IFERROR(INDEX(TasksTable[End Date],MATCH(X59,TasksTable[Task ID],0)),0),IFERROR(INDEX(TasksTable[End Date],MATCH(Y59,TasksTable[Task ID],0)),0),IFERROR(INDEX(TasksTable[End Date],MATCH(Z59,TasksTable[Task ID],0)),0)))</x:f>
        <x:v>0</x:v>
      </x:c>
      <x:c r="AF59" s="137" t="b">
        <x:f>IF(OR($A59="",AA59=0),FALSE,SWITCH($J59,"FS",$F59&lt;AE59,"SS",$F59&lt;AD59,"FF",$G59&lt;AE59,"SF",$G59&lt;AD59,TRUE))</x:f>
        <x:v>0</x:v>
      </x:c>
      <x:c r="AG59" s="137" t="str">
        <x:f>IF(AND($A59&lt;&gt;"",$K59="No",$N59&lt;&gt;"Completed",$F59&gt;=TODAY()),$F59+ROW()/100000,"")</x:f>
      </x:c>
      <x:c r="AH59" s="137" t="str">
        <x:f>IF(AND($A59&lt;&gt;"",$K59="Yes",$N59&lt;&gt;"Completed",$F59&gt;=TODAY()),$F59+ROW()/100000,"")</x:f>
      </x:c>
      <x:c r="AI59" s="137" t="str">
        <x:f>IF(AND($A59&lt;&gt;"",$K59="No",$N59&lt;&gt;"Completed",$G59&gt;=TODAY(),$G59&lt;=TODAY()+3),$G59+ROW()/100000,"")</x:f>
      </x:c>
      <x:c r="AJ59" s="137" t="str">
        <x:f>IF(AND($A59&lt;&gt;"",$K59="No",OR($N59="Delayed",$P59="Dependency conflict")),$G59+ROW()/100000,"")</x:f>
      </x:c>
      <x:c r="AK59" s="137" t="str">
        <x:f>IF(AG59="","",COUNTIFS($AG$7:$AG$206,"&gt;0",$AG$7:$AG$206,"&lt;"&amp;AG59)+1)</x:f>
      </x:c>
      <x:c r="AL59" s="137" t="str">
        <x:f>IF(AH59="","",COUNTIFS($AH$7:$AH$206,"&gt;0",$AH$7:$AH$206,"&lt;"&amp;AH59)+1)</x:f>
      </x:c>
      <x:c r="AM59" s="137" t="str">
        <x:f>IF(AI59="","",COUNTIFS($AI$7:$AI$206,"&gt;0",$AI$7:$AI$206,"&lt;"&amp;AI59)+1)</x:f>
      </x:c>
      <x:c r="AN59" s="137" t="str">
        <x:f>IF(AJ59="","",COUNTIFS($AJ$7:$AJ$206,"&gt;0",$AJ$7:$AJ$206,"&lt;"&amp;AJ59)+1)</x:f>
      </x:c>
    </x:row>
    <x:row r="60">
      <x:c r="T60" s="137" t="str">
        <x:f>IF($A60="","",TRIM(MID(SUBSTITUTE(SUBSTITUTE(TRIM($I60)," ",""),",",REPT(" ",100)),1,100)))</x:f>
      </x:c>
      <x:c r="U60" s="137" t="str">
        <x:f>IF($A60="","",TRIM(MID(SUBSTITUTE(SUBSTITUTE(TRIM($I60)," ",""),",",REPT(" ",100)),101,100)))</x:f>
      </x:c>
      <x:c r="V60" s="137" t="str">
        <x:f>IF($A60="","",TRIM(MID(SUBSTITUTE(SUBSTITUTE(TRIM($I60)," ",""),",",REPT(" ",100)),201,100)))</x:f>
      </x:c>
      <x:c r="W60" s="137" t="str">
        <x:f>IF($A60="","",TRIM(MID(SUBSTITUTE(SUBSTITUTE(TRIM($I60)," ",""),",",REPT(" ",100)),301,100)))</x:f>
      </x:c>
      <x:c r="X60" s="137" t="str">
        <x:f>IF($A60="","",TRIM(MID(SUBSTITUTE(SUBSTITUTE(TRIM($I60)," ",""),",",REPT(" ",100)),401,100)))</x:f>
      </x:c>
      <x:c r="Y60" s="137" t="str">
        <x:f>IF($A60="","",TRIM(MID(SUBSTITUTE(SUBSTITUTE(TRIM($I60)," ",""),",",REPT(" ",100)),501,100)))</x:f>
      </x:c>
      <x:c r="Z60" s="137" t="str">
        <x:f>IF($A60="","",TRIM(MID(SUBSTITUTE(SUBSTITUTE(TRIM($I60)," ",""),",",REPT(" ",100)),601,100)))</x:f>
      </x:c>
      <x:c r="AA60" s="137" t="str">
        <x:f>IF($A60="","",IF(SUBSTITUTE(TRIM($I60)," ","")="",0,1+LEN(SUBSTITUTE(TRIM($I60)," ",""))-LEN(SUBSTITUTE(SUBSTITUTE(TRIM($I60)," ",""),",",""))))</x:f>
      </x:c>
      <x:c r="AB60" s="137" t="str">
        <x:f>IF($A60="","",COUNTIF(TasksTable[Task ID],T60)+COUNTIF(TasksTable[Task ID],U60)+COUNTIF(TasksTable[Task ID],V60)+COUNTIF(TasksTable[Task ID],W60)+COUNTIF(TasksTable[Task ID],X60)+COUNTIF(TasksTable[Task ID],Y60)+COUNTIF(TasksTable[Task ID],Z60))</x:f>
      </x:c>
      <x:c r="AC60" s="137" t="b">
        <x:f>IF($A60="",FALSE,OR(T60=$A60,U60=$A60,V60=$A60,W60=$A60,X60=$A60,Y60=$A60,Z60=$A60))</x:f>
        <x:v>0</x:v>
      </x:c>
      <x:c r="AD60" s="144" t="n">
        <x:f>IF(AA60=0,0,MAX(IFERROR(INDEX(TasksTable[Start Date],MATCH(T60,TasksTable[Task ID],0)),0),IFERROR(INDEX(TasksTable[Start Date],MATCH(U60,TasksTable[Task ID],0)),0),IFERROR(INDEX(TasksTable[Start Date],MATCH(V60,TasksTable[Task ID],0)),0),IFERROR(INDEX(TasksTable[Start Date],MATCH(W60,TasksTable[Task ID],0)),0),IFERROR(INDEX(TasksTable[Start Date],MATCH(X60,TasksTable[Task ID],0)),0),IFERROR(INDEX(TasksTable[Start Date],MATCH(Y60,TasksTable[Task ID],0)),0),IFERROR(INDEX(TasksTable[Start Date],MATCH(Z60,TasksTable[Task ID],0)),0)))</x:f>
        <x:v>0</x:v>
      </x:c>
      <x:c r="AE60" s="144" t="n">
        <x:f>IF(AA60=0,0,MAX(IFERROR(INDEX(TasksTable[End Date],MATCH(T60,TasksTable[Task ID],0)),0),IFERROR(INDEX(TasksTable[End Date],MATCH(U60,TasksTable[Task ID],0)),0),IFERROR(INDEX(TasksTable[End Date],MATCH(V60,TasksTable[Task ID],0)),0),IFERROR(INDEX(TasksTable[End Date],MATCH(W60,TasksTable[Task ID],0)),0),IFERROR(INDEX(TasksTable[End Date],MATCH(X60,TasksTable[Task ID],0)),0),IFERROR(INDEX(TasksTable[End Date],MATCH(Y60,TasksTable[Task ID],0)),0),IFERROR(INDEX(TasksTable[End Date],MATCH(Z60,TasksTable[Task ID],0)),0)))</x:f>
        <x:v>0</x:v>
      </x:c>
      <x:c r="AF60" s="137" t="b">
        <x:f>IF(OR($A60="",AA60=0),FALSE,SWITCH($J60,"FS",$F60&lt;AE60,"SS",$F60&lt;AD60,"FF",$G60&lt;AE60,"SF",$G60&lt;AD60,TRUE))</x:f>
        <x:v>0</x:v>
      </x:c>
      <x:c r="AG60" s="137" t="str">
        <x:f>IF(AND($A60&lt;&gt;"",$K60="No",$N60&lt;&gt;"Completed",$F60&gt;=TODAY()),$F60+ROW()/100000,"")</x:f>
      </x:c>
      <x:c r="AH60" s="137" t="str">
        <x:f>IF(AND($A60&lt;&gt;"",$K60="Yes",$N60&lt;&gt;"Completed",$F60&gt;=TODAY()),$F60+ROW()/100000,"")</x:f>
      </x:c>
      <x:c r="AI60" s="137" t="str">
        <x:f>IF(AND($A60&lt;&gt;"",$K60="No",$N60&lt;&gt;"Completed",$G60&gt;=TODAY(),$G60&lt;=TODAY()+3),$G60+ROW()/100000,"")</x:f>
      </x:c>
      <x:c r="AJ60" s="137" t="str">
        <x:f>IF(AND($A60&lt;&gt;"",$K60="No",OR($N60="Delayed",$P60="Dependency conflict")),$G60+ROW()/100000,"")</x:f>
      </x:c>
      <x:c r="AK60" s="137" t="str">
        <x:f>IF(AG60="","",COUNTIFS($AG$7:$AG$206,"&gt;0",$AG$7:$AG$206,"&lt;"&amp;AG60)+1)</x:f>
      </x:c>
      <x:c r="AL60" s="137" t="str">
        <x:f>IF(AH60="","",COUNTIFS($AH$7:$AH$206,"&gt;0",$AH$7:$AH$206,"&lt;"&amp;AH60)+1)</x:f>
      </x:c>
      <x:c r="AM60" s="137" t="str">
        <x:f>IF(AI60="","",COUNTIFS($AI$7:$AI$206,"&gt;0",$AI$7:$AI$206,"&lt;"&amp;AI60)+1)</x:f>
      </x:c>
      <x:c r="AN60" s="137" t="str">
        <x:f>IF(AJ60="","",COUNTIFS($AJ$7:$AJ$206,"&gt;0",$AJ$7:$AJ$206,"&lt;"&amp;AJ60)+1)</x:f>
      </x:c>
    </x:row>
    <x:row r="61">
      <x:c r="T61" s="137" t="str">
        <x:f>IF($A61="","",TRIM(MID(SUBSTITUTE(SUBSTITUTE(TRIM($I61)," ",""),",",REPT(" ",100)),1,100)))</x:f>
      </x:c>
      <x:c r="U61" s="137" t="str">
        <x:f>IF($A61="","",TRIM(MID(SUBSTITUTE(SUBSTITUTE(TRIM($I61)," ",""),",",REPT(" ",100)),101,100)))</x:f>
      </x:c>
      <x:c r="V61" s="137" t="str">
        <x:f>IF($A61="","",TRIM(MID(SUBSTITUTE(SUBSTITUTE(TRIM($I61)," ",""),",",REPT(" ",100)),201,100)))</x:f>
      </x:c>
      <x:c r="W61" s="137" t="str">
        <x:f>IF($A61="","",TRIM(MID(SUBSTITUTE(SUBSTITUTE(TRIM($I61)," ",""),",",REPT(" ",100)),301,100)))</x:f>
      </x:c>
      <x:c r="X61" s="137" t="str">
        <x:f>IF($A61="","",TRIM(MID(SUBSTITUTE(SUBSTITUTE(TRIM($I61)," ",""),",",REPT(" ",100)),401,100)))</x:f>
      </x:c>
      <x:c r="Y61" s="137" t="str">
        <x:f>IF($A61="","",TRIM(MID(SUBSTITUTE(SUBSTITUTE(TRIM($I61)," ",""),",",REPT(" ",100)),501,100)))</x:f>
      </x:c>
      <x:c r="Z61" s="137" t="str">
        <x:f>IF($A61="","",TRIM(MID(SUBSTITUTE(SUBSTITUTE(TRIM($I61)," ",""),",",REPT(" ",100)),601,100)))</x:f>
      </x:c>
      <x:c r="AA61" s="137" t="str">
        <x:f>IF($A61="","",IF(SUBSTITUTE(TRIM($I61)," ","")="",0,1+LEN(SUBSTITUTE(TRIM($I61)," ",""))-LEN(SUBSTITUTE(SUBSTITUTE(TRIM($I61)," ",""),",",""))))</x:f>
      </x:c>
      <x:c r="AB61" s="137" t="str">
        <x:f>IF($A61="","",COUNTIF(TasksTable[Task ID],T61)+COUNTIF(TasksTable[Task ID],U61)+COUNTIF(TasksTable[Task ID],V61)+COUNTIF(TasksTable[Task ID],W61)+COUNTIF(TasksTable[Task ID],X61)+COUNTIF(TasksTable[Task ID],Y61)+COUNTIF(TasksTable[Task ID],Z61))</x:f>
      </x:c>
      <x:c r="AC61" s="137" t="b">
        <x:f>IF($A61="",FALSE,OR(T61=$A61,U61=$A61,V61=$A61,W61=$A61,X61=$A61,Y61=$A61,Z61=$A61))</x:f>
        <x:v>0</x:v>
      </x:c>
      <x:c r="AD61" s="144" t="n">
        <x:f>IF(AA61=0,0,MAX(IFERROR(INDEX(TasksTable[Start Date],MATCH(T61,TasksTable[Task ID],0)),0),IFERROR(INDEX(TasksTable[Start Date],MATCH(U61,TasksTable[Task ID],0)),0),IFERROR(INDEX(TasksTable[Start Date],MATCH(V61,TasksTable[Task ID],0)),0),IFERROR(INDEX(TasksTable[Start Date],MATCH(W61,TasksTable[Task ID],0)),0),IFERROR(INDEX(TasksTable[Start Date],MATCH(X61,TasksTable[Task ID],0)),0),IFERROR(INDEX(TasksTable[Start Date],MATCH(Y61,TasksTable[Task ID],0)),0),IFERROR(INDEX(TasksTable[Start Date],MATCH(Z61,TasksTable[Task ID],0)),0)))</x:f>
        <x:v>0</x:v>
      </x:c>
      <x:c r="AE61" s="144" t="n">
        <x:f>IF(AA61=0,0,MAX(IFERROR(INDEX(TasksTable[End Date],MATCH(T61,TasksTable[Task ID],0)),0),IFERROR(INDEX(TasksTable[End Date],MATCH(U61,TasksTable[Task ID],0)),0),IFERROR(INDEX(TasksTable[End Date],MATCH(V61,TasksTable[Task ID],0)),0),IFERROR(INDEX(TasksTable[End Date],MATCH(W61,TasksTable[Task ID],0)),0),IFERROR(INDEX(TasksTable[End Date],MATCH(X61,TasksTable[Task ID],0)),0),IFERROR(INDEX(TasksTable[End Date],MATCH(Y61,TasksTable[Task ID],0)),0),IFERROR(INDEX(TasksTable[End Date],MATCH(Z61,TasksTable[Task ID],0)),0)))</x:f>
        <x:v>0</x:v>
      </x:c>
      <x:c r="AF61" s="137" t="b">
        <x:f>IF(OR($A61="",AA61=0),FALSE,SWITCH($J61,"FS",$F61&lt;AE61,"SS",$F61&lt;AD61,"FF",$G61&lt;AE61,"SF",$G61&lt;AD61,TRUE))</x:f>
        <x:v>0</x:v>
      </x:c>
      <x:c r="AG61" s="137" t="str">
        <x:f>IF(AND($A61&lt;&gt;"",$K61="No",$N61&lt;&gt;"Completed",$F61&gt;=TODAY()),$F61+ROW()/100000,"")</x:f>
      </x:c>
      <x:c r="AH61" s="137" t="str">
        <x:f>IF(AND($A61&lt;&gt;"",$K61="Yes",$N61&lt;&gt;"Completed",$F61&gt;=TODAY()),$F61+ROW()/100000,"")</x:f>
      </x:c>
      <x:c r="AI61" s="137" t="str">
        <x:f>IF(AND($A61&lt;&gt;"",$K61="No",$N61&lt;&gt;"Completed",$G61&gt;=TODAY(),$G61&lt;=TODAY()+3),$G61+ROW()/100000,"")</x:f>
      </x:c>
      <x:c r="AJ61" s="137" t="str">
        <x:f>IF(AND($A61&lt;&gt;"",$K61="No",OR($N61="Delayed",$P61="Dependency conflict")),$G61+ROW()/100000,"")</x:f>
      </x:c>
      <x:c r="AK61" s="137" t="str">
        <x:f>IF(AG61="","",COUNTIFS($AG$7:$AG$206,"&gt;0",$AG$7:$AG$206,"&lt;"&amp;AG61)+1)</x:f>
      </x:c>
      <x:c r="AL61" s="137" t="str">
        <x:f>IF(AH61="","",COUNTIFS($AH$7:$AH$206,"&gt;0",$AH$7:$AH$206,"&lt;"&amp;AH61)+1)</x:f>
      </x:c>
      <x:c r="AM61" s="137" t="str">
        <x:f>IF(AI61="","",COUNTIFS($AI$7:$AI$206,"&gt;0",$AI$7:$AI$206,"&lt;"&amp;AI61)+1)</x:f>
      </x:c>
      <x:c r="AN61" s="137" t="str">
        <x:f>IF(AJ61="","",COUNTIFS($AJ$7:$AJ$206,"&gt;0",$AJ$7:$AJ$206,"&lt;"&amp;AJ61)+1)</x:f>
      </x:c>
    </x:row>
    <x:row r="62">
      <x:c r="T62" s="137" t="str">
        <x:f>IF($A62="","",TRIM(MID(SUBSTITUTE(SUBSTITUTE(TRIM($I62)," ",""),",",REPT(" ",100)),1,100)))</x:f>
      </x:c>
      <x:c r="U62" s="137" t="str">
        <x:f>IF($A62="","",TRIM(MID(SUBSTITUTE(SUBSTITUTE(TRIM($I62)," ",""),",",REPT(" ",100)),101,100)))</x:f>
      </x:c>
      <x:c r="V62" s="137" t="str">
        <x:f>IF($A62="","",TRIM(MID(SUBSTITUTE(SUBSTITUTE(TRIM($I62)," ",""),",",REPT(" ",100)),201,100)))</x:f>
      </x:c>
      <x:c r="W62" s="137" t="str">
        <x:f>IF($A62="","",TRIM(MID(SUBSTITUTE(SUBSTITUTE(TRIM($I62)," ",""),",",REPT(" ",100)),301,100)))</x:f>
      </x:c>
      <x:c r="X62" s="137" t="str">
        <x:f>IF($A62="","",TRIM(MID(SUBSTITUTE(SUBSTITUTE(TRIM($I62)," ",""),",",REPT(" ",100)),401,100)))</x:f>
      </x:c>
      <x:c r="Y62" s="137" t="str">
        <x:f>IF($A62="","",TRIM(MID(SUBSTITUTE(SUBSTITUTE(TRIM($I62)," ",""),",",REPT(" ",100)),501,100)))</x:f>
      </x:c>
      <x:c r="Z62" s="137" t="str">
        <x:f>IF($A62="","",TRIM(MID(SUBSTITUTE(SUBSTITUTE(TRIM($I62)," ",""),",",REPT(" ",100)),601,100)))</x:f>
      </x:c>
      <x:c r="AA62" s="137" t="str">
        <x:f>IF($A62="","",IF(SUBSTITUTE(TRIM($I62)," ","")="",0,1+LEN(SUBSTITUTE(TRIM($I62)," ",""))-LEN(SUBSTITUTE(SUBSTITUTE(TRIM($I62)," ",""),",",""))))</x:f>
      </x:c>
      <x:c r="AB62" s="137" t="str">
        <x:f>IF($A62="","",COUNTIF(TasksTable[Task ID],T62)+COUNTIF(TasksTable[Task ID],U62)+COUNTIF(TasksTable[Task ID],V62)+COUNTIF(TasksTable[Task ID],W62)+COUNTIF(TasksTable[Task ID],X62)+COUNTIF(TasksTable[Task ID],Y62)+COUNTIF(TasksTable[Task ID],Z62))</x:f>
      </x:c>
      <x:c r="AC62" s="137" t="b">
        <x:f>IF($A62="",FALSE,OR(T62=$A62,U62=$A62,V62=$A62,W62=$A62,X62=$A62,Y62=$A62,Z62=$A62))</x:f>
        <x:v>0</x:v>
      </x:c>
      <x:c r="AD62" s="144" t="n">
        <x:f>IF(AA62=0,0,MAX(IFERROR(INDEX(TasksTable[Start Date],MATCH(T62,TasksTable[Task ID],0)),0),IFERROR(INDEX(TasksTable[Start Date],MATCH(U62,TasksTable[Task ID],0)),0),IFERROR(INDEX(TasksTable[Start Date],MATCH(V62,TasksTable[Task ID],0)),0),IFERROR(INDEX(TasksTable[Start Date],MATCH(W62,TasksTable[Task ID],0)),0),IFERROR(INDEX(TasksTable[Start Date],MATCH(X62,TasksTable[Task ID],0)),0),IFERROR(INDEX(TasksTable[Start Date],MATCH(Y62,TasksTable[Task ID],0)),0),IFERROR(INDEX(TasksTable[Start Date],MATCH(Z62,TasksTable[Task ID],0)),0)))</x:f>
        <x:v>0</x:v>
      </x:c>
      <x:c r="AE62" s="144" t="n">
        <x:f>IF(AA62=0,0,MAX(IFERROR(INDEX(TasksTable[End Date],MATCH(T62,TasksTable[Task ID],0)),0),IFERROR(INDEX(TasksTable[End Date],MATCH(U62,TasksTable[Task ID],0)),0),IFERROR(INDEX(TasksTable[End Date],MATCH(V62,TasksTable[Task ID],0)),0),IFERROR(INDEX(TasksTable[End Date],MATCH(W62,TasksTable[Task ID],0)),0),IFERROR(INDEX(TasksTable[End Date],MATCH(X62,TasksTable[Task ID],0)),0),IFERROR(INDEX(TasksTable[End Date],MATCH(Y62,TasksTable[Task ID],0)),0),IFERROR(INDEX(TasksTable[End Date],MATCH(Z62,TasksTable[Task ID],0)),0)))</x:f>
        <x:v>0</x:v>
      </x:c>
      <x:c r="AF62" s="137" t="b">
        <x:f>IF(OR($A62="",AA62=0),FALSE,SWITCH($J62,"FS",$F62&lt;AE62,"SS",$F62&lt;AD62,"FF",$G62&lt;AE62,"SF",$G62&lt;AD62,TRUE))</x:f>
        <x:v>0</x:v>
      </x:c>
      <x:c r="AG62" s="137" t="str">
        <x:f>IF(AND($A62&lt;&gt;"",$K62="No",$N62&lt;&gt;"Completed",$F62&gt;=TODAY()),$F62+ROW()/100000,"")</x:f>
      </x:c>
      <x:c r="AH62" s="137" t="str">
        <x:f>IF(AND($A62&lt;&gt;"",$K62="Yes",$N62&lt;&gt;"Completed",$F62&gt;=TODAY()),$F62+ROW()/100000,"")</x:f>
      </x:c>
      <x:c r="AI62" s="137" t="str">
        <x:f>IF(AND($A62&lt;&gt;"",$K62="No",$N62&lt;&gt;"Completed",$G62&gt;=TODAY(),$G62&lt;=TODAY()+3),$G62+ROW()/100000,"")</x:f>
      </x:c>
      <x:c r="AJ62" s="137" t="str">
        <x:f>IF(AND($A62&lt;&gt;"",$K62="No",OR($N62="Delayed",$P62="Dependency conflict")),$G62+ROW()/100000,"")</x:f>
      </x:c>
      <x:c r="AK62" s="137" t="str">
        <x:f>IF(AG62="","",COUNTIFS($AG$7:$AG$206,"&gt;0",$AG$7:$AG$206,"&lt;"&amp;AG62)+1)</x:f>
      </x:c>
      <x:c r="AL62" s="137" t="str">
        <x:f>IF(AH62="","",COUNTIFS($AH$7:$AH$206,"&gt;0",$AH$7:$AH$206,"&lt;"&amp;AH62)+1)</x:f>
      </x:c>
      <x:c r="AM62" s="137" t="str">
        <x:f>IF(AI62="","",COUNTIFS($AI$7:$AI$206,"&gt;0",$AI$7:$AI$206,"&lt;"&amp;AI62)+1)</x:f>
      </x:c>
      <x:c r="AN62" s="137" t="str">
        <x:f>IF(AJ62="","",COUNTIFS($AJ$7:$AJ$206,"&gt;0",$AJ$7:$AJ$206,"&lt;"&amp;AJ62)+1)</x:f>
      </x:c>
    </x:row>
    <x:row r="63">
      <x:c r="T63" s="137" t="str">
        <x:f>IF($A63="","",TRIM(MID(SUBSTITUTE(SUBSTITUTE(TRIM($I63)," ",""),",",REPT(" ",100)),1,100)))</x:f>
      </x:c>
      <x:c r="U63" s="137" t="str">
        <x:f>IF($A63="","",TRIM(MID(SUBSTITUTE(SUBSTITUTE(TRIM($I63)," ",""),",",REPT(" ",100)),101,100)))</x:f>
      </x:c>
      <x:c r="V63" s="137" t="str">
        <x:f>IF($A63="","",TRIM(MID(SUBSTITUTE(SUBSTITUTE(TRIM($I63)," ",""),",",REPT(" ",100)),201,100)))</x:f>
      </x:c>
      <x:c r="W63" s="137" t="str">
        <x:f>IF($A63="","",TRIM(MID(SUBSTITUTE(SUBSTITUTE(TRIM($I63)," ",""),",",REPT(" ",100)),301,100)))</x:f>
      </x:c>
      <x:c r="X63" s="137" t="str">
        <x:f>IF($A63="","",TRIM(MID(SUBSTITUTE(SUBSTITUTE(TRIM($I63)," ",""),",",REPT(" ",100)),401,100)))</x:f>
      </x:c>
      <x:c r="Y63" s="137" t="str">
        <x:f>IF($A63="","",TRIM(MID(SUBSTITUTE(SUBSTITUTE(TRIM($I63)," ",""),",",REPT(" ",100)),501,100)))</x:f>
      </x:c>
      <x:c r="Z63" s="137" t="str">
        <x:f>IF($A63="","",TRIM(MID(SUBSTITUTE(SUBSTITUTE(TRIM($I63)," ",""),",",REPT(" ",100)),601,100)))</x:f>
      </x:c>
      <x:c r="AA63" s="137" t="str">
        <x:f>IF($A63="","",IF(SUBSTITUTE(TRIM($I63)," ","")="",0,1+LEN(SUBSTITUTE(TRIM($I63)," ",""))-LEN(SUBSTITUTE(SUBSTITUTE(TRIM($I63)," ",""),",",""))))</x:f>
      </x:c>
      <x:c r="AB63" s="137" t="str">
        <x:f>IF($A63="","",COUNTIF(TasksTable[Task ID],T63)+COUNTIF(TasksTable[Task ID],U63)+COUNTIF(TasksTable[Task ID],V63)+COUNTIF(TasksTable[Task ID],W63)+COUNTIF(TasksTable[Task ID],X63)+COUNTIF(TasksTable[Task ID],Y63)+COUNTIF(TasksTable[Task ID],Z63))</x:f>
      </x:c>
      <x:c r="AC63" s="137" t="b">
        <x:f>IF($A63="",FALSE,OR(T63=$A63,U63=$A63,V63=$A63,W63=$A63,X63=$A63,Y63=$A63,Z63=$A63))</x:f>
        <x:v>0</x:v>
      </x:c>
      <x:c r="AD63" s="144" t="n">
        <x:f>IF(AA63=0,0,MAX(IFERROR(INDEX(TasksTable[Start Date],MATCH(T63,TasksTable[Task ID],0)),0),IFERROR(INDEX(TasksTable[Start Date],MATCH(U63,TasksTable[Task ID],0)),0),IFERROR(INDEX(TasksTable[Start Date],MATCH(V63,TasksTable[Task ID],0)),0),IFERROR(INDEX(TasksTable[Start Date],MATCH(W63,TasksTable[Task ID],0)),0),IFERROR(INDEX(TasksTable[Start Date],MATCH(X63,TasksTable[Task ID],0)),0),IFERROR(INDEX(TasksTable[Start Date],MATCH(Y63,TasksTable[Task ID],0)),0),IFERROR(INDEX(TasksTable[Start Date],MATCH(Z63,TasksTable[Task ID],0)),0)))</x:f>
        <x:v>0</x:v>
      </x:c>
      <x:c r="AE63" s="144" t="n">
        <x:f>IF(AA63=0,0,MAX(IFERROR(INDEX(TasksTable[End Date],MATCH(T63,TasksTable[Task ID],0)),0),IFERROR(INDEX(TasksTable[End Date],MATCH(U63,TasksTable[Task ID],0)),0),IFERROR(INDEX(TasksTable[End Date],MATCH(V63,TasksTable[Task ID],0)),0),IFERROR(INDEX(TasksTable[End Date],MATCH(W63,TasksTable[Task ID],0)),0),IFERROR(INDEX(TasksTable[End Date],MATCH(X63,TasksTable[Task ID],0)),0),IFERROR(INDEX(TasksTable[End Date],MATCH(Y63,TasksTable[Task ID],0)),0),IFERROR(INDEX(TasksTable[End Date],MATCH(Z63,TasksTable[Task ID],0)),0)))</x:f>
        <x:v>0</x:v>
      </x:c>
      <x:c r="AF63" s="137" t="b">
        <x:f>IF(OR($A63="",AA63=0),FALSE,SWITCH($J63,"FS",$F63&lt;AE63,"SS",$F63&lt;AD63,"FF",$G63&lt;AE63,"SF",$G63&lt;AD63,TRUE))</x:f>
        <x:v>0</x:v>
      </x:c>
      <x:c r="AG63" s="137" t="str">
        <x:f>IF(AND($A63&lt;&gt;"",$K63="No",$N63&lt;&gt;"Completed",$F63&gt;=TODAY()),$F63+ROW()/100000,"")</x:f>
      </x:c>
      <x:c r="AH63" s="137" t="str">
        <x:f>IF(AND($A63&lt;&gt;"",$K63="Yes",$N63&lt;&gt;"Completed",$F63&gt;=TODAY()),$F63+ROW()/100000,"")</x:f>
      </x:c>
      <x:c r="AI63" s="137" t="str">
        <x:f>IF(AND($A63&lt;&gt;"",$K63="No",$N63&lt;&gt;"Completed",$G63&gt;=TODAY(),$G63&lt;=TODAY()+3),$G63+ROW()/100000,"")</x:f>
      </x:c>
      <x:c r="AJ63" s="137" t="str">
        <x:f>IF(AND($A63&lt;&gt;"",$K63="No",OR($N63="Delayed",$P63="Dependency conflict")),$G63+ROW()/100000,"")</x:f>
      </x:c>
      <x:c r="AK63" s="137" t="str">
        <x:f>IF(AG63="","",COUNTIFS($AG$7:$AG$206,"&gt;0",$AG$7:$AG$206,"&lt;"&amp;AG63)+1)</x:f>
      </x:c>
      <x:c r="AL63" s="137" t="str">
        <x:f>IF(AH63="","",COUNTIFS($AH$7:$AH$206,"&gt;0",$AH$7:$AH$206,"&lt;"&amp;AH63)+1)</x:f>
      </x:c>
      <x:c r="AM63" s="137" t="str">
        <x:f>IF(AI63="","",COUNTIFS($AI$7:$AI$206,"&gt;0",$AI$7:$AI$206,"&lt;"&amp;AI63)+1)</x:f>
      </x:c>
      <x:c r="AN63" s="137" t="str">
        <x:f>IF(AJ63="","",COUNTIFS($AJ$7:$AJ$206,"&gt;0",$AJ$7:$AJ$206,"&lt;"&amp;AJ63)+1)</x:f>
      </x:c>
    </x:row>
    <x:row r="64">
      <x:c r="T64" s="137" t="str">
        <x:f>IF($A64="","",TRIM(MID(SUBSTITUTE(SUBSTITUTE(TRIM($I64)," ",""),",",REPT(" ",100)),1,100)))</x:f>
      </x:c>
      <x:c r="U64" s="137" t="str">
        <x:f>IF($A64="","",TRIM(MID(SUBSTITUTE(SUBSTITUTE(TRIM($I64)," ",""),",",REPT(" ",100)),101,100)))</x:f>
      </x:c>
      <x:c r="V64" s="137" t="str">
        <x:f>IF($A64="","",TRIM(MID(SUBSTITUTE(SUBSTITUTE(TRIM($I64)," ",""),",",REPT(" ",100)),201,100)))</x:f>
      </x:c>
      <x:c r="W64" s="137" t="str">
        <x:f>IF($A64="","",TRIM(MID(SUBSTITUTE(SUBSTITUTE(TRIM($I64)," ",""),",",REPT(" ",100)),301,100)))</x:f>
      </x:c>
      <x:c r="X64" s="137" t="str">
        <x:f>IF($A64="","",TRIM(MID(SUBSTITUTE(SUBSTITUTE(TRIM($I64)," ",""),",",REPT(" ",100)),401,100)))</x:f>
      </x:c>
      <x:c r="Y64" s="137" t="str">
        <x:f>IF($A64="","",TRIM(MID(SUBSTITUTE(SUBSTITUTE(TRIM($I64)," ",""),",",REPT(" ",100)),501,100)))</x:f>
      </x:c>
      <x:c r="Z64" s="137" t="str">
        <x:f>IF($A64="","",TRIM(MID(SUBSTITUTE(SUBSTITUTE(TRIM($I64)," ",""),",",REPT(" ",100)),601,100)))</x:f>
      </x:c>
      <x:c r="AA64" s="137" t="str">
        <x:f>IF($A64="","",IF(SUBSTITUTE(TRIM($I64)," ","")="",0,1+LEN(SUBSTITUTE(TRIM($I64)," ",""))-LEN(SUBSTITUTE(SUBSTITUTE(TRIM($I64)," ",""),",",""))))</x:f>
      </x:c>
      <x:c r="AB64" s="137" t="str">
        <x:f>IF($A64="","",COUNTIF(TasksTable[Task ID],T64)+COUNTIF(TasksTable[Task ID],U64)+COUNTIF(TasksTable[Task ID],V64)+COUNTIF(TasksTable[Task ID],W64)+COUNTIF(TasksTable[Task ID],X64)+COUNTIF(TasksTable[Task ID],Y64)+COUNTIF(TasksTable[Task ID],Z64))</x:f>
      </x:c>
      <x:c r="AC64" s="137" t="b">
        <x:f>IF($A64="",FALSE,OR(T64=$A64,U64=$A64,V64=$A64,W64=$A64,X64=$A64,Y64=$A64,Z64=$A64))</x:f>
        <x:v>0</x:v>
      </x:c>
      <x:c r="AD64" s="144" t="n">
        <x:f>IF(AA64=0,0,MAX(IFERROR(INDEX(TasksTable[Start Date],MATCH(T64,TasksTable[Task ID],0)),0),IFERROR(INDEX(TasksTable[Start Date],MATCH(U64,TasksTable[Task ID],0)),0),IFERROR(INDEX(TasksTable[Start Date],MATCH(V64,TasksTable[Task ID],0)),0),IFERROR(INDEX(TasksTable[Start Date],MATCH(W64,TasksTable[Task ID],0)),0),IFERROR(INDEX(TasksTable[Start Date],MATCH(X64,TasksTable[Task ID],0)),0),IFERROR(INDEX(TasksTable[Start Date],MATCH(Y64,TasksTable[Task ID],0)),0),IFERROR(INDEX(TasksTable[Start Date],MATCH(Z64,TasksTable[Task ID],0)),0)))</x:f>
        <x:v>0</x:v>
      </x:c>
      <x:c r="AE64" s="144" t="n">
        <x:f>IF(AA64=0,0,MAX(IFERROR(INDEX(TasksTable[End Date],MATCH(T64,TasksTable[Task ID],0)),0),IFERROR(INDEX(TasksTable[End Date],MATCH(U64,TasksTable[Task ID],0)),0),IFERROR(INDEX(TasksTable[End Date],MATCH(V64,TasksTable[Task ID],0)),0),IFERROR(INDEX(TasksTable[End Date],MATCH(W64,TasksTable[Task ID],0)),0),IFERROR(INDEX(TasksTable[End Date],MATCH(X64,TasksTable[Task ID],0)),0),IFERROR(INDEX(TasksTable[End Date],MATCH(Y64,TasksTable[Task ID],0)),0),IFERROR(INDEX(TasksTable[End Date],MATCH(Z64,TasksTable[Task ID],0)),0)))</x:f>
        <x:v>0</x:v>
      </x:c>
      <x:c r="AF64" s="137" t="b">
        <x:f>IF(OR($A64="",AA64=0),FALSE,SWITCH($J64,"FS",$F64&lt;AE64,"SS",$F64&lt;AD64,"FF",$G64&lt;AE64,"SF",$G64&lt;AD64,TRUE))</x:f>
        <x:v>0</x:v>
      </x:c>
      <x:c r="AG64" s="137" t="str">
        <x:f>IF(AND($A64&lt;&gt;"",$K64="No",$N64&lt;&gt;"Completed",$F64&gt;=TODAY()),$F64+ROW()/100000,"")</x:f>
      </x:c>
      <x:c r="AH64" s="137" t="str">
        <x:f>IF(AND($A64&lt;&gt;"",$K64="Yes",$N64&lt;&gt;"Completed",$F64&gt;=TODAY()),$F64+ROW()/100000,"")</x:f>
      </x:c>
      <x:c r="AI64" s="137" t="str">
        <x:f>IF(AND($A64&lt;&gt;"",$K64="No",$N64&lt;&gt;"Completed",$G64&gt;=TODAY(),$G64&lt;=TODAY()+3),$G64+ROW()/100000,"")</x:f>
      </x:c>
      <x:c r="AJ64" s="137" t="str">
        <x:f>IF(AND($A64&lt;&gt;"",$K64="No",OR($N64="Delayed",$P64="Dependency conflict")),$G64+ROW()/100000,"")</x:f>
      </x:c>
      <x:c r="AK64" s="137" t="str">
        <x:f>IF(AG64="","",COUNTIFS($AG$7:$AG$206,"&gt;0",$AG$7:$AG$206,"&lt;"&amp;AG64)+1)</x:f>
      </x:c>
      <x:c r="AL64" s="137" t="str">
        <x:f>IF(AH64="","",COUNTIFS($AH$7:$AH$206,"&gt;0",$AH$7:$AH$206,"&lt;"&amp;AH64)+1)</x:f>
      </x:c>
      <x:c r="AM64" s="137" t="str">
        <x:f>IF(AI64="","",COUNTIFS($AI$7:$AI$206,"&gt;0",$AI$7:$AI$206,"&lt;"&amp;AI64)+1)</x:f>
      </x:c>
      <x:c r="AN64" s="137" t="str">
        <x:f>IF(AJ64="","",COUNTIFS($AJ$7:$AJ$206,"&gt;0",$AJ$7:$AJ$206,"&lt;"&amp;AJ64)+1)</x:f>
      </x:c>
    </x:row>
    <x:row r="65">
      <x:c r="T65" s="137" t="str">
        <x:f>IF($A65="","",TRIM(MID(SUBSTITUTE(SUBSTITUTE(TRIM($I65)," ",""),",",REPT(" ",100)),1,100)))</x:f>
      </x:c>
      <x:c r="U65" s="137" t="str">
        <x:f>IF($A65="","",TRIM(MID(SUBSTITUTE(SUBSTITUTE(TRIM($I65)," ",""),",",REPT(" ",100)),101,100)))</x:f>
      </x:c>
      <x:c r="V65" s="137" t="str">
        <x:f>IF($A65="","",TRIM(MID(SUBSTITUTE(SUBSTITUTE(TRIM($I65)," ",""),",",REPT(" ",100)),201,100)))</x:f>
      </x:c>
      <x:c r="W65" s="137" t="str">
        <x:f>IF($A65="","",TRIM(MID(SUBSTITUTE(SUBSTITUTE(TRIM($I65)," ",""),",",REPT(" ",100)),301,100)))</x:f>
      </x:c>
      <x:c r="X65" s="137" t="str">
        <x:f>IF($A65="","",TRIM(MID(SUBSTITUTE(SUBSTITUTE(TRIM($I65)," ",""),",",REPT(" ",100)),401,100)))</x:f>
      </x:c>
      <x:c r="Y65" s="137" t="str">
        <x:f>IF($A65="","",TRIM(MID(SUBSTITUTE(SUBSTITUTE(TRIM($I65)," ",""),",",REPT(" ",100)),501,100)))</x:f>
      </x:c>
      <x:c r="Z65" s="137" t="str">
        <x:f>IF($A65="","",TRIM(MID(SUBSTITUTE(SUBSTITUTE(TRIM($I65)," ",""),",",REPT(" ",100)),601,100)))</x:f>
      </x:c>
      <x:c r="AA65" s="137" t="str">
        <x:f>IF($A65="","",IF(SUBSTITUTE(TRIM($I65)," ","")="",0,1+LEN(SUBSTITUTE(TRIM($I65)," ",""))-LEN(SUBSTITUTE(SUBSTITUTE(TRIM($I65)," ",""),",",""))))</x:f>
      </x:c>
      <x:c r="AB65" s="137" t="str">
        <x:f>IF($A65="","",COUNTIF(TasksTable[Task ID],T65)+COUNTIF(TasksTable[Task ID],U65)+COUNTIF(TasksTable[Task ID],V65)+COUNTIF(TasksTable[Task ID],W65)+COUNTIF(TasksTable[Task ID],X65)+COUNTIF(TasksTable[Task ID],Y65)+COUNTIF(TasksTable[Task ID],Z65))</x:f>
      </x:c>
      <x:c r="AC65" s="137" t="b">
        <x:f>IF($A65="",FALSE,OR(T65=$A65,U65=$A65,V65=$A65,W65=$A65,X65=$A65,Y65=$A65,Z65=$A65))</x:f>
        <x:v>0</x:v>
      </x:c>
      <x:c r="AD65" s="144" t="n">
        <x:f>IF(AA65=0,0,MAX(IFERROR(INDEX(TasksTable[Start Date],MATCH(T65,TasksTable[Task ID],0)),0),IFERROR(INDEX(TasksTable[Start Date],MATCH(U65,TasksTable[Task ID],0)),0),IFERROR(INDEX(TasksTable[Start Date],MATCH(V65,TasksTable[Task ID],0)),0),IFERROR(INDEX(TasksTable[Start Date],MATCH(W65,TasksTable[Task ID],0)),0),IFERROR(INDEX(TasksTable[Start Date],MATCH(X65,TasksTable[Task ID],0)),0),IFERROR(INDEX(TasksTable[Start Date],MATCH(Y65,TasksTable[Task ID],0)),0),IFERROR(INDEX(TasksTable[Start Date],MATCH(Z65,TasksTable[Task ID],0)),0)))</x:f>
        <x:v>0</x:v>
      </x:c>
      <x:c r="AE65" s="144" t="n">
        <x:f>IF(AA65=0,0,MAX(IFERROR(INDEX(TasksTable[End Date],MATCH(T65,TasksTable[Task ID],0)),0),IFERROR(INDEX(TasksTable[End Date],MATCH(U65,TasksTable[Task ID],0)),0),IFERROR(INDEX(TasksTable[End Date],MATCH(V65,TasksTable[Task ID],0)),0),IFERROR(INDEX(TasksTable[End Date],MATCH(W65,TasksTable[Task ID],0)),0),IFERROR(INDEX(TasksTable[End Date],MATCH(X65,TasksTable[Task ID],0)),0),IFERROR(INDEX(TasksTable[End Date],MATCH(Y65,TasksTable[Task ID],0)),0),IFERROR(INDEX(TasksTable[End Date],MATCH(Z65,TasksTable[Task ID],0)),0)))</x:f>
        <x:v>0</x:v>
      </x:c>
      <x:c r="AF65" s="137" t="b">
        <x:f>IF(OR($A65="",AA65=0),FALSE,SWITCH($J65,"FS",$F65&lt;AE65,"SS",$F65&lt;AD65,"FF",$G65&lt;AE65,"SF",$G65&lt;AD65,TRUE))</x:f>
        <x:v>0</x:v>
      </x:c>
      <x:c r="AG65" s="137" t="str">
        <x:f>IF(AND($A65&lt;&gt;"",$K65="No",$N65&lt;&gt;"Completed",$F65&gt;=TODAY()),$F65+ROW()/100000,"")</x:f>
      </x:c>
      <x:c r="AH65" s="137" t="str">
        <x:f>IF(AND($A65&lt;&gt;"",$K65="Yes",$N65&lt;&gt;"Completed",$F65&gt;=TODAY()),$F65+ROW()/100000,"")</x:f>
      </x:c>
      <x:c r="AI65" s="137" t="str">
        <x:f>IF(AND($A65&lt;&gt;"",$K65="No",$N65&lt;&gt;"Completed",$G65&gt;=TODAY(),$G65&lt;=TODAY()+3),$G65+ROW()/100000,"")</x:f>
      </x:c>
      <x:c r="AJ65" s="137" t="str">
        <x:f>IF(AND($A65&lt;&gt;"",$K65="No",OR($N65="Delayed",$P65="Dependency conflict")),$G65+ROW()/100000,"")</x:f>
      </x:c>
      <x:c r="AK65" s="137" t="str">
        <x:f>IF(AG65="","",COUNTIFS($AG$7:$AG$206,"&gt;0",$AG$7:$AG$206,"&lt;"&amp;AG65)+1)</x:f>
      </x:c>
      <x:c r="AL65" s="137" t="str">
        <x:f>IF(AH65="","",COUNTIFS($AH$7:$AH$206,"&gt;0",$AH$7:$AH$206,"&lt;"&amp;AH65)+1)</x:f>
      </x:c>
      <x:c r="AM65" s="137" t="str">
        <x:f>IF(AI65="","",COUNTIFS($AI$7:$AI$206,"&gt;0",$AI$7:$AI$206,"&lt;"&amp;AI65)+1)</x:f>
      </x:c>
      <x:c r="AN65" s="137" t="str">
        <x:f>IF(AJ65="","",COUNTIFS($AJ$7:$AJ$206,"&gt;0",$AJ$7:$AJ$206,"&lt;"&amp;AJ65)+1)</x:f>
      </x:c>
    </x:row>
    <x:row r="66">
      <x:c r="T66" s="137" t="str">
        <x:f>IF($A66="","",TRIM(MID(SUBSTITUTE(SUBSTITUTE(TRIM($I66)," ",""),",",REPT(" ",100)),1,100)))</x:f>
      </x:c>
      <x:c r="U66" s="137" t="str">
        <x:f>IF($A66="","",TRIM(MID(SUBSTITUTE(SUBSTITUTE(TRIM($I66)," ",""),",",REPT(" ",100)),101,100)))</x:f>
      </x:c>
      <x:c r="V66" s="137" t="str">
        <x:f>IF($A66="","",TRIM(MID(SUBSTITUTE(SUBSTITUTE(TRIM($I66)," ",""),",",REPT(" ",100)),201,100)))</x:f>
      </x:c>
      <x:c r="W66" s="137" t="str">
        <x:f>IF($A66="","",TRIM(MID(SUBSTITUTE(SUBSTITUTE(TRIM($I66)," ",""),",",REPT(" ",100)),301,100)))</x:f>
      </x:c>
      <x:c r="X66" s="137" t="str">
        <x:f>IF($A66="","",TRIM(MID(SUBSTITUTE(SUBSTITUTE(TRIM($I66)," ",""),",",REPT(" ",100)),401,100)))</x:f>
      </x:c>
      <x:c r="Y66" s="137" t="str">
        <x:f>IF($A66="","",TRIM(MID(SUBSTITUTE(SUBSTITUTE(TRIM($I66)," ",""),",",REPT(" ",100)),501,100)))</x:f>
      </x:c>
      <x:c r="Z66" s="137" t="str">
        <x:f>IF($A66="","",TRIM(MID(SUBSTITUTE(SUBSTITUTE(TRIM($I66)," ",""),",",REPT(" ",100)),601,100)))</x:f>
      </x:c>
      <x:c r="AA66" s="137" t="str">
        <x:f>IF($A66="","",IF(SUBSTITUTE(TRIM($I66)," ","")="",0,1+LEN(SUBSTITUTE(TRIM($I66)," ",""))-LEN(SUBSTITUTE(SUBSTITUTE(TRIM($I66)," ",""),",",""))))</x:f>
      </x:c>
      <x:c r="AB66" s="137" t="str">
        <x:f>IF($A66="","",COUNTIF(TasksTable[Task ID],T66)+COUNTIF(TasksTable[Task ID],U66)+COUNTIF(TasksTable[Task ID],V66)+COUNTIF(TasksTable[Task ID],W66)+COUNTIF(TasksTable[Task ID],X66)+COUNTIF(TasksTable[Task ID],Y66)+COUNTIF(TasksTable[Task ID],Z66))</x:f>
      </x:c>
      <x:c r="AC66" s="137" t="b">
        <x:f>IF($A66="",FALSE,OR(T66=$A66,U66=$A66,V66=$A66,W66=$A66,X66=$A66,Y66=$A66,Z66=$A66))</x:f>
        <x:v>0</x:v>
      </x:c>
      <x:c r="AD66" s="144" t="n">
        <x:f>IF(AA66=0,0,MAX(IFERROR(INDEX(TasksTable[Start Date],MATCH(T66,TasksTable[Task ID],0)),0),IFERROR(INDEX(TasksTable[Start Date],MATCH(U66,TasksTable[Task ID],0)),0),IFERROR(INDEX(TasksTable[Start Date],MATCH(V66,TasksTable[Task ID],0)),0),IFERROR(INDEX(TasksTable[Start Date],MATCH(W66,TasksTable[Task ID],0)),0),IFERROR(INDEX(TasksTable[Start Date],MATCH(X66,TasksTable[Task ID],0)),0),IFERROR(INDEX(TasksTable[Start Date],MATCH(Y66,TasksTable[Task ID],0)),0),IFERROR(INDEX(TasksTable[Start Date],MATCH(Z66,TasksTable[Task ID],0)),0)))</x:f>
        <x:v>0</x:v>
      </x:c>
      <x:c r="AE66" s="144" t="n">
        <x:f>IF(AA66=0,0,MAX(IFERROR(INDEX(TasksTable[End Date],MATCH(T66,TasksTable[Task ID],0)),0),IFERROR(INDEX(TasksTable[End Date],MATCH(U66,TasksTable[Task ID],0)),0),IFERROR(INDEX(TasksTable[End Date],MATCH(V66,TasksTable[Task ID],0)),0),IFERROR(INDEX(TasksTable[End Date],MATCH(W66,TasksTable[Task ID],0)),0),IFERROR(INDEX(TasksTable[End Date],MATCH(X66,TasksTable[Task ID],0)),0),IFERROR(INDEX(TasksTable[End Date],MATCH(Y66,TasksTable[Task ID],0)),0),IFERROR(INDEX(TasksTable[End Date],MATCH(Z66,TasksTable[Task ID],0)),0)))</x:f>
        <x:v>0</x:v>
      </x:c>
      <x:c r="AF66" s="137" t="b">
        <x:f>IF(OR($A66="",AA66=0),FALSE,SWITCH($J66,"FS",$F66&lt;AE66,"SS",$F66&lt;AD66,"FF",$G66&lt;AE66,"SF",$G66&lt;AD66,TRUE))</x:f>
        <x:v>0</x:v>
      </x:c>
      <x:c r="AG66" s="137" t="str">
        <x:f>IF(AND($A66&lt;&gt;"",$K66="No",$N66&lt;&gt;"Completed",$F66&gt;=TODAY()),$F66+ROW()/100000,"")</x:f>
      </x:c>
      <x:c r="AH66" s="137" t="str">
        <x:f>IF(AND($A66&lt;&gt;"",$K66="Yes",$N66&lt;&gt;"Completed",$F66&gt;=TODAY()),$F66+ROW()/100000,"")</x:f>
      </x:c>
      <x:c r="AI66" s="137" t="str">
        <x:f>IF(AND($A66&lt;&gt;"",$K66="No",$N66&lt;&gt;"Completed",$G66&gt;=TODAY(),$G66&lt;=TODAY()+3),$G66+ROW()/100000,"")</x:f>
      </x:c>
      <x:c r="AJ66" s="137" t="str">
        <x:f>IF(AND($A66&lt;&gt;"",$K66="No",OR($N66="Delayed",$P66="Dependency conflict")),$G66+ROW()/100000,"")</x:f>
      </x:c>
      <x:c r="AK66" s="137" t="str">
        <x:f>IF(AG66="","",COUNTIFS($AG$7:$AG$206,"&gt;0",$AG$7:$AG$206,"&lt;"&amp;AG66)+1)</x:f>
      </x:c>
      <x:c r="AL66" s="137" t="str">
        <x:f>IF(AH66="","",COUNTIFS($AH$7:$AH$206,"&gt;0",$AH$7:$AH$206,"&lt;"&amp;AH66)+1)</x:f>
      </x:c>
      <x:c r="AM66" s="137" t="str">
        <x:f>IF(AI66="","",COUNTIFS($AI$7:$AI$206,"&gt;0",$AI$7:$AI$206,"&lt;"&amp;AI66)+1)</x:f>
      </x:c>
      <x:c r="AN66" s="137" t="str">
        <x:f>IF(AJ66="","",COUNTIFS($AJ$7:$AJ$206,"&gt;0",$AJ$7:$AJ$206,"&lt;"&amp;AJ66)+1)</x:f>
      </x:c>
    </x:row>
    <x:row r="67">
      <x:c r="T67" s="137" t="str">
        <x:f>IF($A67="","",TRIM(MID(SUBSTITUTE(SUBSTITUTE(TRIM($I67)," ",""),",",REPT(" ",100)),1,100)))</x:f>
      </x:c>
      <x:c r="U67" s="137" t="str">
        <x:f>IF($A67="","",TRIM(MID(SUBSTITUTE(SUBSTITUTE(TRIM($I67)," ",""),",",REPT(" ",100)),101,100)))</x:f>
      </x:c>
      <x:c r="V67" s="137" t="str">
        <x:f>IF($A67="","",TRIM(MID(SUBSTITUTE(SUBSTITUTE(TRIM($I67)," ",""),",",REPT(" ",100)),201,100)))</x:f>
      </x:c>
      <x:c r="W67" s="137" t="str">
        <x:f>IF($A67="","",TRIM(MID(SUBSTITUTE(SUBSTITUTE(TRIM($I67)," ",""),",",REPT(" ",100)),301,100)))</x:f>
      </x:c>
      <x:c r="X67" s="137" t="str">
        <x:f>IF($A67="","",TRIM(MID(SUBSTITUTE(SUBSTITUTE(TRIM($I67)," ",""),",",REPT(" ",100)),401,100)))</x:f>
      </x:c>
      <x:c r="Y67" s="137" t="str">
        <x:f>IF($A67="","",TRIM(MID(SUBSTITUTE(SUBSTITUTE(TRIM($I67)," ",""),",",REPT(" ",100)),501,100)))</x:f>
      </x:c>
      <x:c r="Z67" s="137" t="str">
        <x:f>IF($A67="","",TRIM(MID(SUBSTITUTE(SUBSTITUTE(TRIM($I67)," ",""),",",REPT(" ",100)),601,100)))</x:f>
      </x:c>
      <x:c r="AA67" s="137" t="str">
        <x:f>IF($A67="","",IF(SUBSTITUTE(TRIM($I67)," ","")="",0,1+LEN(SUBSTITUTE(TRIM($I67)," ",""))-LEN(SUBSTITUTE(SUBSTITUTE(TRIM($I67)," ",""),",",""))))</x:f>
      </x:c>
      <x:c r="AB67" s="137" t="str">
        <x:f>IF($A67="","",COUNTIF(TasksTable[Task ID],T67)+COUNTIF(TasksTable[Task ID],U67)+COUNTIF(TasksTable[Task ID],V67)+COUNTIF(TasksTable[Task ID],W67)+COUNTIF(TasksTable[Task ID],X67)+COUNTIF(TasksTable[Task ID],Y67)+COUNTIF(TasksTable[Task ID],Z67))</x:f>
      </x:c>
      <x:c r="AC67" s="137" t="b">
        <x:f>IF($A67="",FALSE,OR(T67=$A67,U67=$A67,V67=$A67,W67=$A67,X67=$A67,Y67=$A67,Z67=$A67))</x:f>
        <x:v>0</x:v>
      </x:c>
      <x:c r="AD67" s="144" t="n">
        <x:f>IF(AA67=0,0,MAX(IFERROR(INDEX(TasksTable[Start Date],MATCH(T67,TasksTable[Task ID],0)),0),IFERROR(INDEX(TasksTable[Start Date],MATCH(U67,TasksTable[Task ID],0)),0),IFERROR(INDEX(TasksTable[Start Date],MATCH(V67,TasksTable[Task ID],0)),0),IFERROR(INDEX(TasksTable[Start Date],MATCH(W67,TasksTable[Task ID],0)),0),IFERROR(INDEX(TasksTable[Start Date],MATCH(X67,TasksTable[Task ID],0)),0),IFERROR(INDEX(TasksTable[Start Date],MATCH(Y67,TasksTable[Task ID],0)),0),IFERROR(INDEX(TasksTable[Start Date],MATCH(Z67,TasksTable[Task ID],0)),0)))</x:f>
        <x:v>0</x:v>
      </x:c>
      <x:c r="AE67" s="144" t="n">
        <x:f>IF(AA67=0,0,MAX(IFERROR(INDEX(TasksTable[End Date],MATCH(T67,TasksTable[Task ID],0)),0),IFERROR(INDEX(TasksTable[End Date],MATCH(U67,TasksTable[Task ID],0)),0),IFERROR(INDEX(TasksTable[End Date],MATCH(V67,TasksTable[Task ID],0)),0),IFERROR(INDEX(TasksTable[End Date],MATCH(W67,TasksTable[Task ID],0)),0),IFERROR(INDEX(TasksTable[End Date],MATCH(X67,TasksTable[Task ID],0)),0),IFERROR(INDEX(TasksTable[End Date],MATCH(Y67,TasksTable[Task ID],0)),0),IFERROR(INDEX(TasksTable[End Date],MATCH(Z67,TasksTable[Task ID],0)),0)))</x:f>
        <x:v>0</x:v>
      </x:c>
      <x:c r="AF67" s="137" t="b">
        <x:f>IF(OR($A67="",AA67=0),FALSE,SWITCH($J67,"FS",$F67&lt;AE67,"SS",$F67&lt;AD67,"FF",$G67&lt;AE67,"SF",$G67&lt;AD67,TRUE))</x:f>
        <x:v>0</x:v>
      </x:c>
      <x:c r="AG67" s="137" t="str">
        <x:f>IF(AND($A67&lt;&gt;"",$K67="No",$N67&lt;&gt;"Completed",$F67&gt;=TODAY()),$F67+ROW()/100000,"")</x:f>
      </x:c>
      <x:c r="AH67" s="137" t="str">
        <x:f>IF(AND($A67&lt;&gt;"",$K67="Yes",$N67&lt;&gt;"Completed",$F67&gt;=TODAY()),$F67+ROW()/100000,"")</x:f>
      </x:c>
      <x:c r="AI67" s="137" t="str">
        <x:f>IF(AND($A67&lt;&gt;"",$K67="No",$N67&lt;&gt;"Completed",$G67&gt;=TODAY(),$G67&lt;=TODAY()+3),$G67+ROW()/100000,"")</x:f>
      </x:c>
      <x:c r="AJ67" s="137" t="str">
        <x:f>IF(AND($A67&lt;&gt;"",$K67="No",OR($N67="Delayed",$P67="Dependency conflict")),$G67+ROW()/100000,"")</x:f>
      </x:c>
      <x:c r="AK67" s="137" t="str">
        <x:f>IF(AG67="","",COUNTIFS($AG$7:$AG$206,"&gt;0",$AG$7:$AG$206,"&lt;"&amp;AG67)+1)</x:f>
      </x:c>
      <x:c r="AL67" s="137" t="str">
        <x:f>IF(AH67="","",COUNTIFS($AH$7:$AH$206,"&gt;0",$AH$7:$AH$206,"&lt;"&amp;AH67)+1)</x:f>
      </x:c>
      <x:c r="AM67" s="137" t="str">
        <x:f>IF(AI67="","",COUNTIFS($AI$7:$AI$206,"&gt;0",$AI$7:$AI$206,"&lt;"&amp;AI67)+1)</x:f>
      </x:c>
      <x:c r="AN67" s="137" t="str">
        <x:f>IF(AJ67="","",COUNTIFS($AJ$7:$AJ$206,"&gt;0",$AJ$7:$AJ$206,"&lt;"&amp;AJ67)+1)</x:f>
      </x:c>
    </x:row>
    <x:row r="68">
      <x:c r="T68" s="137" t="str">
        <x:f>IF($A68="","",TRIM(MID(SUBSTITUTE(SUBSTITUTE(TRIM($I68)," ",""),",",REPT(" ",100)),1,100)))</x:f>
      </x:c>
      <x:c r="U68" s="137" t="str">
        <x:f>IF($A68="","",TRIM(MID(SUBSTITUTE(SUBSTITUTE(TRIM($I68)," ",""),",",REPT(" ",100)),101,100)))</x:f>
      </x:c>
      <x:c r="V68" s="137" t="str">
        <x:f>IF($A68="","",TRIM(MID(SUBSTITUTE(SUBSTITUTE(TRIM($I68)," ",""),",",REPT(" ",100)),201,100)))</x:f>
      </x:c>
      <x:c r="W68" s="137" t="str">
        <x:f>IF($A68="","",TRIM(MID(SUBSTITUTE(SUBSTITUTE(TRIM($I68)," ",""),",",REPT(" ",100)),301,100)))</x:f>
      </x:c>
      <x:c r="X68" s="137" t="str">
        <x:f>IF($A68="","",TRIM(MID(SUBSTITUTE(SUBSTITUTE(TRIM($I68)," ",""),",",REPT(" ",100)),401,100)))</x:f>
      </x:c>
      <x:c r="Y68" s="137" t="str">
        <x:f>IF($A68="","",TRIM(MID(SUBSTITUTE(SUBSTITUTE(TRIM($I68)," ",""),",",REPT(" ",100)),501,100)))</x:f>
      </x:c>
      <x:c r="Z68" s="137" t="str">
        <x:f>IF($A68="","",TRIM(MID(SUBSTITUTE(SUBSTITUTE(TRIM($I68)," ",""),",",REPT(" ",100)),601,100)))</x:f>
      </x:c>
      <x:c r="AA68" s="137" t="str">
        <x:f>IF($A68="","",IF(SUBSTITUTE(TRIM($I68)," ","")="",0,1+LEN(SUBSTITUTE(TRIM($I68)," ",""))-LEN(SUBSTITUTE(SUBSTITUTE(TRIM($I68)," ",""),",",""))))</x:f>
      </x:c>
      <x:c r="AB68" s="137" t="str">
        <x:f>IF($A68="","",COUNTIF(TasksTable[Task ID],T68)+COUNTIF(TasksTable[Task ID],U68)+COUNTIF(TasksTable[Task ID],V68)+COUNTIF(TasksTable[Task ID],W68)+COUNTIF(TasksTable[Task ID],X68)+COUNTIF(TasksTable[Task ID],Y68)+COUNTIF(TasksTable[Task ID],Z68))</x:f>
      </x:c>
      <x:c r="AC68" s="137" t="b">
        <x:f>IF($A68="",FALSE,OR(T68=$A68,U68=$A68,V68=$A68,W68=$A68,X68=$A68,Y68=$A68,Z68=$A68))</x:f>
        <x:v>0</x:v>
      </x:c>
      <x:c r="AD68" s="144" t="n">
        <x:f>IF(AA68=0,0,MAX(IFERROR(INDEX(TasksTable[Start Date],MATCH(T68,TasksTable[Task ID],0)),0),IFERROR(INDEX(TasksTable[Start Date],MATCH(U68,TasksTable[Task ID],0)),0),IFERROR(INDEX(TasksTable[Start Date],MATCH(V68,TasksTable[Task ID],0)),0),IFERROR(INDEX(TasksTable[Start Date],MATCH(W68,TasksTable[Task ID],0)),0),IFERROR(INDEX(TasksTable[Start Date],MATCH(X68,TasksTable[Task ID],0)),0),IFERROR(INDEX(TasksTable[Start Date],MATCH(Y68,TasksTable[Task ID],0)),0),IFERROR(INDEX(TasksTable[Start Date],MATCH(Z68,TasksTable[Task ID],0)),0)))</x:f>
        <x:v>0</x:v>
      </x:c>
      <x:c r="AE68" s="144" t="n">
        <x:f>IF(AA68=0,0,MAX(IFERROR(INDEX(TasksTable[End Date],MATCH(T68,TasksTable[Task ID],0)),0),IFERROR(INDEX(TasksTable[End Date],MATCH(U68,TasksTable[Task ID],0)),0),IFERROR(INDEX(TasksTable[End Date],MATCH(V68,TasksTable[Task ID],0)),0),IFERROR(INDEX(TasksTable[End Date],MATCH(W68,TasksTable[Task ID],0)),0),IFERROR(INDEX(TasksTable[End Date],MATCH(X68,TasksTable[Task ID],0)),0),IFERROR(INDEX(TasksTable[End Date],MATCH(Y68,TasksTable[Task ID],0)),0),IFERROR(INDEX(TasksTable[End Date],MATCH(Z68,TasksTable[Task ID],0)),0)))</x:f>
        <x:v>0</x:v>
      </x:c>
      <x:c r="AF68" s="137" t="b">
        <x:f>IF(OR($A68="",AA68=0),FALSE,SWITCH($J68,"FS",$F68&lt;AE68,"SS",$F68&lt;AD68,"FF",$G68&lt;AE68,"SF",$G68&lt;AD68,TRUE))</x:f>
        <x:v>0</x:v>
      </x:c>
      <x:c r="AG68" s="137" t="str">
        <x:f>IF(AND($A68&lt;&gt;"",$K68="No",$N68&lt;&gt;"Completed",$F68&gt;=TODAY()),$F68+ROW()/100000,"")</x:f>
      </x:c>
      <x:c r="AH68" s="137" t="str">
        <x:f>IF(AND($A68&lt;&gt;"",$K68="Yes",$N68&lt;&gt;"Completed",$F68&gt;=TODAY()),$F68+ROW()/100000,"")</x:f>
      </x:c>
      <x:c r="AI68" s="137" t="str">
        <x:f>IF(AND($A68&lt;&gt;"",$K68="No",$N68&lt;&gt;"Completed",$G68&gt;=TODAY(),$G68&lt;=TODAY()+3),$G68+ROW()/100000,"")</x:f>
      </x:c>
      <x:c r="AJ68" s="137" t="str">
        <x:f>IF(AND($A68&lt;&gt;"",$K68="No",OR($N68="Delayed",$P68="Dependency conflict")),$G68+ROW()/100000,"")</x:f>
      </x:c>
      <x:c r="AK68" s="137" t="str">
        <x:f>IF(AG68="","",COUNTIFS($AG$7:$AG$206,"&gt;0",$AG$7:$AG$206,"&lt;"&amp;AG68)+1)</x:f>
      </x:c>
      <x:c r="AL68" s="137" t="str">
        <x:f>IF(AH68="","",COUNTIFS($AH$7:$AH$206,"&gt;0",$AH$7:$AH$206,"&lt;"&amp;AH68)+1)</x:f>
      </x:c>
      <x:c r="AM68" s="137" t="str">
        <x:f>IF(AI68="","",COUNTIFS($AI$7:$AI$206,"&gt;0",$AI$7:$AI$206,"&lt;"&amp;AI68)+1)</x:f>
      </x:c>
      <x:c r="AN68" s="137" t="str">
        <x:f>IF(AJ68="","",COUNTIFS($AJ$7:$AJ$206,"&gt;0",$AJ$7:$AJ$206,"&lt;"&amp;AJ68)+1)</x:f>
      </x:c>
    </x:row>
    <x:row r="69">
      <x:c r="T69" s="137" t="str">
        <x:f>IF($A69="","",TRIM(MID(SUBSTITUTE(SUBSTITUTE(TRIM($I69)," ",""),",",REPT(" ",100)),1,100)))</x:f>
      </x:c>
      <x:c r="U69" s="137" t="str">
        <x:f>IF($A69="","",TRIM(MID(SUBSTITUTE(SUBSTITUTE(TRIM($I69)," ",""),",",REPT(" ",100)),101,100)))</x:f>
      </x:c>
      <x:c r="V69" s="137" t="str">
        <x:f>IF($A69="","",TRIM(MID(SUBSTITUTE(SUBSTITUTE(TRIM($I69)," ",""),",",REPT(" ",100)),201,100)))</x:f>
      </x:c>
      <x:c r="W69" s="137" t="str">
        <x:f>IF($A69="","",TRIM(MID(SUBSTITUTE(SUBSTITUTE(TRIM($I69)," ",""),",",REPT(" ",100)),301,100)))</x:f>
      </x:c>
      <x:c r="X69" s="137" t="str">
        <x:f>IF($A69="","",TRIM(MID(SUBSTITUTE(SUBSTITUTE(TRIM($I69)," ",""),",",REPT(" ",100)),401,100)))</x:f>
      </x:c>
      <x:c r="Y69" s="137" t="str">
        <x:f>IF($A69="","",TRIM(MID(SUBSTITUTE(SUBSTITUTE(TRIM($I69)," ",""),",",REPT(" ",100)),501,100)))</x:f>
      </x:c>
      <x:c r="Z69" s="137" t="str">
        <x:f>IF($A69="","",TRIM(MID(SUBSTITUTE(SUBSTITUTE(TRIM($I69)," ",""),",",REPT(" ",100)),601,100)))</x:f>
      </x:c>
      <x:c r="AA69" s="137" t="str">
        <x:f>IF($A69="","",IF(SUBSTITUTE(TRIM($I69)," ","")="",0,1+LEN(SUBSTITUTE(TRIM($I69)," ",""))-LEN(SUBSTITUTE(SUBSTITUTE(TRIM($I69)," ",""),",",""))))</x:f>
      </x:c>
      <x:c r="AB69" s="137" t="str">
        <x:f>IF($A69="","",COUNTIF(TasksTable[Task ID],T69)+COUNTIF(TasksTable[Task ID],U69)+COUNTIF(TasksTable[Task ID],V69)+COUNTIF(TasksTable[Task ID],W69)+COUNTIF(TasksTable[Task ID],X69)+COUNTIF(TasksTable[Task ID],Y69)+COUNTIF(TasksTable[Task ID],Z69))</x:f>
      </x:c>
      <x:c r="AC69" s="137" t="b">
        <x:f>IF($A69="",FALSE,OR(T69=$A69,U69=$A69,V69=$A69,W69=$A69,X69=$A69,Y69=$A69,Z69=$A69))</x:f>
        <x:v>0</x:v>
      </x:c>
      <x:c r="AD69" s="144" t="n">
        <x:f>IF(AA69=0,0,MAX(IFERROR(INDEX(TasksTable[Start Date],MATCH(T69,TasksTable[Task ID],0)),0),IFERROR(INDEX(TasksTable[Start Date],MATCH(U69,TasksTable[Task ID],0)),0),IFERROR(INDEX(TasksTable[Start Date],MATCH(V69,TasksTable[Task ID],0)),0),IFERROR(INDEX(TasksTable[Start Date],MATCH(W69,TasksTable[Task ID],0)),0),IFERROR(INDEX(TasksTable[Start Date],MATCH(X69,TasksTable[Task ID],0)),0),IFERROR(INDEX(TasksTable[Start Date],MATCH(Y69,TasksTable[Task ID],0)),0),IFERROR(INDEX(TasksTable[Start Date],MATCH(Z69,TasksTable[Task ID],0)),0)))</x:f>
        <x:v>0</x:v>
      </x:c>
      <x:c r="AE69" s="144" t="n">
        <x:f>IF(AA69=0,0,MAX(IFERROR(INDEX(TasksTable[End Date],MATCH(T69,TasksTable[Task ID],0)),0),IFERROR(INDEX(TasksTable[End Date],MATCH(U69,TasksTable[Task ID],0)),0),IFERROR(INDEX(TasksTable[End Date],MATCH(V69,TasksTable[Task ID],0)),0),IFERROR(INDEX(TasksTable[End Date],MATCH(W69,TasksTable[Task ID],0)),0),IFERROR(INDEX(TasksTable[End Date],MATCH(X69,TasksTable[Task ID],0)),0),IFERROR(INDEX(TasksTable[End Date],MATCH(Y69,TasksTable[Task ID],0)),0),IFERROR(INDEX(TasksTable[End Date],MATCH(Z69,TasksTable[Task ID],0)),0)))</x:f>
        <x:v>0</x:v>
      </x:c>
      <x:c r="AF69" s="137" t="b">
        <x:f>IF(OR($A69="",AA69=0),FALSE,SWITCH($J69,"FS",$F69&lt;AE69,"SS",$F69&lt;AD69,"FF",$G69&lt;AE69,"SF",$G69&lt;AD69,TRUE))</x:f>
        <x:v>0</x:v>
      </x:c>
      <x:c r="AG69" s="137" t="str">
        <x:f>IF(AND($A69&lt;&gt;"",$K69="No",$N69&lt;&gt;"Completed",$F69&gt;=TODAY()),$F69+ROW()/100000,"")</x:f>
      </x:c>
      <x:c r="AH69" s="137" t="str">
        <x:f>IF(AND($A69&lt;&gt;"",$K69="Yes",$N69&lt;&gt;"Completed",$F69&gt;=TODAY()),$F69+ROW()/100000,"")</x:f>
      </x:c>
      <x:c r="AI69" s="137" t="str">
        <x:f>IF(AND($A69&lt;&gt;"",$K69="No",$N69&lt;&gt;"Completed",$G69&gt;=TODAY(),$G69&lt;=TODAY()+3),$G69+ROW()/100000,"")</x:f>
      </x:c>
      <x:c r="AJ69" s="137" t="str">
        <x:f>IF(AND($A69&lt;&gt;"",$K69="No",OR($N69="Delayed",$P69="Dependency conflict")),$G69+ROW()/100000,"")</x:f>
      </x:c>
      <x:c r="AK69" s="137" t="str">
        <x:f>IF(AG69="","",COUNTIFS($AG$7:$AG$206,"&gt;0",$AG$7:$AG$206,"&lt;"&amp;AG69)+1)</x:f>
      </x:c>
      <x:c r="AL69" s="137" t="str">
        <x:f>IF(AH69="","",COUNTIFS($AH$7:$AH$206,"&gt;0",$AH$7:$AH$206,"&lt;"&amp;AH69)+1)</x:f>
      </x:c>
      <x:c r="AM69" s="137" t="str">
        <x:f>IF(AI69="","",COUNTIFS($AI$7:$AI$206,"&gt;0",$AI$7:$AI$206,"&lt;"&amp;AI69)+1)</x:f>
      </x:c>
      <x:c r="AN69" s="137" t="str">
        <x:f>IF(AJ69="","",COUNTIFS($AJ$7:$AJ$206,"&gt;0",$AJ$7:$AJ$206,"&lt;"&amp;AJ69)+1)</x:f>
      </x:c>
    </x:row>
    <x:row r="70">
      <x:c r="T70" s="137" t="str">
        <x:f>IF($A70="","",TRIM(MID(SUBSTITUTE(SUBSTITUTE(TRIM($I70)," ",""),",",REPT(" ",100)),1,100)))</x:f>
      </x:c>
      <x:c r="U70" s="137" t="str">
        <x:f>IF($A70="","",TRIM(MID(SUBSTITUTE(SUBSTITUTE(TRIM($I70)," ",""),",",REPT(" ",100)),101,100)))</x:f>
      </x:c>
      <x:c r="V70" s="137" t="str">
        <x:f>IF($A70="","",TRIM(MID(SUBSTITUTE(SUBSTITUTE(TRIM($I70)," ",""),",",REPT(" ",100)),201,100)))</x:f>
      </x:c>
      <x:c r="W70" s="137" t="str">
        <x:f>IF($A70="","",TRIM(MID(SUBSTITUTE(SUBSTITUTE(TRIM($I70)," ",""),",",REPT(" ",100)),301,100)))</x:f>
      </x:c>
      <x:c r="X70" s="137" t="str">
        <x:f>IF($A70="","",TRIM(MID(SUBSTITUTE(SUBSTITUTE(TRIM($I70)," ",""),",",REPT(" ",100)),401,100)))</x:f>
      </x:c>
      <x:c r="Y70" s="137" t="str">
        <x:f>IF($A70="","",TRIM(MID(SUBSTITUTE(SUBSTITUTE(TRIM($I70)," ",""),",",REPT(" ",100)),501,100)))</x:f>
      </x:c>
      <x:c r="Z70" s="137" t="str">
        <x:f>IF($A70="","",TRIM(MID(SUBSTITUTE(SUBSTITUTE(TRIM($I70)," ",""),",",REPT(" ",100)),601,100)))</x:f>
      </x:c>
      <x:c r="AA70" s="137" t="str">
        <x:f>IF($A70="","",IF(SUBSTITUTE(TRIM($I70)," ","")="",0,1+LEN(SUBSTITUTE(TRIM($I70)," ",""))-LEN(SUBSTITUTE(SUBSTITUTE(TRIM($I70)," ",""),",",""))))</x:f>
      </x:c>
      <x:c r="AB70" s="137" t="str">
        <x:f>IF($A70="","",COUNTIF(TasksTable[Task ID],T70)+COUNTIF(TasksTable[Task ID],U70)+COUNTIF(TasksTable[Task ID],V70)+COUNTIF(TasksTable[Task ID],W70)+COUNTIF(TasksTable[Task ID],X70)+COUNTIF(TasksTable[Task ID],Y70)+COUNTIF(TasksTable[Task ID],Z70))</x:f>
      </x:c>
      <x:c r="AC70" s="137" t="b">
        <x:f>IF($A70="",FALSE,OR(T70=$A70,U70=$A70,V70=$A70,W70=$A70,X70=$A70,Y70=$A70,Z70=$A70))</x:f>
        <x:v>0</x:v>
      </x:c>
      <x:c r="AD70" s="144" t="n">
        <x:f>IF(AA70=0,0,MAX(IFERROR(INDEX(TasksTable[Start Date],MATCH(T70,TasksTable[Task ID],0)),0),IFERROR(INDEX(TasksTable[Start Date],MATCH(U70,TasksTable[Task ID],0)),0),IFERROR(INDEX(TasksTable[Start Date],MATCH(V70,TasksTable[Task ID],0)),0),IFERROR(INDEX(TasksTable[Start Date],MATCH(W70,TasksTable[Task ID],0)),0),IFERROR(INDEX(TasksTable[Start Date],MATCH(X70,TasksTable[Task ID],0)),0),IFERROR(INDEX(TasksTable[Start Date],MATCH(Y70,TasksTable[Task ID],0)),0),IFERROR(INDEX(TasksTable[Start Date],MATCH(Z70,TasksTable[Task ID],0)),0)))</x:f>
        <x:v>0</x:v>
      </x:c>
      <x:c r="AE70" s="144" t="n">
        <x:f>IF(AA70=0,0,MAX(IFERROR(INDEX(TasksTable[End Date],MATCH(T70,TasksTable[Task ID],0)),0),IFERROR(INDEX(TasksTable[End Date],MATCH(U70,TasksTable[Task ID],0)),0),IFERROR(INDEX(TasksTable[End Date],MATCH(V70,TasksTable[Task ID],0)),0),IFERROR(INDEX(TasksTable[End Date],MATCH(W70,TasksTable[Task ID],0)),0),IFERROR(INDEX(TasksTable[End Date],MATCH(X70,TasksTable[Task ID],0)),0),IFERROR(INDEX(TasksTable[End Date],MATCH(Y70,TasksTable[Task ID],0)),0),IFERROR(INDEX(TasksTable[End Date],MATCH(Z70,TasksTable[Task ID],0)),0)))</x:f>
        <x:v>0</x:v>
      </x:c>
      <x:c r="AF70" s="137" t="b">
        <x:f>IF(OR($A70="",AA70=0),FALSE,SWITCH($J70,"FS",$F70&lt;AE70,"SS",$F70&lt;AD70,"FF",$G70&lt;AE70,"SF",$G70&lt;AD70,TRUE))</x:f>
        <x:v>0</x:v>
      </x:c>
      <x:c r="AG70" s="137" t="str">
        <x:f>IF(AND($A70&lt;&gt;"",$K70="No",$N70&lt;&gt;"Completed",$F70&gt;=TODAY()),$F70+ROW()/100000,"")</x:f>
      </x:c>
      <x:c r="AH70" s="137" t="str">
        <x:f>IF(AND($A70&lt;&gt;"",$K70="Yes",$N70&lt;&gt;"Completed",$F70&gt;=TODAY()),$F70+ROW()/100000,"")</x:f>
      </x:c>
      <x:c r="AI70" s="137" t="str">
        <x:f>IF(AND($A70&lt;&gt;"",$K70="No",$N70&lt;&gt;"Completed",$G70&gt;=TODAY(),$G70&lt;=TODAY()+3),$G70+ROW()/100000,"")</x:f>
      </x:c>
      <x:c r="AJ70" s="137" t="str">
        <x:f>IF(AND($A70&lt;&gt;"",$K70="No",OR($N70="Delayed",$P70="Dependency conflict")),$G70+ROW()/100000,"")</x:f>
      </x:c>
      <x:c r="AK70" s="137" t="str">
        <x:f>IF(AG70="","",COUNTIFS($AG$7:$AG$206,"&gt;0",$AG$7:$AG$206,"&lt;"&amp;AG70)+1)</x:f>
      </x:c>
      <x:c r="AL70" s="137" t="str">
        <x:f>IF(AH70="","",COUNTIFS($AH$7:$AH$206,"&gt;0",$AH$7:$AH$206,"&lt;"&amp;AH70)+1)</x:f>
      </x:c>
      <x:c r="AM70" s="137" t="str">
        <x:f>IF(AI70="","",COUNTIFS($AI$7:$AI$206,"&gt;0",$AI$7:$AI$206,"&lt;"&amp;AI70)+1)</x:f>
      </x:c>
      <x:c r="AN70" s="137" t="str">
        <x:f>IF(AJ70="","",COUNTIFS($AJ$7:$AJ$206,"&gt;0",$AJ$7:$AJ$206,"&lt;"&amp;AJ70)+1)</x:f>
      </x:c>
    </x:row>
    <x:row r="71">
      <x:c r="T71" s="137" t="str">
        <x:f>IF($A71="","",TRIM(MID(SUBSTITUTE(SUBSTITUTE(TRIM($I71)," ",""),",",REPT(" ",100)),1,100)))</x:f>
      </x:c>
      <x:c r="U71" s="137" t="str">
        <x:f>IF($A71="","",TRIM(MID(SUBSTITUTE(SUBSTITUTE(TRIM($I71)," ",""),",",REPT(" ",100)),101,100)))</x:f>
      </x:c>
      <x:c r="V71" s="137" t="str">
        <x:f>IF($A71="","",TRIM(MID(SUBSTITUTE(SUBSTITUTE(TRIM($I71)," ",""),",",REPT(" ",100)),201,100)))</x:f>
      </x:c>
      <x:c r="W71" s="137" t="str">
        <x:f>IF($A71="","",TRIM(MID(SUBSTITUTE(SUBSTITUTE(TRIM($I71)," ",""),",",REPT(" ",100)),301,100)))</x:f>
      </x:c>
      <x:c r="X71" s="137" t="str">
        <x:f>IF($A71="","",TRIM(MID(SUBSTITUTE(SUBSTITUTE(TRIM($I71)," ",""),",",REPT(" ",100)),401,100)))</x:f>
      </x:c>
      <x:c r="Y71" s="137" t="str">
        <x:f>IF($A71="","",TRIM(MID(SUBSTITUTE(SUBSTITUTE(TRIM($I71)," ",""),",",REPT(" ",100)),501,100)))</x:f>
      </x:c>
      <x:c r="Z71" s="137" t="str">
        <x:f>IF($A71="","",TRIM(MID(SUBSTITUTE(SUBSTITUTE(TRIM($I71)," ",""),",",REPT(" ",100)),601,100)))</x:f>
      </x:c>
      <x:c r="AA71" s="137" t="str">
        <x:f>IF($A71="","",IF(SUBSTITUTE(TRIM($I71)," ","")="",0,1+LEN(SUBSTITUTE(TRIM($I71)," ",""))-LEN(SUBSTITUTE(SUBSTITUTE(TRIM($I71)," ",""),",",""))))</x:f>
      </x:c>
      <x:c r="AB71" s="137" t="str">
        <x:f>IF($A71="","",COUNTIF(TasksTable[Task ID],T71)+COUNTIF(TasksTable[Task ID],U71)+COUNTIF(TasksTable[Task ID],V71)+COUNTIF(TasksTable[Task ID],W71)+COUNTIF(TasksTable[Task ID],X71)+COUNTIF(TasksTable[Task ID],Y71)+COUNTIF(TasksTable[Task ID],Z71))</x:f>
      </x:c>
      <x:c r="AC71" s="137" t="b">
        <x:f>IF($A71="",FALSE,OR(T71=$A71,U71=$A71,V71=$A71,W71=$A71,X71=$A71,Y71=$A71,Z71=$A71))</x:f>
        <x:v>0</x:v>
      </x:c>
      <x:c r="AD71" s="144" t="n">
        <x:f>IF(AA71=0,0,MAX(IFERROR(INDEX(TasksTable[Start Date],MATCH(T71,TasksTable[Task ID],0)),0),IFERROR(INDEX(TasksTable[Start Date],MATCH(U71,TasksTable[Task ID],0)),0),IFERROR(INDEX(TasksTable[Start Date],MATCH(V71,TasksTable[Task ID],0)),0),IFERROR(INDEX(TasksTable[Start Date],MATCH(W71,TasksTable[Task ID],0)),0),IFERROR(INDEX(TasksTable[Start Date],MATCH(X71,TasksTable[Task ID],0)),0),IFERROR(INDEX(TasksTable[Start Date],MATCH(Y71,TasksTable[Task ID],0)),0),IFERROR(INDEX(TasksTable[Start Date],MATCH(Z71,TasksTable[Task ID],0)),0)))</x:f>
        <x:v>0</x:v>
      </x:c>
      <x:c r="AE71" s="144" t="n">
        <x:f>IF(AA71=0,0,MAX(IFERROR(INDEX(TasksTable[End Date],MATCH(T71,TasksTable[Task ID],0)),0),IFERROR(INDEX(TasksTable[End Date],MATCH(U71,TasksTable[Task ID],0)),0),IFERROR(INDEX(TasksTable[End Date],MATCH(V71,TasksTable[Task ID],0)),0),IFERROR(INDEX(TasksTable[End Date],MATCH(W71,TasksTable[Task ID],0)),0),IFERROR(INDEX(TasksTable[End Date],MATCH(X71,TasksTable[Task ID],0)),0),IFERROR(INDEX(TasksTable[End Date],MATCH(Y71,TasksTable[Task ID],0)),0),IFERROR(INDEX(TasksTable[End Date],MATCH(Z71,TasksTable[Task ID],0)),0)))</x:f>
        <x:v>0</x:v>
      </x:c>
      <x:c r="AF71" s="137" t="b">
        <x:f>IF(OR($A71="",AA71=0),FALSE,SWITCH($J71,"FS",$F71&lt;AE71,"SS",$F71&lt;AD71,"FF",$G71&lt;AE71,"SF",$G71&lt;AD71,TRUE))</x:f>
        <x:v>0</x:v>
      </x:c>
      <x:c r="AG71" s="137" t="str">
        <x:f>IF(AND($A71&lt;&gt;"",$K71="No",$N71&lt;&gt;"Completed",$F71&gt;=TODAY()),$F71+ROW()/100000,"")</x:f>
      </x:c>
      <x:c r="AH71" s="137" t="str">
        <x:f>IF(AND($A71&lt;&gt;"",$K71="Yes",$N71&lt;&gt;"Completed",$F71&gt;=TODAY()),$F71+ROW()/100000,"")</x:f>
      </x:c>
      <x:c r="AI71" s="137" t="str">
        <x:f>IF(AND($A71&lt;&gt;"",$K71="No",$N71&lt;&gt;"Completed",$G71&gt;=TODAY(),$G71&lt;=TODAY()+3),$G71+ROW()/100000,"")</x:f>
      </x:c>
      <x:c r="AJ71" s="137" t="str">
        <x:f>IF(AND($A71&lt;&gt;"",$K71="No",OR($N71="Delayed",$P71="Dependency conflict")),$G71+ROW()/100000,"")</x:f>
      </x:c>
      <x:c r="AK71" s="137" t="str">
        <x:f>IF(AG71="","",COUNTIFS($AG$7:$AG$206,"&gt;0",$AG$7:$AG$206,"&lt;"&amp;AG71)+1)</x:f>
      </x:c>
      <x:c r="AL71" s="137" t="str">
        <x:f>IF(AH71="","",COUNTIFS($AH$7:$AH$206,"&gt;0",$AH$7:$AH$206,"&lt;"&amp;AH71)+1)</x:f>
      </x:c>
      <x:c r="AM71" s="137" t="str">
        <x:f>IF(AI71="","",COUNTIFS($AI$7:$AI$206,"&gt;0",$AI$7:$AI$206,"&lt;"&amp;AI71)+1)</x:f>
      </x:c>
      <x:c r="AN71" s="137" t="str">
        <x:f>IF(AJ71="","",COUNTIFS($AJ$7:$AJ$206,"&gt;0",$AJ$7:$AJ$206,"&lt;"&amp;AJ71)+1)</x:f>
      </x:c>
    </x:row>
    <x:row r="72">
      <x:c r="T72" s="137" t="str">
        <x:f>IF($A72="","",TRIM(MID(SUBSTITUTE(SUBSTITUTE(TRIM($I72)," ",""),",",REPT(" ",100)),1,100)))</x:f>
      </x:c>
      <x:c r="U72" s="137" t="str">
        <x:f>IF($A72="","",TRIM(MID(SUBSTITUTE(SUBSTITUTE(TRIM($I72)," ",""),",",REPT(" ",100)),101,100)))</x:f>
      </x:c>
      <x:c r="V72" s="137" t="str">
        <x:f>IF($A72="","",TRIM(MID(SUBSTITUTE(SUBSTITUTE(TRIM($I72)," ",""),",",REPT(" ",100)),201,100)))</x:f>
      </x:c>
      <x:c r="W72" s="137" t="str">
        <x:f>IF($A72="","",TRIM(MID(SUBSTITUTE(SUBSTITUTE(TRIM($I72)," ",""),",",REPT(" ",100)),301,100)))</x:f>
      </x:c>
      <x:c r="X72" s="137" t="str">
        <x:f>IF($A72="","",TRIM(MID(SUBSTITUTE(SUBSTITUTE(TRIM($I72)," ",""),",",REPT(" ",100)),401,100)))</x:f>
      </x:c>
      <x:c r="Y72" s="137" t="str">
        <x:f>IF($A72="","",TRIM(MID(SUBSTITUTE(SUBSTITUTE(TRIM($I72)," ",""),",",REPT(" ",100)),501,100)))</x:f>
      </x:c>
      <x:c r="Z72" s="137" t="str">
        <x:f>IF($A72="","",TRIM(MID(SUBSTITUTE(SUBSTITUTE(TRIM($I72)," ",""),",",REPT(" ",100)),601,100)))</x:f>
      </x:c>
      <x:c r="AA72" s="137" t="str">
        <x:f>IF($A72="","",IF(SUBSTITUTE(TRIM($I72)," ","")="",0,1+LEN(SUBSTITUTE(TRIM($I72)," ",""))-LEN(SUBSTITUTE(SUBSTITUTE(TRIM($I72)," ",""),",",""))))</x:f>
      </x:c>
      <x:c r="AB72" s="137" t="str">
        <x:f>IF($A72="","",COUNTIF(TasksTable[Task ID],T72)+COUNTIF(TasksTable[Task ID],U72)+COUNTIF(TasksTable[Task ID],V72)+COUNTIF(TasksTable[Task ID],W72)+COUNTIF(TasksTable[Task ID],X72)+COUNTIF(TasksTable[Task ID],Y72)+COUNTIF(TasksTable[Task ID],Z72))</x:f>
      </x:c>
      <x:c r="AC72" s="137" t="b">
        <x:f>IF($A72="",FALSE,OR(T72=$A72,U72=$A72,V72=$A72,W72=$A72,X72=$A72,Y72=$A72,Z72=$A72))</x:f>
        <x:v>0</x:v>
      </x:c>
      <x:c r="AD72" s="144" t="n">
        <x:f>IF(AA72=0,0,MAX(IFERROR(INDEX(TasksTable[Start Date],MATCH(T72,TasksTable[Task ID],0)),0),IFERROR(INDEX(TasksTable[Start Date],MATCH(U72,TasksTable[Task ID],0)),0),IFERROR(INDEX(TasksTable[Start Date],MATCH(V72,TasksTable[Task ID],0)),0),IFERROR(INDEX(TasksTable[Start Date],MATCH(W72,TasksTable[Task ID],0)),0),IFERROR(INDEX(TasksTable[Start Date],MATCH(X72,TasksTable[Task ID],0)),0),IFERROR(INDEX(TasksTable[Start Date],MATCH(Y72,TasksTable[Task ID],0)),0),IFERROR(INDEX(TasksTable[Start Date],MATCH(Z72,TasksTable[Task ID],0)),0)))</x:f>
        <x:v>0</x:v>
      </x:c>
      <x:c r="AE72" s="144" t="n">
        <x:f>IF(AA72=0,0,MAX(IFERROR(INDEX(TasksTable[End Date],MATCH(T72,TasksTable[Task ID],0)),0),IFERROR(INDEX(TasksTable[End Date],MATCH(U72,TasksTable[Task ID],0)),0),IFERROR(INDEX(TasksTable[End Date],MATCH(V72,TasksTable[Task ID],0)),0),IFERROR(INDEX(TasksTable[End Date],MATCH(W72,TasksTable[Task ID],0)),0),IFERROR(INDEX(TasksTable[End Date],MATCH(X72,TasksTable[Task ID],0)),0),IFERROR(INDEX(TasksTable[End Date],MATCH(Y72,TasksTable[Task ID],0)),0),IFERROR(INDEX(TasksTable[End Date],MATCH(Z72,TasksTable[Task ID],0)),0)))</x:f>
        <x:v>0</x:v>
      </x:c>
      <x:c r="AF72" s="137" t="b">
        <x:f>IF(OR($A72="",AA72=0),FALSE,SWITCH($J72,"FS",$F72&lt;AE72,"SS",$F72&lt;AD72,"FF",$G72&lt;AE72,"SF",$G72&lt;AD72,TRUE))</x:f>
        <x:v>0</x:v>
      </x:c>
      <x:c r="AG72" s="137" t="str">
        <x:f>IF(AND($A72&lt;&gt;"",$K72="No",$N72&lt;&gt;"Completed",$F72&gt;=TODAY()),$F72+ROW()/100000,"")</x:f>
      </x:c>
      <x:c r="AH72" s="137" t="str">
        <x:f>IF(AND($A72&lt;&gt;"",$K72="Yes",$N72&lt;&gt;"Completed",$F72&gt;=TODAY()),$F72+ROW()/100000,"")</x:f>
      </x:c>
      <x:c r="AI72" s="137" t="str">
        <x:f>IF(AND($A72&lt;&gt;"",$K72="No",$N72&lt;&gt;"Completed",$G72&gt;=TODAY(),$G72&lt;=TODAY()+3),$G72+ROW()/100000,"")</x:f>
      </x:c>
      <x:c r="AJ72" s="137" t="str">
        <x:f>IF(AND($A72&lt;&gt;"",$K72="No",OR($N72="Delayed",$P72="Dependency conflict")),$G72+ROW()/100000,"")</x:f>
      </x:c>
      <x:c r="AK72" s="137" t="str">
        <x:f>IF(AG72="","",COUNTIFS($AG$7:$AG$206,"&gt;0",$AG$7:$AG$206,"&lt;"&amp;AG72)+1)</x:f>
      </x:c>
      <x:c r="AL72" s="137" t="str">
        <x:f>IF(AH72="","",COUNTIFS($AH$7:$AH$206,"&gt;0",$AH$7:$AH$206,"&lt;"&amp;AH72)+1)</x:f>
      </x:c>
      <x:c r="AM72" s="137" t="str">
        <x:f>IF(AI72="","",COUNTIFS($AI$7:$AI$206,"&gt;0",$AI$7:$AI$206,"&lt;"&amp;AI72)+1)</x:f>
      </x:c>
      <x:c r="AN72" s="137" t="str">
        <x:f>IF(AJ72="","",COUNTIFS($AJ$7:$AJ$206,"&gt;0",$AJ$7:$AJ$206,"&lt;"&amp;AJ72)+1)</x:f>
      </x:c>
    </x:row>
    <x:row r="73">
      <x:c r="T73" s="137" t="str">
        <x:f>IF($A73="","",TRIM(MID(SUBSTITUTE(SUBSTITUTE(TRIM($I73)," ",""),",",REPT(" ",100)),1,100)))</x:f>
      </x:c>
      <x:c r="U73" s="137" t="str">
        <x:f>IF($A73="","",TRIM(MID(SUBSTITUTE(SUBSTITUTE(TRIM($I73)," ",""),",",REPT(" ",100)),101,100)))</x:f>
      </x:c>
      <x:c r="V73" s="137" t="str">
        <x:f>IF($A73="","",TRIM(MID(SUBSTITUTE(SUBSTITUTE(TRIM($I73)," ",""),",",REPT(" ",100)),201,100)))</x:f>
      </x:c>
      <x:c r="W73" s="137" t="str">
        <x:f>IF($A73="","",TRIM(MID(SUBSTITUTE(SUBSTITUTE(TRIM($I73)," ",""),",",REPT(" ",100)),301,100)))</x:f>
      </x:c>
      <x:c r="X73" s="137" t="str">
        <x:f>IF($A73="","",TRIM(MID(SUBSTITUTE(SUBSTITUTE(TRIM($I73)," ",""),",",REPT(" ",100)),401,100)))</x:f>
      </x:c>
      <x:c r="Y73" s="137" t="str">
        <x:f>IF($A73="","",TRIM(MID(SUBSTITUTE(SUBSTITUTE(TRIM($I73)," ",""),",",REPT(" ",100)),501,100)))</x:f>
      </x:c>
      <x:c r="Z73" s="137" t="str">
        <x:f>IF($A73="","",TRIM(MID(SUBSTITUTE(SUBSTITUTE(TRIM($I73)," ",""),",",REPT(" ",100)),601,100)))</x:f>
      </x:c>
      <x:c r="AA73" s="137" t="str">
        <x:f>IF($A73="","",IF(SUBSTITUTE(TRIM($I73)," ","")="",0,1+LEN(SUBSTITUTE(TRIM($I73)," ",""))-LEN(SUBSTITUTE(SUBSTITUTE(TRIM($I73)," ",""),",",""))))</x:f>
      </x:c>
      <x:c r="AB73" s="137" t="str">
        <x:f>IF($A73="","",COUNTIF(TasksTable[Task ID],T73)+COUNTIF(TasksTable[Task ID],U73)+COUNTIF(TasksTable[Task ID],V73)+COUNTIF(TasksTable[Task ID],W73)+COUNTIF(TasksTable[Task ID],X73)+COUNTIF(TasksTable[Task ID],Y73)+COUNTIF(TasksTable[Task ID],Z73))</x:f>
      </x:c>
      <x:c r="AC73" s="137" t="b">
        <x:f>IF($A73="",FALSE,OR(T73=$A73,U73=$A73,V73=$A73,W73=$A73,X73=$A73,Y73=$A73,Z73=$A73))</x:f>
        <x:v>0</x:v>
      </x:c>
      <x:c r="AD73" s="144" t="n">
        <x:f>IF(AA73=0,0,MAX(IFERROR(INDEX(TasksTable[Start Date],MATCH(T73,TasksTable[Task ID],0)),0),IFERROR(INDEX(TasksTable[Start Date],MATCH(U73,TasksTable[Task ID],0)),0),IFERROR(INDEX(TasksTable[Start Date],MATCH(V73,TasksTable[Task ID],0)),0),IFERROR(INDEX(TasksTable[Start Date],MATCH(W73,TasksTable[Task ID],0)),0),IFERROR(INDEX(TasksTable[Start Date],MATCH(X73,TasksTable[Task ID],0)),0),IFERROR(INDEX(TasksTable[Start Date],MATCH(Y73,TasksTable[Task ID],0)),0),IFERROR(INDEX(TasksTable[Start Date],MATCH(Z73,TasksTable[Task ID],0)),0)))</x:f>
        <x:v>0</x:v>
      </x:c>
      <x:c r="AE73" s="144" t="n">
        <x:f>IF(AA73=0,0,MAX(IFERROR(INDEX(TasksTable[End Date],MATCH(T73,TasksTable[Task ID],0)),0),IFERROR(INDEX(TasksTable[End Date],MATCH(U73,TasksTable[Task ID],0)),0),IFERROR(INDEX(TasksTable[End Date],MATCH(V73,TasksTable[Task ID],0)),0),IFERROR(INDEX(TasksTable[End Date],MATCH(W73,TasksTable[Task ID],0)),0),IFERROR(INDEX(TasksTable[End Date],MATCH(X73,TasksTable[Task ID],0)),0),IFERROR(INDEX(TasksTable[End Date],MATCH(Y73,TasksTable[Task ID],0)),0),IFERROR(INDEX(TasksTable[End Date],MATCH(Z73,TasksTable[Task ID],0)),0)))</x:f>
        <x:v>0</x:v>
      </x:c>
      <x:c r="AF73" s="137" t="b">
        <x:f>IF(OR($A73="",AA73=0),FALSE,SWITCH($J73,"FS",$F73&lt;AE73,"SS",$F73&lt;AD73,"FF",$G73&lt;AE73,"SF",$G73&lt;AD73,TRUE))</x:f>
        <x:v>0</x:v>
      </x:c>
      <x:c r="AG73" s="137" t="str">
        <x:f>IF(AND($A73&lt;&gt;"",$K73="No",$N73&lt;&gt;"Completed",$F73&gt;=TODAY()),$F73+ROW()/100000,"")</x:f>
      </x:c>
      <x:c r="AH73" s="137" t="str">
        <x:f>IF(AND($A73&lt;&gt;"",$K73="Yes",$N73&lt;&gt;"Completed",$F73&gt;=TODAY()),$F73+ROW()/100000,"")</x:f>
      </x:c>
      <x:c r="AI73" s="137" t="str">
        <x:f>IF(AND($A73&lt;&gt;"",$K73="No",$N73&lt;&gt;"Completed",$G73&gt;=TODAY(),$G73&lt;=TODAY()+3),$G73+ROW()/100000,"")</x:f>
      </x:c>
      <x:c r="AJ73" s="137" t="str">
        <x:f>IF(AND($A73&lt;&gt;"",$K73="No",OR($N73="Delayed",$P73="Dependency conflict")),$G73+ROW()/100000,"")</x:f>
      </x:c>
      <x:c r="AK73" s="137" t="str">
        <x:f>IF(AG73="","",COUNTIFS($AG$7:$AG$206,"&gt;0",$AG$7:$AG$206,"&lt;"&amp;AG73)+1)</x:f>
      </x:c>
      <x:c r="AL73" s="137" t="str">
        <x:f>IF(AH73="","",COUNTIFS($AH$7:$AH$206,"&gt;0",$AH$7:$AH$206,"&lt;"&amp;AH73)+1)</x:f>
      </x:c>
      <x:c r="AM73" s="137" t="str">
        <x:f>IF(AI73="","",COUNTIFS($AI$7:$AI$206,"&gt;0",$AI$7:$AI$206,"&lt;"&amp;AI73)+1)</x:f>
      </x:c>
      <x:c r="AN73" s="137" t="str">
        <x:f>IF(AJ73="","",COUNTIFS($AJ$7:$AJ$206,"&gt;0",$AJ$7:$AJ$206,"&lt;"&amp;AJ73)+1)</x:f>
      </x:c>
    </x:row>
    <x:row r="74">
      <x:c r="T74" s="137" t="str">
        <x:f>IF($A74="","",TRIM(MID(SUBSTITUTE(SUBSTITUTE(TRIM($I74)," ",""),",",REPT(" ",100)),1,100)))</x:f>
      </x:c>
      <x:c r="U74" s="137" t="str">
        <x:f>IF($A74="","",TRIM(MID(SUBSTITUTE(SUBSTITUTE(TRIM($I74)," ",""),",",REPT(" ",100)),101,100)))</x:f>
      </x:c>
      <x:c r="V74" s="137" t="str">
        <x:f>IF($A74="","",TRIM(MID(SUBSTITUTE(SUBSTITUTE(TRIM($I74)," ",""),",",REPT(" ",100)),201,100)))</x:f>
      </x:c>
      <x:c r="W74" s="137" t="str">
        <x:f>IF($A74="","",TRIM(MID(SUBSTITUTE(SUBSTITUTE(TRIM($I74)," ",""),",",REPT(" ",100)),301,100)))</x:f>
      </x:c>
      <x:c r="X74" s="137" t="str">
        <x:f>IF($A74="","",TRIM(MID(SUBSTITUTE(SUBSTITUTE(TRIM($I74)," ",""),",",REPT(" ",100)),401,100)))</x:f>
      </x:c>
      <x:c r="Y74" s="137" t="str">
        <x:f>IF($A74="","",TRIM(MID(SUBSTITUTE(SUBSTITUTE(TRIM($I74)," ",""),",",REPT(" ",100)),501,100)))</x:f>
      </x:c>
      <x:c r="Z74" s="137" t="str">
        <x:f>IF($A74="","",TRIM(MID(SUBSTITUTE(SUBSTITUTE(TRIM($I74)," ",""),",",REPT(" ",100)),601,100)))</x:f>
      </x:c>
      <x:c r="AA74" s="137" t="str">
        <x:f>IF($A74="","",IF(SUBSTITUTE(TRIM($I74)," ","")="",0,1+LEN(SUBSTITUTE(TRIM($I74)," ",""))-LEN(SUBSTITUTE(SUBSTITUTE(TRIM($I74)," ",""),",",""))))</x:f>
      </x:c>
      <x:c r="AB74" s="137" t="str">
        <x:f>IF($A74="","",COUNTIF(TasksTable[Task ID],T74)+COUNTIF(TasksTable[Task ID],U74)+COUNTIF(TasksTable[Task ID],V74)+COUNTIF(TasksTable[Task ID],W74)+COUNTIF(TasksTable[Task ID],X74)+COUNTIF(TasksTable[Task ID],Y74)+COUNTIF(TasksTable[Task ID],Z74))</x:f>
      </x:c>
      <x:c r="AC74" s="137" t="b">
        <x:f>IF($A74="",FALSE,OR(T74=$A74,U74=$A74,V74=$A74,W74=$A74,X74=$A74,Y74=$A74,Z74=$A74))</x:f>
        <x:v>0</x:v>
      </x:c>
      <x:c r="AD74" s="144" t="n">
        <x:f>IF(AA74=0,0,MAX(IFERROR(INDEX(TasksTable[Start Date],MATCH(T74,TasksTable[Task ID],0)),0),IFERROR(INDEX(TasksTable[Start Date],MATCH(U74,TasksTable[Task ID],0)),0),IFERROR(INDEX(TasksTable[Start Date],MATCH(V74,TasksTable[Task ID],0)),0),IFERROR(INDEX(TasksTable[Start Date],MATCH(W74,TasksTable[Task ID],0)),0),IFERROR(INDEX(TasksTable[Start Date],MATCH(X74,TasksTable[Task ID],0)),0),IFERROR(INDEX(TasksTable[Start Date],MATCH(Y74,TasksTable[Task ID],0)),0),IFERROR(INDEX(TasksTable[Start Date],MATCH(Z74,TasksTable[Task ID],0)),0)))</x:f>
        <x:v>0</x:v>
      </x:c>
      <x:c r="AE74" s="144" t="n">
        <x:f>IF(AA74=0,0,MAX(IFERROR(INDEX(TasksTable[End Date],MATCH(T74,TasksTable[Task ID],0)),0),IFERROR(INDEX(TasksTable[End Date],MATCH(U74,TasksTable[Task ID],0)),0),IFERROR(INDEX(TasksTable[End Date],MATCH(V74,TasksTable[Task ID],0)),0),IFERROR(INDEX(TasksTable[End Date],MATCH(W74,TasksTable[Task ID],0)),0),IFERROR(INDEX(TasksTable[End Date],MATCH(X74,TasksTable[Task ID],0)),0),IFERROR(INDEX(TasksTable[End Date],MATCH(Y74,TasksTable[Task ID],0)),0),IFERROR(INDEX(TasksTable[End Date],MATCH(Z74,TasksTable[Task ID],0)),0)))</x:f>
        <x:v>0</x:v>
      </x:c>
      <x:c r="AF74" s="137" t="b">
        <x:f>IF(OR($A74="",AA74=0),FALSE,SWITCH($J74,"FS",$F74&lt;AE74,"SS",$F74&lt;AD74,"FF",$G74&lt;AE74,"SF",$G74&lt;AD74,TRUE))</x:f>
        <x:v>0</x:v>
      </x:c>
      <x:c r="AG74" s="137" t="str">
        <x:f>IF(AND($A74&lt;&gt;"",$K74="No",$N74&lt;&gt;"Completed",$F74&gt;=TODAY()),$F74+ROW()/100000,"")</x:f>
      </x:c>
      <x:c r="AH74" s="137" t="str">
        <x:f>IF(AND($A74&lt;&gt;"",$K74="Yes",$N74&lt;&gt;"Completed",$F74&gt;=TODAY()),$F74+ROW()/100000,"")</x:f>
      </x:c>
      <x:c r="AI74" s="137" t="str">
        <x:f>IF(AND($A74&lt;&gt;"",$K74="No",$N74&lt;&gt;"Completed",$G74&gt;=TODAY(),$G74&lt;=TODAY()+3),$G74+ROW()/100000,"")</x:f>
      </x:c>
      <x:c r="AJ74" s="137" t="str">
        <x:f>IF(AND($A74&lt;&gt;"",$K74="No",OR($N74="Delayed",$P74="Dependency conflict")),$G74+ROW()/100000,"")</x:f>
      </x:c>
      <x:c r="AK74" s="137" t="str">
        <x:f>IF(AG74="","",COUNTIFS($AG$7:$AG$206,"&gt;0",$AG$7:$AG$206,"&lt;"&amp;AG74)+1)</x:f>
      </x:c>
      <x:c r="AL74" s="137" t="str">
        <x:f>IF(AH74="","",COUNTIFS($AH$7:$AH$206,"&gt;0",$AH$7:$AH$206,"&lt;"&amp;AH74)+1)</x:f>
      </x:c>
      <x:c r="AM74" s="137" t="str">
        <x:f>IF(AI74="","",COUNTIFS($AI$7:$AI$206,"&gt;0",$AI$7:$AI$206,"&lt;"&amp;AI74)+1)</x:f>
      </x:c>
      <x:c r="AN74" s="137" t="str">
        <x:f>IF(AJ74="","",COUNTIFS($AJ$7:$AJ$206,"&gt;0",$AJ$7:$AJ$206,"&lt;"&amp;AJ74)+1)</x:f>
      </x:c>
    </x:row>
    <x:row r="75">
      <x:c r="T75" s="137" t="str">
        <x:f>IF($A75="","",TRIM(MID(SUBSTITUTE(SUBSTITUTE(TRIM($I75)," ",""),",",REPT(" ",100)),1,100)))</x:f>
      </x:c>
      <x:c r="U75" s="137" t="str">
        <x:f>IF($A75="","",TRIM(MID(SUBSTITUTE(SUBSTITUTE(TRIM($I75)," ",""),",",REPT(" ",100)),101,100)))</x:f>
      </x:c>
      <x:c r="V75" s="137" t="str">
        <x:f>IF($A75="","",TRIM(MID(SUBSTITUTE(SUBSTITUTE(TRIM($I75)," ",""),",",REPT(" ",100)),201,100)))</x:f>
      </x:c>
      <x:c r="W75" s="137" t="str">
        <x:f>IF($A75="","",TRIM(MID(SUBSTITUTE(SUBSTITUTE(TRIM($I75)," ",""),",",REPT(" ",100)),301,100)))</x:f>
      </x:c>
      <x:c r="X75" s="137" t="str">
        <x:f>IF($A75="","",TRIM(MID(SUBSTITUTE(SUBSTITUTE(TRIM($I75)," ",""),",",REPT(" ",100)),401,100)))</x:f>
      </x:c>
      <x:c r="Y75" s="137" t="str">
        <x:f>IF($A75="","",TRIM(MID(SUBSTITUTE(SUBSTITUTE(TRIM($I75)," ",""),",",REPT(" ",100)),501,100)))</x:f>
      </x:c>
      <x:c r="Z75" s="137" t="str">
        <x:f>IF($A75="","",TRIM(MID(SUBSTITUTE(SUBSTITUTE(TRIM($I75)," ",""),",",REPT(" ",100)),601,100)))</x:f>
      </x:c>
      <x:c r="AA75" s="137" t="str">
        <x:f>IF($A75="","",IF(SUBSTITUTE(TRIM($I75)," ","")="",0,1+LEN(SUBSTITUTE(TRIM($I75)," ",""))-LEN(SUBSTITUTE(SUBSTITUTE(TRIM($I75)," ",""),",",""))))</x:f>
      </x:c>
      <x:c r="AB75" s="137" t="str">
        <x:f>IF($A75="","",COUNTIF(TasksTable[Task ID],T75)+COUNTIF(TasksTable[Task ID],U75)+COUNTIF(TasksTable[Task ID],V75)+COUNTIF(TasksTable[Task ID],W75)+COUNTIF(TasksTable[Task ID],X75)+COUNTIF(TasksTable[Task ID],Y75)+COUNTIF(TasksTable[Task ID],Z75))</x:f>
      </x:c>
      <x:c r="AC75" s="137" t="b">
        <x:f>IF($A75="",FALSE,OR(T75=$A75,U75=$A75,V75=$A75,W75=$A75,X75=$A75,Y75=$A75,Z75=$A75))</x:f>
        <x:v>0</x:v>
      </x:c>
      <x:c r="AD75" s="144" t="n">
        <x:f>IF(AA75=0,0,MAX(IFERROR(INDEX(TasksTable[Start Date],MATCH(T75,TasksTable[Task ID],0)),0),IFERROR(INDEX(TasksTable[Start Date],MATCH(U75,TasksTable[Task ID],0)),0),IFERROR(INDEX(TasksTable[Start Date],MATCH(V75,TasksTable[Task ID],0)),0),IFERROR(INDEX(TasksTable[Start Date],MATCH(W75,TasksTable[Task ID],0)),0),IFERROR(INDEX(TasksTable[Start Date],MATCH(X75,TasksTable[Task ID],0)),0),IFERROR(INDEX(TasksTable[Start Date],MATCH(Y75,TasksTable[Task ID],0)),0),IFERROR(INDEX(TasksTable[Start Date],MATCH(Z75,TasksTable[Task ID],0)),0)))</x:f>
        <x:v>0</x:v>
      </x:c>
      <x:c r="AE75" s="144" t="n">
        <x:f>IF(AA75=0,0,MAX(IFERROR(INDEX(TasksTable[End Date],MATCH(T75,TasksTable[Task ID],0)),0),IFERROR(INDEX(TasksTable[End Date],MATCH(U75,TasksTable[Task ID],0)),0),IFERROR(INDEX(TasksTable[End Date],MATCH(V75,TasksTable[Task ID],0)),0),IFERROR(INDEX(TasksTable[End Date],MATCH(W75,TasksTable[Task ID],0)),0),IFERROR(INDEX(TasksTable[End Date],MATCH(X75,TasksTable[Task ID],0)),0),IFERROR(INDEX(TasksTable[End Date],MATCH(Y75,TasksTable[Task ID],0)),0),IFERROR(INDEX(TasksTable[End Date],MATCH(Z75,TasksTable[Task ID],0)),0)))</x:f>
        <x:v>0</x:v>
      </x:c>
      <x:c r="AF75" s="137" t="b">
        <x:f>IF(OR($A75="",AA75=0),FALSE,SWITCH($J75,"FS",$F75&lt;AE75,"SS",$F75&lt;AD75,"FF",$G75&lt;AE75,"SF",$G75&lt;AD75,TRUE))</x:f>
        <x:v>0</x:v>
      </x:c>
      <x:c r="AG75" s="137" t="str">
        <x:f>IF(AND($A75&lt;&gt;"",$K75="No",$N75&lt;&gt;"Completed",$F75&gt;=TODAY()),$F75+ROW()/100000,"")</x:f>
      </x:c>
      <x:c r="AH75" s="137" t="str">
        <x:f>IF(AND($A75&lt;&gt;"",$K75="Yes",$N75&lt;&gt;"Completed",$F75&gt;=TODAY()),$F75+ROW()/100000,"")</x:f>
      </x:c>
      <x:c r="AI75" s="137" t="str">
        <x:f>IF(AND($A75&lt;&gt;"",$K75="No",$N75&lt;&gt;"Completed",$G75&gt;=TODAY(),$G75&lt;=TODAY()+3),$G75+ROW()/100000,"")</x:f>
      </x:c>
      <x:c r="AJ75" s="137" t="str">
        <x:f>IF(AND($A75&lt;&gt;"",$K75="No",OR($N75="Delayed",$P75="Dependency conflict")),$G75+ROW()/100000,"")</x:f>
      </x:c>
      <x:c r="AK75" s="137" t="str">
        <x:f>IF(AG75="","",COUNTIFS($AG$7:$AG$206,"&gt;0",$AG$7:$AG$206,"&lt;"&amp;AG75)+1)</x:f>
      </x:c>
      <x:c r="AL75" s="137" t="str">
        <x:f>IF(AH75="","",COUNTIFS($AH$7:$AH$206,"&gt;0",$AH$7:$AH$206,"&lt;"&amp;AH75)+1)</x:f>
      </x:c>
      <x:c r="AM75" s="137" t="str">
        <x:f>IF(AI75="","",COUNTIFS($AI$7:$AI$206,"&gt;0",$AI$7:$AI$206,"&lt;"&amp;AI75)+1)</x:f>
      </x:c>
      <x:c r="AN75" s="137" t="str">
        <x:f>IF(AJ75="","",COUNTIFS($AJ$7:$AJ$206,"&gt;0",$AJ$7:$AJ$206,"&lt;"&amp;AJ75)+1)</x:f>
      </x:c>
    </x:row>
    <x:row r="76">
      <x:c r="T76" s="137" t="str">
        <x:f>IF($A76="","",TRIM(MID(SUBSTITUTE(SUBSTITUTE(TRIM($I76)," ",""),",",REPT(" ",100)),1,100)))</x:f>
      </x:c>
      <x:c r="U76" s="137" t="str">
        <x:f>IF($A76="","",TRIM(MID(SUBSTITUTE(SUBSTITUTE(TRIM($I76)," ",""),",",REPT(" ",100)),101,100)))</x:f>
      </x:c>
      <x:c r="V76" s="137" t="str">
        <x:f>IF($A76="","",TRIM(MID(SUBSTITUTE(SUBSTITUTE(TRIM($I76)," ",""),",",REPT(" ",100)),201,100)))</x:f>
      </x:c>
      <x:c r="W76" s="137" t="str">
        <x:f>IF($A76="","",TRIM(MID(SUBSTITUTE(SUBSTITUTE(TRIM($I76)," ",""),",",REPT(" ",100)),301,100)))</x:f>
      </x:c>
      <x:c r="X76" s="137" t="str">
        <x:f>IF($A76="","",TRIM(MID(SUBSTITUTE(SUBSTITUTE(TRIM($I76)," ",""),",",REPT(" ",100)),401,100)))</x:f>
      </x:c>
      <x:c r="Y76" s="137" t="str">
        <x:f>IF($A76="","",TRIM(MID(SUBSTITUTE(SUBSTITUTE(TRIM($I76)," ",""),",",REPT(" ",100)),501,100)))</x:f>
      </x:c>
      <x:c r="Z76" s="137" t="str">
        <x:f>IF($A76="","",TRIM(MID(SUBSTITUTE(SUBSTITUTE(TRIM($I76)," ",""),",",REPT(" ",100)),601,100)))</x:f>
      </x:c>
      <x:c r="AA76" s="137" t="str">
        <x:f>IF($A76="","",IF(SUBSTITUTE(TRIM($I76)," ","")="",0,1+LEN(SUBSTITUTE(TRIM($I76)," ",""))-LEN(SUBSTITUTE(SUBSTITUTE(TRIM($I76)," ",""),",",""))))</x:f>
      </x:c>
      <x:c r="AB76" s="137" t="str">
        <x:f>IF($A76="","",COUNTIF(TasksTable[Task ID],T76)+COUNTIF(TasksTable[Task ID],U76)+COUNTIF(TasksTable[Task ID],V76)+COUNTIF(TasksTable[Task ID],W76)+COUNTIF(TasksTable[Task ID],X76)+COUNTIF(TasksTable[Task ID],Y76)+COUNTIF(TasksTable[Task ID],Z76))</x:f>
      </x:c>
      <x:c r="AC76" s="137" t="b">
        <x:f>IF($A76="",FALSE,OR(T76=$A76,U76=$A76,V76=$A76,W76=$A76,X76=$A76,Y76=$A76,Z76=$A76))</x:f>
        <x:v>0</x:v>
      </x:c>
      <x:c r="AD76" s="144" t="n">
        <x:f>IF(AA76=0,0,MAX(IFERROR(INDEX(TasksTable[Start Date],MATCH(T76,TasksTable[Task ID],0)),0),IFERROR(INDEX(TasksTable[Start Date],MATCH(U76,TasksTable[Task ID],0)),0),IFERROR(INDEX(TasksTable[Start Date],MATCH(V76,TasksTable[Task ID],0)),0),IFERROR(INDEX(TasksTable[Start Date],MATCH(W76,TasksTable[Task ID],0)),0),IFERROR(INDEX(TasksTable[Start Date],MATCH(X76,TasksTable[Task ID],0)),0),IFERROR(INDEX(TasksTable[Start Date],MATCH(Y76,TasksTable[Task ID],0)),0),IFERROR(INDEX(TasksTable[Start Date],MATCH(Z76,TasksTable[Task ID],0)),0)))</x:f>
        <x:v>0</x:v>
      </x:c>
      <x:c r="AE76" s="144" t="n">
        <x:f>IF(AA76=0,0,MAX(IFERROR(INDEX(TasksTable[End Date],MATCH(T76,TasksTable[Task ID],0)),0),IFERROR(INDEX(TasksTable[End Date],MATCH(U76,TasksTable[Task ID],0)),0),IFERROR(INDEX(TasksTable[End Date],MATCH(V76,TasksTable[Task ID],0)),0),IFERROR(INDEX(TasksTable[End Date],MATCH(W76,TasksTable[Task ID],0)),0),IFERROR(INDEX(TasksTable[End Date],MATCH(X76,TasksTable[Task ID],0)),0),IFERROR(INDEX(TasksTable[End Date],MATCH(Y76,TasksTable[Task ID],0)),0),IFERROR(INDEX(TasksTable[End Date],MATCH(Z76,TasksTable[Task ID],0)),0)))</x:f>
        <x:v>0</x:v>
      </x:c>
      <x:c r="AF76" s="137" t="b">
        <x:f>IF(OR($A76="",AA76=0),FALSE,SWITCH($J76,"FS",$F76&lt;AE76,"SS",$F76&lt;AD76,"FF",$G76&lt;AE76,"SF",$G76&lt;AD76,TRUE))</x:f>
        <x:v>0</x:v>
      </x:c>
      <x:c r="AG76" s="137" t="str">
        <x:f>IF(AND($A76&lt;&gt;"",$K76="No",$N76&lt;&gt;"Completed",$F76&gt;=TODAY()),$F76+ROW()/100000,"")</x:f>
      </x:c>
      <x:c r="AH76" s="137" t="str">
        <x:f>IF(AND($A76&lt;&gt;"",$K76="Yes",$N76&lt;&gt;"Completed",$F76&gt;=TODAY()),$F76+ROW()/100000,"")</x:f>
      </x:c>
      <x:c r="AI76" s="137" t="str">
        <x:f>IF(AND($A76&lt;&gt;"",$K76="No",$N76&lt;&gt;"Completed",$G76&gt;=TODAY(),$G76&lt;=TODAY()+3),$G76+ROW()/100000,"")</x:f>
      </x:c>
      <x:c r="AJ76" s="137" t="str">
        <x:f>IF(AND($A76&lt;&gt;"",$K76="No",OR($N76="Delayed",$P76="Dependency conflict")),$G76+ROW()/100000,"")</x:f>
      </x:c>
      <x:c r="AK76" s="137" t="str">
        <x:f>IF(AG76="","",COUNTIFS($AG$7:$AG$206,"&gt;0",$AG$7:$AG$206,"&lt;"&amp;AG76)+1)</x:f>
      </x:c>
      <x:c r="AL76" s="137" t="str">
        <x:f>IF(AH76="","",COUNTIFS($AH$7:$AH$206,"&gt;0",$AH$7:$AH$206,"&lt;"&amp;AH76)+1)</x:f>
      </x:c>
      <x:c r="AM76" s="137" t="str">
        <x:f>IF(AI76="","",COUNTIFS($AI$7:$AI$206,"&gt;0",$AI$7:$AI$206,"&lt;"&amp;AI76)+1)</x:f>
      </x:c>
      <x:c r="AN76" s="137" t="str">
        <x:f>IF(AJ76="","",COUNTIFS($AJ$7:$AJ$206,"&gt;0",$AJ$7:$AJ$206,"&lt;"&amp;AJ76)+1)</x:f>
      </x:c>
    </x:row>
    <x:row r="77">
      <x:c r="T77" s="137" t="str">
        <x:f>IF($A77="","",TRIM(MID(SUBSTITUTE(SUBSTITUTE(TRIM($I77)," ",""),",",REPT(" ",100)),1,100)))</x:f>
      </x:c>
      <x:c r="U77" s="137" t="str">
        <x:f>IF($A77="","",TRIM(MID(SUBSTITUTE(SUBSTITUTE(TRIM($I77)," ",""),",",REPT(" ",100)),101,100)))</x:f>
      </x:c>
      <x:c r="V77" s="137" t="str">
        <x:f>IF($A77="","",TRIM(MID(SUBSTITUTE(SUBSTITUTE(TRIM($I77)," ",""),",",REPT(" ",100)),201,100)))</x:f>
      </x:c>
      <x:c r="W77" s="137" t="str">
        <x:f>IF($A77="","",TRIM(MID(SUBSTITUTE(SUBSTITUTE(TRIM($I77)," ",""),",",REPT(" ",100)),301,100)))</x:f>
      </x:c>
      <x:c r="X77" s="137" t="str">
        <x:f>IF($A77="","",TRIM(MID(SUBSTITUTE(SUBSTITUTE(TRIM($I77)," ",""),",",REPT(" ",100)),401,100)))</x:f>
      </x:c>
      <x:c r="Y77" s="137" t="str">
        <x:f>IF($A77="","",TRIM(MID(SUBSTITUTE(SUBSTITUTE(TRIM($I77)," ",""),",",REPT(" ",100)),501,100)))</x:f>
      </x:c>
      <x:c r="Z77" s="137" t="str">
        <x:f>IF($A77="","",TRIM(MID(SUBSTITUTE(SUBSTITUTE(TRIM($I77)," ",""),",",REPT(" ",100)),601,100)))</x:f>
      </x:c>
      <x:c r="AA77" s="137" t="str">
        <x:f>IF($A77="","",IF(SUBSTITUTE(TRIM($I77)," ","")="",0,1+LEN(SUBSTITUTE(TRIM($I77)," ",""))-LEN(SUBSTITUTE(SUBSTITUTE(TRIM($I77)," ",""),",",""))))</x:f>
      </x:c>
      <x:c r="AB77" s="137" t="str">
        <x:f>IF($A77="","",COUNTIF(TasksTable[Task ID],T77)+COUNTIF(TasksTable[Task ID],U77)+COUNTIF(TasksTable[Task ID],V77)+COUNTIF(TasksTable[Task ID],W77)+COUNTIF(TasksTable[Task ID],X77)+COUNTIF(TasksTable[Task ID],Y77)+COUNTIF(TasksTable[Task ID],Z77))</x:f>
      </x:c>
      <x:c r="AC77" s="137" t="b">
        <x:f>IF($A77="",FALSE,OR(T77=$A77,U77=$A77,V77=$A77,W77=$A77,X77=$A77,Y77=$A77,Z77=$A77))</x:f>
        <x:v>0</x:v>
      </x:c>
      <x:c r="AD77" s="144" t="n">
        <x:f>IF(AA77=0,0,MAX(IFERROR(INDEX(TasksTable[Start Date],MATCH(T77,TasksTable[Task ID],0)),0),IFERROR(INDEX(TasksTable[Start Date],MATCH(U77,TasksTable[Task ID],0)),0),IFERROR(INDEX(TasksTable[Start Date],MATCH(V77,TasksTable[Task ID],0)),0),IFERROR(INDEX(TasksTable[Start Date],MATCH(W77,TasksTable[Task ID],0)),0),IFERROR(INDEX(TasksTable[Start Date],MATCH(X77,TasksTable[Task ID],0)),0),IFERROR(INDEX(TasksTable[Start Date],MATCH(Y77,TasksTable[Task ID],0)),0),IFERROR(INDEX(TasksTable[Start Date],MATCH(Z77,TasksTable[Task ID],0)),0)))</x:f>
        <x:v>0</x:v>
      </x:c>
      <x:c r="AE77" s="144" t="n">
        <x:f>IF(AA77=0,0,MAX(IFERROR(INDEX(TasksTable[End Date],MATCH(T77,TasksTable[Task ID],0)),0),IFERROR(INDEX(TasksTable[End Date],MATCH(U77,TasksTable[Task ID],0)),0),IFERROR(INDEX(TasksTable[End Date],MATCH(V77,TasksTable[Task ID],0)),0),IFERROR(INDEX(TasksTable[End Date],MATCH(W77,TasksTable[Task ID],0)),0),IFERROR(INDEX(TasksTable[End Date],MATCH(X77,TasksTable[Task ID],0)),0),IFERROR(INDEX(TasksTable[End Date],MATCH(Y77,TasksTable[Task ID],0)),0),IFERROR(INDEX(TasksTable[End Date],MATCH(Z77,TasksTable[Task ID],0)),0)))</x:f>
        <x:v>0</x:v>
      </x:c>
      <x:c r="AF77" s="137" t="b">
        <x:f>IF(OR($A77="",AA77=0),FALSE,SWITCH($J77,"FS",$F77&lt;AE77,"SS",$F77&lt;AD77,"FF",$G77&lt;AE77,"SF",$G77&lt;AD77,TRUE))</x:f>
        <x:v>0</x:v>
      </x:c>
      <x:c r="AG77" s="137" t="str">
        <x:f>IF(AND($A77&lt;&gt;"",$K77="No",$N77&lt;&gt;"Completed",$F77&gt;=TODAY()),$F77+ROW()/100000,"")</x:f>
      </x:c>
      <x:c r="AH77" s="137" t="str">
        <x:f>IF(AND($A77&lt;&gt;"",$K77="Yes",$N77&lt;&gt;"Completed",$F77&gt;=TODAY()),$F77+ROW()/100000,"")</x:f>
      </x:c>
      <x:c r="AI77" s="137" t="str">
        <x:f>IF(AND($A77&lt;&gt;"",$K77="No",$N77&lt;&gt;"Completed",$G77&gt;=TODAY(),$G77&lt;=TODAY()+3),$G77+ROW()/100000,"")</x:f>
      </x:c>
      <x:c r="AJ77" s="137" t="str">
        <x:f>IF(AND($A77&lt;&gt;"",$K77="No",OR($N77="Delayed",$P77="Dependency conflict")),$G77+ROW()/100000,"")</x:f>
      </x:c>
      <x:c r="AK77" s="137" t="str">
        <x:f>IF(AG77="","",COUNTIFS($AG$7:$AG$206,"&gt;0",$AG$7:$AG$206,"&lt;"&amp;AG77)+1)</x:f>
      </x:c>
      <x:c r="AL77" s="137" t="str">
        <x:f>IF(AH77="","",COUNTIFS($AH$7:$AH$206,"&gt;0",$AH$7:$AH$206,"&lt;"&amp;AH77)+1)</x:f>
      </x:c>
      <x:c r="AM77" s="137" t="str">
        <x:f>IF(AI77="","",COUNTIFS($AI$7:$AI$206,"&gt;0",$AI$7:$AI$206,"&lt;"&amp;AI77)+1)</x:f>
      </x:c>
      <x:c r="AN77" s="137" t="str">
        <x:f>IF(AJ77="","",COUNTIFS($AJ$7:$AJ$206,"&gt;0",$AJ$7:$AJ$206,"&lt;"&amp;AJ77)+1)</x:f>
      </x:c>
    </x:row>
    <x:row r="78">
      <x:c r="T78" s="137" t="str">
        <x:f>IF($A78="","",TRIM(MID(SUBSTITUTE(SUBSTITUTE(TRIM($I78)," ",""),",",REPT(" ",100)),1,100)))</x:f>
      </x:c>
      <x:c r="U78" s="137" t="str">
        <x:f>IF($A78="","",TRIM(MID(SUBSTITUTE(SUBSTITUTE(TRIM($I78)," ",""),",",REPT(" ",100)),101,100)))</x:f>
      </x:c>
      <x:c r="V78" s="137" t="str">
        <x:f>IF($A78="","",TRIM(MID(SUBSTITUTE(SUBSTITUTE(TRIM($I78)," ",""),",",REPT(" ",100)),201,100)))</x:f>
      </x:c>
      <x:c r="W78" s="137" t="str">
        <x:f>IF($A78="","",TRIM(MID(SUBSTITUTE(SUBSTITUTE(TRIM($I78)," ",""),",",REPT(" ",100)),301,100)))</x:f>
      </x:c>
      <x:c r="X78" s="137" t="str">
        <x:f>IF($A78="","",TRIM(MID(SUBSTITUTE(SUBSTITUTE(TRIM($I78)," ",""),",",REPT(" ",100)),401,100)))</x:f>
      </x:c>
      <x:c r="Y78" s="137" t="str">
        <x:f>IF($A78="","",TRIM(MID(SUBSTITUTE(SUBSTITUTE(TRIM($I78)," ",""),",",REPT(" ",100)),501,100)))</x:f>
      </x:c>
      <x:c r="Z78" s="137" t="str">
        <x:f>IF($A78="","",TRIM(MID(SUBSTITUTE(SUBSTITUTE(TRIM($I78)," ",""),",",REPT(" ",100)),601,100)))</x:f>
      </x:c>
      <x:c r="AA78" s="137" t="str">
        <x:f>IF($A78="","",IF(SUBSTITUTE(TRIM($I78)," ","")="",0,1+LEN(SUBSTITUTE(TRIM($I78)," ",""))-LEN(SUBSTITUTE(SUBSTITUTE(TRIM($I78)," ",""),",",""))))</x:f>
      </x:c>
      <x:c r="AB78" s="137" t="str">
        <x:f>IF($A78="","",COUNTIF(TasksTable[Task ID],T78)+COUNTIF(TasksTable[Task ID],U78)+COUNTIF(TasksTable[Task ID],V78)+COUNTIF(TasksTable[Task ID],W78)+COUNTIF(TasksTable[Task ID],X78)+COUNTIF(TasksTable[Task ID],Y78)+COUNTIF(TasksTable[Task ID],Z78))</x:f>
      </x:c>
      <x:c r="AC78" s="137" t="b">
        <x:f>IF($A78="",FALSE,OR(T78=$A78,U78=$A78,V78=$A78,W78=$A78,X78=$A78,Y78=$A78,Z78=$A78))</x:f>
        <x:v>0</x:v>
      </x:c>
      <x:c r="AD78" s="144" t="n">
        <x:f>IF(AA78=0,0,MAX(IFERROR(INDEX(TasksTable[Start Date],MATCH(T78,TasksTable[Task ID],0)),0),IFERROR(INDEX(TasksTable[Start Date],MATCH(U78,TasksTable[Task ID],0)),0),IFERROR(INDEX(TasksTable[Start Date],MATCH(V78,TasksTable[Task ID],0)),0),IFERROR(INDEX(TasksTable[Start Date],MATCH(W78,TasksTable[Task ID],0)),0),IFERROR(INDEX(TasksTable[Start Date],MATCH(X78,TasksTable[Task ID],0)),0),IFERROR(INDEX(TasksTable[Start Date],MATCH(Y78,TasksTable[Task ID],0)),0),IFERROR(INDEX(TasksTable[Start Date],MATCH(Z78,TasksTable[Task ID],0)),0)))</x:f>
        <x:v>0</x:v>
      </x:c>
      <x:c r="AE78" s="144" t="n">
        <x:f>IF(AA78=0,0,MAX(IFERROR(INDEX(TasksTable[End Date],MATCH(T78,TasksTable[Task ID],0)),0),IFERROR(INDEX(TasksTable[End Date],MATCH(U78,TasksTable[Task ID],0)),0),IFERROR(INDEX(TasksTable[End Date],MATCH(V78,TasksTable[Task ID],0)),0),IFERROR(INDEX(TasksTable[End Date],MATCH(W78,TasksTable[Task ID],0)),0),IFERROR(INDEX(TasksTable[End Date],MATCH(X78,TasksTable[Task ID],0)),0),IFERROR(INDEX(TasksTable[End Date],MATCH(Y78,TasksTable[Task ID],0)),0),IFERROR(INDEX(TasksTable[End Date],MATCH(Z78,TasksTable[Task ID],0)),0)))</x:f>
        <x:v>0</x:v>
      </x:c>
      <x:c r="AF78" s="137" t="b">
        <x:f>IF(OR($A78="",AA78=0),FALSE,SWITCH($J78,"FS",$F78&lt;AE78,"SS",$F78&lt;AD78,"FF",$G78&lt;AE78,"SF",$G78&lt;AD78,TRUE))</x:f>
        <x:v>0</x:v>
      </x:c>
      <x:c r="AG78" s="137" t="str">
        <x:f>IF(AND($A78&lt;&gt;"",$K78="No",$N78&lt;&gt;"Completed",$F78&gt;=TODAY()),$F78+ROW()/100000,"")</x:f>
      </x:c>
      <x:c r="AH78" s="137" t="str">
        <x:f>IF(AND($A78&lt;&gt;"",$K78="Yes",$N78&lt;&gt;"Completed",$F78&gt;=TODAY()),$F78+ROW()/100000,"")</x:f>
      </x:c>
      <x:c r="AI78" s="137" t="str">
        <x:f>IF(AND($A78&lt;&gt;"",$K78="No",$N78&lt;&gt;"Completed",$G78&gt;=TODAY(),$G78&lt;=TODAY()+3),$G78+ROW()/100000,"")</x:f>
      </x:c>
      <x:c r="AJ78" s="137" t="str">
        <x:f>IF(AND($A78&lt;&gt;"",$K78="No",OR($N78="Delayed",$P78="Dependency conflict")),$G78+ROW()/100000,"")</x:f>
      </x:c>
      <x:c r="AK78" s="137" t="str">
        <x:f>IF(AG78="","",COUNTIFS($AG$7:$AG$206,"&gt;0",$AG$7:$AG$206,"&lt;"&amp;AG78)+1)</x:f>
      </x:c>
      <x:c r="AL78" s="137" t="str">
        <x:f>IF(AH78="","",COUNTIFS($AH$7:$AH$206,"&gt;0",$AH$7:$AH$206,"&lt;"&amp;AH78)+1)</x:f>
      </x:c>
      <x:c r="AM78" s="137" t="str">
        <x:f>IF(AI78="","",COUNTIFS($AI$7:$AI$206,"&gt;0",$AI$7:$AI$206,"&lt;"&amp;AI78)+1)</x:f>
      </x:c>
      <x:c r="AN78" s="137" t="str">
        <x:f>IF(AJ78="","",COUNTIFS($AJ$7:$AJ$206,"&gt;0",$AJ$7:$AJ$206,"&lt;"&amp;AJ78)+1)</x:f>
      </x:c>
    </x:row>
    <x:row r="79">
      <x:c r="T79" s="137" t="str">
        <x:f>IF($A79="","",TRIM(MID(SUBSTITUTE(SUBSTITUTE(TRIM($I79)," ",""),",",REPT(" ",100)),1,100)))</x:f>
      </x:c>
      <x:c r="U79" s="137" t="str">
        <x:f>IF($A79="","",TRIM(MID(SUBSTITUTE(SUBSTITUTE(TRIM($I79)," ",""),",",REPT(" ",100)),101,100)))</x:f>
      </x:c>
      <x:c r="V79" s="137" t="str">
        <x:f>IF($A79="","",TRIM(MID(SUBSTITUTE(SUBSTITUTE(TRIM($I79)," ",""),",",REPT(" ",100)),201,100)))</x:f>
      </x:c>
      <x:c r="W79" s="137" t="str">
        <x:f>IF($A79="","",TRIM(MID(SUBSTITUTE(SUBSTITUTE(TRIM($I79)," ",""),",",REPT(" ",100)),301,100)))</x:f>
      </x:c>
      <x:c r="X79" s="137" t="str">
        <x:f>IF($A79="","",TRIM(MID(SUBSTITUTE(SUBSTITUTE(TRIM($I79)," ",""),",",REPT(" ",100)),401,100)))</x:f>
      </x:c>
      <x:c r="Y79" s="137" t="str">
        <x:f>IF($A79="","",TRIM(MID(SUBSTITUTE(SUBSTITUTE(TRIM($I79)," ",""),",",REPT(" ",100)),501,100)))</x:f>
      </x:c>
      <x:c r="Z79" s="137" t="str">
        <x:f>IF($A79="","",TRIM(MID(SUBSTITUTE(SUBSTITUTE(TRIM($I79)," ",""),",",REPT(" ",100)),601,100)))</x:f>
      </x:c>
      <x:c r="AA79" s="137" t="str">
        <x:f>IF($A79="","",IF(SUBSTITUTE(TRIM($I79)," ","")="",0,1+LEN(SUBSTITUTE(TRIM($I79)," ",""))-LEN(SUBSTITUTE(SUBSTITUTE(TRIM($I79)," ",""),",",""))))</x:f>
      </x:c>
      <x:c r="AB79" s="137" t="str">
        <x:f>IF($A79="","",COUNTIF(TasksTable[Task ID],T79)+COUNTIF(TasksTable[Task ID],U79)+COUNTIF(TasksTable[Task ID],V79)+COUNTIF(TasksTable[Task ID],W79)+COUNTIF(TasksTable[Task ID],X79)+COUNTIF(TasksTable[Task ID],Y79)+COUNTIF(TasksTable[Task ID],Z79))</x:f>
      </x:c>
      <x:c r="AC79" s="137" t="b">
        <x:f>IF($A79="",FALSE,OR(T79=$A79,U79=$A79,V79=$A79,W79=$A79,X79=$A79,Y79=$A79,Z79=$A79))</x:f>
        <x:v>0</x:v>
      </x:c>
      <x:c r="AD79" s="144" t="n">
        <x:f>IF(AA79=0,0,MAX(IFERROR(INDEX(TasksTable[Start Date],MATCH(T79,TasksTable[Task ID],0)),0),IFERROR(INDEX(TasksTable[Start Date],MATCH(U79,TasksTable[Task ID],0)),0),IFERROR(INDEX(TasksTable[Start Date],MATCH(V79,TasksTable[Task ID],0)),0),IFERROR(INDEX(TasksTable[Start Date],MATCH(W79,TasksTable[Task ID],0)),0),IFERROR(INDEX(TasksTable[Start Date],MATCH(X79,TasksTable[Task ID],0)),0),IFERROR(INDEX(TasksTable[Start Date],MATCH(Y79,TasksTable[Task ID],0)),0),IFERROR(INDEX(TasksTable[Start Date],MATCH(Z79,TasksTable[Task ID],0)),0)))</x:f>
        <x:v>0</x:v>
      </x:c>
      <x:c r="AE79" s="144" t="n">
        <x:f>IF(AA79=0,0,MAX(IFERROR(INDEX(TasksTable[End Date],MATCH(T79,TasksTable[Task ID],0)),0),IFERROR(INDEX(TasksTable[End Date],MATCH(U79,TasksTable[Task ID],0)),0),IFERROR(INDEX(TasksTable[End Date],MATCH(V79,TasksTable[Task ID],0)),0),IFERROR(INDEX(TasksTable[End Date],MATCH(W79,TasksTable[Task ID],0)),0),IFERROR(INDEX(TasksTable[End Date],MATCH(X79,TasksTable[Task ID],0)),0),IFERROR(INDEX(TasksTable[End Date],MATCH(Y79,TasksTable[Task ID],0)),0),IFERROR(INDEX(TasksTable[End Date],MATCH(Z79,TasksTable[Task ID],0)),0)))</x:f>
        <x:v>0</x:v>
      </x:c>
      <x:c r="AF79" s="137" t="b">
        <x:f>IF(OR($A79="",AA79=0),FALSE,SWITCH($J79,"FS",$F79&lt;AE79,"SS",$F79&lt;AD79,"FF",$G79&lt;AE79,"SF",$G79&lt;AD79,TRUE))</x:f>
        <x:v>0</x:v>
      </x:c>
      <x:c r="AG79" s="137" t="str">
        <x:f>IF(AND($A79&lt;&gt;"",$K79="No",$N79&lt;&gt;"Completed",$F79&gt;=TODAY()),$F79+ROW()/100000,"")</x:f>
      </x:c>
      <x:c r="AH79" s="137" t="str">
        <x:f>IF(AND($A79&lt;&gt;"",$K79="Yes",$N79&lt;&gt;"Completed",$F79&gt;=TODAY()),$F79+ROW()/100000,"")</x:f>
      </x:c>
      <x:c r="AI79" s="137" t="str">
        <x:f>IF(AND($A79&lt;&gt;"",$K79="No",$N79&lt;&gt;"Completed",$G79&gt;=TODAY(),$G79&lt;=TODAY()+3),$G79+ROW()/100000,"")</x:f>
      </x:c>
      <x:c r="AJ79" s="137" t="str">
        <x:f>IF(AND($A79&lt;&gt;"",$K79="No",OR($N79="Delayed",$P79="Dependency conflict")),$G79+ROW()/100000,"")</x:f>
      </x:c>
      <x:c r="AK79" s="137" t="str">
        <x:f>IF(AG79="","",COUNTIFS($AG$7:$AG$206,"&gt;0",$AG$7:$AG$206,"&lt;"&amp;AG79)+1)</x:f>
      </x:c>
      <x:c r="AL79" s="137" t="str">
        <x:f>IF(AH79="","",COUNTIFS($AH$7:$AH$206,"&gt;0",$AH$7:$AH$206,"&lt;"&amp;AH79)+1)</x:f>
      </x:c>
      <x:c r="AM79" s="137" t="str">
        <x:f>IF(AI79="","",COUNTIFS($AI$7:$AI$206,"&gt;0",$AI$7:$AI$206,"&lt;"&amp;AI79)+1)</x:f>
      </x:c>
      <x:c r="AN79" s="137" t="str">
        <x:f>IF(AJ79="","",COUNTIFS($AJ$7:$AJ$206,"&gt;0",$AJ$7:$AJ$206,"&lt;"&amp;AJ79)+1)</x:f>
      </x:c>
    </x:row>
    <x:row r="80">
      <x:c r="T80" s="137" t="str">
        <x:f>IF($A80="","",TRIM(MID(SUBSTITUTE(SUBSTITUTE(TRIM($I80)," ",""),",",REPT(" ",100)),1,100)))</x:f>
      </x:c>
      <x:c r="U80" s="137" t="str">
        <x:f>IF($A80="","",TRIM(MID(SUBSTITUTE(SUBSTITUTE(TRIM($I80)," ",""),",",REPT(" ",100)),101,100)))</x:f>
      </x:c>
      <x:c r="V80" s="137" t="str">
        <x:f>IF($A80="","",TRIM(MID(SUBSTITUTE(SUBSTITUTE(TRIM($I80)," ",""),",",REPT(" ",100)),201,100)))</x:f>
      </x:c>
      <x:c r="W80" s="137" t="str">
        <x:f>IF($A80="","",TRIM(MID(SUBSTITUTE(SUBSTITUTE(TRIM($I80)," ",""),",",REPT(" ",100)),301,100)))</x:f>
      </x:c>
      <x:c r="X80" s="137" t="str">
        <x:f>IF($A80="","",TRIM(MID(SUBSTITUTE(SUBSTITUTE(TRIM($I80)," ",""),",",REPT(" ",100)),401,100)))</x:f>
      </x:c>
      <x:c r="Y80" s="137" t="str">
        <x:f>IF($A80="","",TRIM(MID(SUBSTITUTE(SUBSTITUTE(TRIM($I80)," ",""),",",REPT(" ",100)),501,100)))</x:f>
      </x:c>
      <x:c r="Z80" s="137" t="str">
        <x:f>IF($A80="","",TRIM(MID(SUBSTITUTE(SUBSTITUTE(TRIM($I80)," ",""),",",REPT(" ",100)),601,100)))</x:f>
      </x:c>
      <x:c r="AA80" s="137" t="str">
        <x:f>IF($A80="","",IF(SUBSTITUTE(TRIM($I80)," ","")="",0,1+LEN(SUBSTITUTE(TRIM($I80)," ",""))-LEN(SUBSTITUTE(SUBSTITUTE(TRIM($I80)," ",""),",",""))))</x:f>
      </x:c>
      <x:c r="AB80" s="137" t="str">
        <x:f>IF($A80="","",COUNTIF(TasksTable[Task ID],T80)+COUNTIF(TasksTable[Task ID],U80)+COUNTIF(TasksTable[Task ID],V80)+COUNTIF(TasksTable[Task ID],W80)+COUNTIF(TasksTable[Task ID],X80)+COUNTIF(TasksTable[Task ID],Y80)+COUNTIF(TasksTable[Task ID],Z80))</x:f>
      </x:c>
      <x:c r="AC80" s="137" t="b">
        <x:f>IF($A80="",FALSE,OR(T80=$A80,U80=$A80,V80=$A80,W80=$A80,X80=$A80,Y80=$A80,Z80=$A80))</x:f>
        <x:v>0</x:v>
      </x:c>
      <x:c r="AD80" s="144" t="n">
        <x:f>IF(AA80=0,0,MAX(IFERROR(INDEX(TasksTable[Start Date],MATCH(T80,TasksTable[Task ID],0)),0),IFERROR(INDEX(TasksTable[Start Date],MATCH(U80,TasksTable[Task ID],0)),0),IFERROR(INDEX(TasksTable[Start Date],MATCH(V80,TasksTable[Task ID],0)),0),IFERROR(INDEX(TasksTable[Start Date],MATCH(W80,TasksTable[Task ID],0)),0),IFERROR(INDEX(TasksTable[Start Date],MATCH(X80,TasksTable[Task ID],0)),0),IFERROR(INDEX(TasksTable[Start Date],MATCH(Y80,TasksTable[Task ID],0)),0),IFERROR(INDEX(TasksTable[Start Date],MATCH(Z80,TasksTable[Task ID],0)),0)))</x:f>
        <x:v>0</x:v>
      </x:c>
      <x:c r="AE80" s="144" t="n">
        <x:f>IF(AA80=0,0,MAX(IFERROR(INDEX(TasksTable[End Date],MATCH(T80,TasksTable[Task ID],0)),0),IFERROR(INDEX(TasksTable[End Date],MATCH(U80,TasksTable[Task ID],0)),0),IFERROR(INDEX(TasksTable[End Date],MATCH(V80,TasksTable[Task ID],0)),0),IFERROR(INDEX(TasksTable[End Date],MATCH(W80,TasksTable[Task ID],0)),0),IFERROR(INDEX(TasksTable[End Date],MATCH(X80,TasksTable[Task ID],0)),0),IFERROR(INDEX(TasksTable[End Date],MATCH(Y80,TasksTable[Task ID],0)),0),IFERROR(INDEX(TasksTable[End Date],MATCH(Z80,TasksTable[Task ID],0)),0)))</x:f>
        <x:v>0</x:v>
      </x:c>
      <x:c r="AF80" s="137" t="b">
        <x:f>IF(OR($A80="",AA80=0),FALSE,SWITCH($J80,"FS",$F80&lt;AE80,"SS",$F80&lt;AD80,"FF",$G80&lt;AE80,"SF",$G80&lt;AD80,TRUE))</x:f>
        <x:v>0</x:v>
      </x:c>
      <x:c r="AG80" s="137" t="str">
        <x:f>IF(AND($A80&lt;&gt;"",$K80="No",$N80&lt;&gt;"Completed",$F80&gt;=TODAY()),$F80+ROW()/100000,"")</x:f>
      </x:c>
      <x:c r="AH80" s="137" t="str">
        <x:f>IF(AND($A80&lt;&gt;"",$K80="Yes",$N80&lt;&gt;"Completed",$F80&gt;=TODAY()),$F80+ROW()/100000,"")</x:f>
      </x:c>
      <x:c r="AI80" s="137" t="str">
        <x:f>IF(AND($A80&lt;&gt;"",$K80="No",$N80&lt;&gt;"Completed",$G80&gt;=TODAY(),$G80&lt;=TODAY()+3),$G80+ROW()/100000,"")</x:f>
      </x:c>
      <x:c r="AJ80" s="137" t="str">
        <x:f>IF(AND($A80&lt;&gt;"",$K80="No",OR($N80="Delayed",$P80="Dependency conflict")),$G80+ROW()/100000,"")</x:f>
      </x:c>
      <x:c r="AK80" s="137" t="str">
        <x:f>IF(AG80="","",COUNTIFS($AG$7:$AG$206,"&gt;0",$AG$7:$AG$206,"&lt;"&amp;AG80)+1)</x:f>
      </x:c>
      <x:c r="AL80" s="137" t="str">
        <x:f>IF(AH80="","",COUNTIFS($AH$7:$AH$206,"&gt;0",$AH$7:$AH$206,"&lt;"&amp;AH80)+1)</x:f>
      </x:c>
      <x:c r="AM80" s="137" t="str">
        <x:f>IF(AI80="","",COUNTIFS($AI$7:$AI$206,"&gt;0",$AI$7:$AI$206,"&lt;"&amp;AI80)+1)</x:f>
      </x:c>
      <x:c r="AN80" s="137" t="str">
        <x:f>IF(AJ80="","",COUNTIFS($AJ$7:$AJ$206,"&gt;0",$AJ$7:$AJ$206,"&lt;"&amp;AJ80)+1)</x:f>
      </x:c>
    </x:row>
    <x:row r="81">
      <x:c r="T81" s="137" t="str">
        <x:f>IF($A81="","",TRIM(MID(SUBSTITUTE(SUBSTITUTE(TRIM($I81)," ",""),",",REPT(" ",100)),1,100)))</x:f>
      </x:c>
      <x:c r="U81" s="137" t="str">
        <x:f>IF($A81="","",TRIM(MID(SUBSTITUTE(SUBSTITUTE(TRIM($I81)," ",""),",",REPT(" ",100)),101,100)))</x:f>
      </x:c>
      <x:c r="V81" s="137" t="str">
        <x:f>IF($A81="","",TRIM(MID(SUBSTITUTE(SUBSTITUTE(TRIM($I81)," ",""),",",REPT(" ",100)),201,100)))</x:f>
      </x:c>
      <x:c r="W81" s="137" t="str">
        <x:f>IF($A81="","",TRIM(MID(SUBSTITUTE(SUBSTITUTE(TRIM($I81)," ",""),",",REPT(" ",100)),301,100)))</x:f>
      </x:c>
      <x:c r="X81" s="137" t="str">
        <x:f>IF($A81="","",TRIM(MID(SUBSTITUTE(SUBSTITUTE(TRIM($I81)," ",""),",",REPT(" ",100)),401,100)))</x:f>
      </x:c>
      <x:c r="Y81" s="137" t="str">
        <x:f>IF($A81="","",TRIM(MID(SUBSTITUTE(SUBSTITUTE(TRIM($I81)," ",""),",",REPT(" ",100)),501,100)))</x:f>
      </x:c>
      <x:c r="Z81" s="137" t="str">
        <x:f>IF($A81="","",TRIM(MID(SUBSTITUTE(SUBSTITUTE(TRIM($I81)," ",""),",",REPT(" ",100)),601,100)))</x:f>
      </x:c>
      <x:c r="AA81" s="137" t="str">
        <x:f>IF($A81="","",IF(SUBSTITUTE(TRIM($I81)," ","")="",0,1+LEN(SUBSTITUTE(TRIM($I81)," ",""))-LEN(SUBSTITUTE(SUBSTITUTE(TRIM($I81)," ",""),",",""))))</x:f>
      </x:c>
      <x:c r="AB81" s="137" t="str">
        <x:f>IF($A81="","",COUNTIF(TasksTable[Task ID],T81)+COUNTIF(TasksTable[Task ID],U81)+COUNTIF(TasksTable[Task ID],V81)+COUNTIF(TasksTable[Task ID],W81)+COUNTIF(TasksTable[Task ID],X81)+COUNTIF(TasksTable[Task ID],Y81)+COUNTIF(TasksTable[Task ID],Z81))</x:f>
      </x:c>
      <x:c r="AC81" s="137" t="b">
        <x:f>IF($A81="",FALSE,OR(T81=$A81,U81=$A81,V81=$A81,W81=$A81,X81=$A81,Y81=$A81,Z81=$A81))</x:f>
        <x:v>0</x:v>
      </x:c>
      <x:c r="AD81" s="144" t="n">
        <x:f>IF(AA81=0,0,MAX(IFERROR(INDEX(TasksTable[Start Date],MATCH(T81,TasksTable[Task ID],0)),0),IFERROR(INDEX(TasksTable[Start Date],MATCH(U81,TasksTable[Task ID],0)),0),IFERROR(INDEX(TasksTable[Start Date],MATCH(V81,TasksTable[Task ID],0)),0),IFERROR(INDEX(TasksTable[Start Date],MATCH(W81,TasksTable[Task ID],0)),0),IFERROR(INDEX(TasksTable[Start Date],MATCH(X81,TasksTable[Task ID],0)),0),IFERROR(INDEX(TasksTable[Start Date],MATCH(Y81,TasksTable[Task ID],0)),0),IFERROR(INDEX(TasksTable[Start Date],MATCH(Z81,TasksTable[Task ID],0)),0)))</x:f>
        <x:v>0</x:v>
      </x:c>
      <x:c r="AE81" s="144" t="n">
        <x:f>IF(AA81=0,0,MAX(IFERROR(INDEX(TasksTable[End Date],MATCH(T81,TasksTable[Task ID],0)),0),IFERROR(INDEX(TasksTable[End Date],MATCH(U81,TasksTable[Task ID],0)),0),IFERROR(INDEX(TasksTable[End Date],MATCH(V81,TasksTable[Task ID],0)),0),IFERROR(INDEX(TasksTable[End Date],MATCH(W81,TasksTable[Task ID],0)),0),IFERROR(INDEX(TasksTable[End Date],MATCH(X81,TasksTable[Task ID],0)),0),IFERROR(INDEX(TasksTable[End Date],MATCH(Y81,TasksTable[Task ID],0)),0),IFERROR(INDEX(TasksTable[End Date],MATCH(Z81,TasksTable[Task ID],0)),0)))</x:f>
        <x:v>0</x:v>
      </x:c>
      <x:c r="AF81" s="137" t="b">
        <x:f>IF(OR($A81="",AA81=0),FALSE,SWITCH($J81,"FS",$F81&lt;AE81,"SS",$F81&lt;AD81,"FF",$G81&lt;AE81,"SF",$G81&lt;AD81,TRUE))</x:f>
        <x:v>0</x:v>
      </x:c>
      <x:c r="AG81" s="137" t="str">
        <x:f>IF(AND($A81&lt;&gt;"",$K81="No",$N81&lt;&gt;"Completed",$F81&gt;=TODAY()),$F81+ROW()/100000,"")</x:f>
      </x:c>
      <x:c r="AH81" s="137" t="str">
        <x:f>IF(AND($A81&lt;&gt;"",$K81="Yes",$N81&lt;&gt;"Completed",$F81&gt;=TODAY()),$F81+ROW()/100000,"")</x:f>
      </x:c>
      <x:c r="AI81" s="137" t="str">
        <x:f>IF(AND($A81&lt;&gt;"",$K81="No",$N81&lt;&gt;"Completed",$G81&gt;=TODAY(),$G81&lt;=TODAY()+3),$G81+ROW()/100000,"")</x:f>
      </x:c>
      <x:c r="AJ81" s="137" t="str">
        <x:f>IF(AND($A81&lt;&gt;"",$K81="No",OR($N81="Delayed",$P81="Dependency conflict")),$G81+ROW()/100000,"")</x:f>
      </x:c>
      <x:c r="AK81" s="137" t="str">
        <x:f>IF(AG81="","",COUNTIFS($AG$7:$AG$206,"&gt;0",$AG$7:$AG$206,"&lt;"&amp;AG81)+1)</x:f>
      </x:c>
      <x:c r="AL81" s="137" t="str">
        <x:f>IF(AH81="","",COUNTIFS($AH$7:$AH$206,"&gt;0",$AH$7:$AH$206,"&lt;"&amp;AH81)+1)</x:f>
      </x:c>
      <x:c r="AM81" s="137" t="str">
        <x:f>IF(AI81="","",COUNTIFS($AI$7:$AI$206,"&gt;0",$AI$7:$AI$206,"&lt;"&amp;AI81)+1)</x:f>
      </x:c>
      <x:c r="AN81" s="137" t="str">
        <x:f>IF(AJ81="","",COUNTIFS($AJ$7:$AJ$206,"&gt;0",$AJ$7:$AJ$206,"&lt;"&amp;AJ81)+1)</x:f>
      </x:c>
    </x:row>
    <x:row r="82">
      <x:c r="T82" s="137" t="str">
        <x:f>IF($A82="","",TRIM(MID(SUBSTITUTE(SUBSTITUTE(TRIM($I82)," ",""),",",REPT(" ",100)),1,100)))</x:f>
      </x:c>
      <x:c r="U82" s="137" t="str">
        <x:f>IF($A82="","",TRIM(MID(SUBSTITUTE(SUBSTITUTE(TRIM($I82)," ",""),",",REPT(" ",100)),101,100)))</x:f>
      </x:c>
      <x:c r="V82" s="137" t="str">
        <x:f>IF($A82="","",TRIM(MID(SUBSTITUTE(SUBSTITUTE(TRIM($I82)," ",""),",",REPT(" ",100)),201,100)))</x:f>
      </x:c>
      <x:c r="W82" s="137" t="str">
        <x:f>IF($A82="","",TRIM(MID(SUBSTITUTE(SUBSTITUTE(TRIM($I82)," ",""),",",REPT(" ",100)),301,100)))</x:f>
      </x:c>
      <x:c r="X82" s="137" t="str">
        <x:f>IF($A82="","",TRIM(MID(SUBSTITUTE(SUBSTITUTE(TRIM($I82)," ",""),",",REPT(" ",100)),401,100)))</x:f>
      </x:c>
      <x:c r="Y82" s="137" t="str">
        <x:f>IF($A82="","",TRIM(MID(SUBSTITUTE(SUBSTITUTE(TRIM($I82)," ",""),",",REPT(" ",100)),501,100)))</x:f>
      </x:c>
      <x:c r="Z82" s="137" t="str">
        <x:f>IF($A82="","",TRIM(MID(SUBSTITUTE(SUBSTITUTE(TRIM($I82)," ",""),",",REPT(" ",100)),601,100)))</x:f>
      </x:c>
      <x:c r="AA82" s="137" t="str">
        <x:f>IF($A82="","",IF(SUBSTITUTE(TRIM($I82)," ","")="",0,1+LEN(SUBSTITUTE(TRIM($I82)," ",""))-LEN(SUBSTITUTE(SUBSTITUTE(TRIM($I82)," ",""),",",""))))</x:f>
      </x:c>
      <x:c r="AB82" s="137" t="str">
        <x:f>IF($A82="","",COUNTIF(TasksTable[Task ID],T82)+COUNTIF(TasksTable[Task ID],U82)+COUNTIF(TasksTable[Task ID],V82)+COUNTIF(TasksTable[Task ID],W82)+COUNTIF(TasksTable[Task ID],X82)+COUNTIF(TasksTable[Task ID],Y82)+COUNTIF(TasksTable[Task ID],Z82))</x:f>
      </x:c>
      <x:c r="AC82" s="137" t="b">
        <x:f>IF($A82="",FALSE,OR(T82=$A82,U82=$A82,V82=$A82,W82=$A82,X82=$A82,Y82=$A82,Z82=$A82))</x:f>
        <x:v>0</x:v>
      </x:c>
      <x:c r="AD82" s="144" t="n">
        <x:f>IF(AA82=0,0,MAX(IFERROR(INDEX(TasksTable[Start Date],MATCH(T82,TasksTable[Task ID],0)),0),IFERROR(INDEX(TasksTable[Start Date],MATCH(U82,TasksTable[Task ID],0)),0),IFERROR(INDEX(TasksTable[Start Date],MATCH(V82,TasksTable[Task ID],0)),0),IFERROR(INDEX(TasksTable[Start Date],MATCH(W82,TasksTable[Task ID],0)),0),IFERROR(INDEX(TasksTable[Start Date],MATCH(X82,TasksTable[Task ID],0)),0),IFERROR(INDEX(TasksTable[Start Date],MATCH(Y82,TasksTable[Task ID],0)),0),IFERROR(INDEX(TasksTable[Start Date],MATCH(Z82,TasksTable[Task ID],0)),0)))</x:f>
        <x:v>0</x:v>
      </x:c>
      <x:c r="AE82" s="144" t="n">
        <x:f>IF(AA82=0,0,MAX(IFERROR(INDEX(TasksTable[End Date],MATCH(T82,TasksTable[Task ID],0)),0),IFERROR(INDEX(TasksTable[End Date],MATCH(U82,TasksTable[Task ID],0)),0),IFERROR(INDEX(TasksTable[End Date],MATCH(V82,TasksTable[Task ID],0)),0),IFERROR(INDEX(TasksTable[End Date],MATCH(W82,TasksTable[Task ID],0)),0),IFERROR(INDEX(TasksTable[End Date],MATCH(X82,TasksTable[Task ID],0)),0),IFERROR(INDEX(TasksTable[End Date],MATCH(Y82,TasksTable[Task ID],0)),0),IFERROR(INDEX(TasksTable[End Date],MATCH(Z82,TasksTable[Task ID],0)),0)))</x:f>
        <x:v>0</x:v>
      </x:c>
      <x:c r="AF82" s="137" t="b">
        <x:f>IF(OR($A82="",AA82=0),FALSE,SWITCH($J82,"FS",$F82&lt;AE82,"SS",$F82&lt;AD82,"FF",$G82&lt;AE82,"SF",$G82&lt;AD82,TRUE))</x:f>
        <x:v>0</x:v>
      </x:c>
      <x:c r="AG82" s="137" t="str">
        <x:f>IF(AND($A82&lt;&gt;"",$K82="No",$N82&lt;&gt;"Completed",$F82&gt;=TODAY()),$F82+ROW()/100000,"")</x:f>
      </x:c>
      <x:c r="AH82" s="137" t="str">
        <x:f>IF(AND($A82&lt;&gt;"",$K82="Yes",$N82&lt;&gt;"Completed",$F82&gt;=TODAY()),$F82+ROW()/100000,"")</x:f>
      </x:c>
      <x:c r="AI82" s="137" t="str">
        <x:f>IF(AND($A82&lt;&gt;"",$K82="No",$N82&lt;&gt;"Completed",$G82&gt;=TODAY(),$G82&lt;=TODAY()+3),$G82+ROW()/100000,"")</x:f>
      </x:c>
      <x:c r="AJ82" s="137" t="str">
        <x:f>IF(AND($A82&lt;&gt;"",$K82="No",OR($N82="Delayed",$P82="Dependency conflict")),$G82+ROW()/100000,"")</x:f>
      </x:c>
      <x:c r="AK82" s="137" t="str">
        <x:f>IF(AG82="","",COUNTIFS($AG$7:$AG$206,"&gt;0",$AG$7:$AG$206,"&lt;"&amp;AG82)+1)</x:f>
      </x:c>
      <x:c r="AL82" s="137" t="str">
        <x:f>IF(AH82="","",COUNTIFS($AH$7:$AH$206,"&gt;0",$AH$7:$AH$206,"&lt;"&amp;AH82)+1)</x:f>
      </x:c>
      <x:c r="AM82" s="137" t="str">
        <x:f>IF(AI82="","",COUNTIFS($AI$7:$AI$206,"&gt;0",$AI$7:$AI$206,"&lt;"&amp;AI82)+1)</x:f>
      </x:c>
      <x:c r="AN82" s="137" t="str">
        <x:f>IF(AJ82="","",COUNTIFS($AJ$7:$AJ$206,"&gt;0",$AJ$7:$AJ$206,"&lt;"&amp;AJ82)+1)</x:f>
      </x:c>
    </x:row>
    <x:row r="83">
      <x:c r="T83" s="137" t="str">
        <x:f>IF($A83="","",TRIM(MID(SUBSTITUTE(SUBSTITUTE(TRIM($I83)," ",""),",",REPT(" ",100)),1,100)))</x:f>
      </x:c>
      <x:c r="U83" s="137" t="str">
        <x:f>IF($A83="","",TRIM(MID(SUBSTITUTE(SUBSTITUTE(TRIM($I83)," ",""),",",REPT(" ",100)),101,100)))</x:f>
      </x:c>
      <x:c r="V83" s="137" t="str">
        <x:f>IF($A83="","",TRIM(MID(SUBSTITUTE(SUBSTITUTE(TRIM($I83)," ",""),",",REPT(" ",100)),201,100)))</x:f>
      </x:c>
      <x:c r="W83" s="137" t="str">
        <x:f>IF($A83="","",TRIM(MID(SUBSTITUTE(SUBSTITUTE(TRIM($I83)," ",""),",",REPT(" ",100)),301,100)))</x:f>
      </x:c>
      <x:c r="X83" s="137" t="str">
        <x:f>IF($A83="","",TRIM(MID(SUBSTITUTE(SUBSTITUTE(TRIM($I83)," ",""),",",REPT(" ",100)),401,100)))</x:f>
      </x:c>
      <x:c r="Y83" s="137" t="str">
        <x:f>IF($A83="","",TRIM(MID(SUBSTITUTE(SUBSTITUTE(TRIM($I83)," ",""),",",REPT(" ",100)),501,100)))</x:f>
      </x:c>
      <x:c r="Z83" s="137" t="str">
        <x:f>IF($A83="","",TRIM(MID(SUBSTITUTE(SUBSTITUTE(TRIM($I83)," ",""),",",REPT(" ",100)),601,100)))</x:f>
      </x:c>
      <x:c r="AA83" s="137" t="str">
        <x:f>IF($A83="","",IF(SUBSTITUTE(TRIM($I83)," ","")="",0,1+LEN(SUBSTITUTE(TRIM($I83)," ",""))-LEN(SUBSTITUTE(SUBSTITUTE(TRIM($I83)," ",""),",",""))))</x:f>
      </x:c>
      <x:c r="AB83" s="137" t="str">
        <x:f>IF($A83="","",COUNTIF(TasksTable[Task ID],T83)+COUNTIF(TasksTable[Task ID],U83)+COUNTIF(TasksTable[Task ID],V83)+COUNTIF(TasksTable[Task ID],W83)+COUNTIF(TasksTable[Task ID],X83)+COUNTIF(TasksTable[Task ID],Y83)+COUNTIF(TasksTable[Task ID],Z83))</x:f>
      </x:c>
      <x:c r="AC83" s="137" t="b">
        <x:f>IF($A83="",FALSE,OR(T83=$A83,U83=$A83,V83=$A83,W83=$A83,X83=$A83,Y83=$A83,Z83=$A83))</x:f>
        <x:v>0</x:v>
      </x:c>
      <x:c r="AD83" s="144" t="n">
        <x:f>IF(AA83=0,0,MAX(IFERROR(INDEX(TasksTable[Start Date],MATCH(T83,TasksTable[Task ID],0)),0),IFERROR(INDEX(TasksTable[Start Date],MATCH(U83,TasksTable[Task ID],0)),0),IFERROR(INDEX(TasksTable[Start Date],MATCH(V83,TasksTable[Task ID],0)),0),IFERROR(INDEX(TasksTable[Start Date],MATCH(W83,TasksTable[Task ID],0)),0),IFERROR(INDEX(TasksTable[Start Date],MATCH(X83,TasksTable[Task ID],0)),0),IFERROR(INDEX(TasksTable[Start Date],MATCH(Y83,TasksTable[Task ID],0)),0),IFERROR(INDEX(TasksTable[Start Date],MATCH(Z83,TasksTable[Task ID],0)),0)))</x:f>
        <x:v>0</x:v>
      </x:c>
      <x:c r="AE83" s="144" t="n">
        <x:f>IF(AA83=0,0,MAX(IFERROR(INDEX(TasksTable[End Date],MATCH(T83,TasksTable[Task ID],0)),0),IFERROR(INDEX(TasksTable[End Date],MATCH(U83,TasksTable[Task ID],0)),0),IFERROR(INDEX(TasksTable[End Date],MATCH(V83,TasksTable[Task ID],0)),0),IFERROR(INDEX(TasksTable[End Date],MATCH(W83,TasksTable[Task ID],0)),0),IFERROR(INDEX(TasksTable[End Date],MATCH(X83,TasksTable[Task ID],0)),0),IFERROR(INDEX(TasksTable[End Date],MATCH(Y83,TasksTable[Task ID],0)),0),IFERROR(INDEX(TasksTable[End Date],MATCH(Z83,TasksTable[Task ID],0)),0)))</x:f>
        <x:v>0</x:v>
      </x:c>
      <x:c r="AF83" s="137" t="b">
        <x:f>IF(OR($A83="",AA83=0),FALSE,SWITCH($J83,"FS",$F83&lt;AE83,"SS",$F83&lt;AD83,"FF",$G83&lt;AE83,"SF",$G83&lt;AD83,TRUE))</x:f>
        <x:v>0</x:v>
      </x:c>
      <x:c r="AG83" s="137" t="str">
        <x:f>IF(AND($A83&lt;&gt;"",$K83="No",$N83&lt;&gt;"Completed",$F83&gt;=TODAY()),$F83+ROW()/100000,"")</x:f>
      </x:c>
      <x:c r="AH83" s="137" t="str">
        <x:f>IF(AND($A83&lt;&gt;"",$K83="Yes",$N83&lt;&gt;"Completed",$F83&gt;=TODAY()),$F83+ROW()/100000,"")</x:f>
      </x:c>
      <x:c r="AI83" s="137" t="str">
        <x:f>IF(AND($A83&lt;&gt;"",$K83="No",$N83&lt;&gt;"Completed",$G83&gt;=TODAY(),$G83&lt;=TODAY()+3),$G83+ROW()/100000,"")</x:f>
      </x:c>
      <x:c r="AJ83" s="137" t="str">
        <x:f>IF(AND($A83&lt;&gt;"",$K83="No",OR($N83="Delayed",$P83="Dependency conflict")),$G83+ROW()/100000,"")</x:f>
      </x:c>
      <x:c r="AK83" s="137" t="str">
        <x:f>IF(AG83="","",COUNTIFS($AG$7:$AG$206,"&gt;0",$AG$7:$AG$206,"&lt;"&amp;AG83)+1)</x:f>
      </x:c>
      <x:c r="AL83" s="137" t="str">
        <x:f>IF(AH83="","",COUNTIFS($AH$7:$AH$206,"&gt;0",$AH$7:$AH$206,"&lt;"&amp;AH83)+1)</x:f>
      </x:c>
      <x:c r="AM83" s="137" t="str">
        <x:f>IF(AI83="","",COUNTIFS($AI$7:$AI$206,"&gt;0",$AI$7:$AI$206,"&lt;"&amp;AI83)+1)</x:f>
      </x:c>
      <x:c r="AN83" s="137" t="str">
        <x:f>IF(AJ83="","",COUNTIFS($AJ$7:$AJ$206,"&gt;0",$AJ$7:$AJ$206,"&lt;"&amp;AJ83)+1)</x:f>
      </x:c>
    </x:row>
    <x:row r="84">
      <x:c r="T84" s="137" t="str">
        <x:f>IF($A84="","",TRIM(MID(SUBSTITUTE(SUBSTITUTE(TRIM($I84)," ",""),",",REPT(" ",100)),1,100)))</x:f>
      </x:c>
      <x:c r="U84" s="137" t="str">
        <x:f>IF($A84="","",TRIM(MID(SUBSTITUTE(SUBSTITUTE(TRIM($I84)," ",""),",",REPT(" ",100)),101,100)))</x:f>
      </x:c>
      <x:c r="V84" s="137" t="str">
        <x:f>IF($A84="","",TRIM(MID(SUBSTITUTE(SUBSTITUTE(TRIM($I84)," ",""),",",REPT(" ",100)),201,100)))</x:f>
      </x:c>
      <x:c r="W84" s="137" t="str">
        <x:f>IF($A84="","",TRIM(MID(SUBSTITUTE(SUBSTITUTE(TRIM($I84)," ",""),",",REPT(" ",100)),301,100)))</x:f>
      </x:c>
      <x:c r="X84" s="137" t="str">
        <x:f>IF($A84="","",TRIM(MID(SUBSTITUTE(SUBSTITUTE(TRIM($I84)," ",""),",",REPT(" ",100)),401,100)))</x:f>
      </x:c>
      <x:c r="Y84" s="137" t="str">
        <x:f>IF($A84="","",TRIM(MID(SUBSTITUTE(SUBSTITUTE(TRIM($I84)," ",""),",",REPT(" ",100)),501,100)))</x:f>
      </x:c>
      <x:c r="Z84" s="137" t="str">
        <x:f>IF($A84="","",TRIM(MID(SUBSTITUTE(SUBSTITUTE(TRIM($I84)," ",""),",",REPT(" ",100)),601,100)))</x:f>
      </x:c>
      <x:c r="AA84" s="137" t="str">
        <x:f>IF($A84="","",IF(SUBSTITUTE(TRIM($I84)," ","")="",0,1+LEN(SUBSTITUTE(TRIM($I84)," ",""))-LEN(SUBSTITUTE(SUBSTITUTE(TRIM($I84)," ",""),",",""))))</x:f>
      </x:c>
      <x:c r="AB84" s="137" t="str">
        <x:f>IF($A84="","",COUNTIF(TasksTable[Task ID],T84)+COUNTIF(TasksTable[Task ID],U84)+COUNTIF(TasksTable[Task ID],V84)+COUNTIF(TasksTable[Task ID],W84)+COUNTIF(TasksTable[Task ID],X84)+COUNTIF(TasksTable[Task ID],Y84)+COUNTIF(TasksTable[Task ID],Z84))</x:f>
      </x:c>
      <x:c r="AC84" s="137" t="b">
        <x:f>IF($A84="",FALSE,OR(T84=$A84,U84=$A84,V84=$A84,W84=$A84,X84=$A84,Y84=$A84,Z84=$A84))</x:f>
        <x:v>0</x:v>
      </x:c>
      <x:c r="AD84" s="144" t="n">
        <x:f>IF(AA84=0,0,MAX(IFERROR(INDEX(TasksTable[Start Date],MATCH(T84,TasksTable[Task ID],0)),0),IFERROR(INDEX(TasksTable[Start Date],MATCH(U84,TasksTable[Task ID],0)),0),IFERROR(INDEX(TasksTable[Start Date],MATCH(V84,TasksTable[Task ID],0)),0),IFERROR(INDEX(TasksTable[Start Date],MATCH(W84,TasksTable[Task ID],0)),0),IFERROR(INDEX(TasksTable[Start Date],MATCH(X84,TasksTable[Task ID],0)),0),IFERROR(INDEX(TasksTable[Start Date],MATCH(Y84,TasksTable[Task ID],0)),0),IFERROR(INDEX(TasksTable[Start Date],MATCH(Z84,TasksTable[Task ID],0)),0)))</x:f>
        <x:v>0</x:v>
      </x:c>
      <x:c r="AE84" s="144" t="n">
        <x:f>IF(AA84=0,0,MAX(IFERROR(INDEX(TasksTable[End Date],MATCH(T84,TasksTable[Task ID],0)),0),IFERROR(INDEX(TasksTable[End Date],MATCH(U84,TasksTable[Task ID],0)),0),IFERROR(INDEX(TasksTable[End Date],MATCH(V84,TasksTable[Task ID],0)),0),IFERROR(INDEX(TasksTable[End Date],MATCH(W84,TasksTable[Task ID],0)),0),IFERROR(INDEX(TasksTable[End Date],MATCH(X84,TasksTable[Task ID],0)),0),IFERROR(INDEX(TasksTable[End Date],MATCH(Y84,TasksTable[Task ID],0)),0),IFERROR(INDEX(TasksTable[End Date],MATCH(Z84,TasksTable[Task ID],0)),0)))</x:f>
        <x:v>0</x:v>
      </x:c>
      <x:c r="AF84" s="137" t="b">
        <x:f>IF(OR($A84="",AA84=0),FALSE,SWITCH($J84,"FS",$F84&lt;AE84,"SS",$F84&lt;AD84,"FF",$G84&lt;AE84,"SF",$G84&lt;AD84,TRUE))</x:f>
        <x:v>0</x:v>
      </x:c>
      <x:c r="AG84" s="137" t="str">
        <x:f>IF(AND($A84&lt;&gt;"",$K84="No",$N84&lt;&gt;"Completed",$F84&gt;=TODAY()),$F84+ROW()/100000,"")</x:f>
      </x:c>
      <x:c r="AH84" s="137" t="str">
        <x:f>IF(AND($A84&lt;&gt;"",$K84="Yes",$N84&lt;&gt;"Completed",$F84&gt;=TODAY()),$F84+ROW()/100000,"")</x:f>
      </x:c>
      <x:c r="AI84" s="137" t="str">
        <x:f>IF(AND($A84&lt;&gt;"",$K84="No",$N84&lt;&gt;"Completed",$G84&gt;=TODAY(),$G84&lt;=TODAY()+3),$G84+ROW()/100000,"")</x:f>
      </x:c>
      <x:c r="AJ84" s="137" t="str">
        <x:f>IF(AND($A84&lt;&gt;"",$K84="No",OR($N84="Delayed",$P84="Dependency conflict")),$G84+ROW()/100000,"")</x:f>
      </x:c>
      <x:c r="AK84" s="137" t="str">
        <x:f>IF(AG84="","",COUNTIFS($AG$7:$AG$206,"&gt;0",$AG$7:$AG$206,"&lt;"&amp;AG84)+1)</x:f>
      </x:c>
      <x:c r="AL84" s="137" t="str">
        <x:f>IF(AH84="","",COUNTIFS($AH$7:$AH$206,"&gt;0",$AH$7:$AH$206,"&lt;"&amp;AH84)+1)</x:f>
      </x:c>
      <x:c r="AM84" s="137" t="str">
        <x:f>IF(AI84="","",COUNTIFS($AI$7:$AI$206,"&gt;0",$AI$7:$AI$206,"&lt;"&amp;AI84)+1)</x:f>
      </x:c>
      <x:c r="AN84" s="137" t="str">
        <x:f>IF(AJ84="","",COUNTIFS($AJ$7:$AJ$206,"&gt;0",$AJ$7:$AJ$206,"&lt;"&amp;AJ84)+1)</x:f>
      </x:c>
    </x:row>
    <x:row r="85">
      <x:c r="T85" s="137" t="str">
        <x:f>IF($A85="","",TRIM(MID(SUBSTITUTE(SUBSTITUTE(TRIM($I85)," ",""),",",REPT(" ",100)),1,100)))</x:f>
      </x:c>
      <x:c r="U85" s="137" t="str">
        <x:f>IF($A85="","",TRIM(MID(SUBSTITUTE(SUBSTITUTE(TRIM($I85)," ",""),",",REPT(" ",100)),101,100)))</x:f>
      </x:c>
      <x:c r="V85" s="137" t="str">
        <x:f>IF($A85="","",TRIM(MID(SUBSTITUTE(SUBSTITUTE(TRIM($I85)," ",""),",",REPT(" ",100)),201,100)))</x:f>
      </x:c>
      <x:c r="W85" s="137" t="str">
        <x:f>IF($A85="","",TRIM(MID(SUBSTITUTE(SUBSTITUTE(TRIM($I85)," ",""),",",REPT(" ",100)),301,100)))</x:f>
      </x:c>
      <x:c r="X85" s="137" t="str">
        <x:f>IF($A85="","",TRIM(MID(SUBSTITUTE(SUBSTITUTE(TRIM($I85)," ",""),",",REPT(" ",100)),401,100)))</x:f>
      </x:c>
      <x:c r="Y85" s="137" t="str">
        <x:f>IF($A85="","",TRIM(MID(SUBSTITUTE(SUBSTITUTE(TRIM($I85)," ",""),",",REPT(" ",100)),501,100)))</x:f>
      </x:c>
      <x:c r="Z85" s="137" t="str">
        <x:f>IF($A85="","",TRIM(MID(SUBSTITUTE(SUBSTITUTE(TRIM($I85)," ",""),",",REPT(" ",100)),601,100)))</x:f>
      </x:c>
      <x:c r="AA85" s="137" t="str">
        <x:f>IF($A85="","",IF(SUBSTITUTE(TRIM($I85)," ","")="",0,1+LEN(SUBSTITUTE(TRIM($I85)," ",""))-LEN(SUBSTITUTE(SUBSTITUTE(TRIM($I85)," ",""),",",""))))</x:f>
      </x:c>
      <x:c r="AB85" s="137" t="str">
        <x:f>IF($A85="","",COUNTIF(TasksTable[Task ID],T85)+COUNTIF(TasksTable[Task ID],U85)+COUNTIF(TasksTable[Task ID],V85)+COUNTIF(TasksTable[Task ID],W85)+COUNTIF(TasksTable[Task ID],X85)+COUNTIF(TasksTable[Task ID],Y85)+COUNTIF(TasksTable[Task ID],Z85))</x:f>
      </x:c>
      <x:c r="AC85" s="137" t="b">
        <x:f>IF($A85="",FALSE,OR(T85=$A85,U85=$A85,V85=$A85,W85=$A85,X85=$A85,Y85=$A85,Z85=$A85))</x:f>
        <x:v>0</x:v>
      </x:c>
      <x:c r="AD85" s="144" t="n">
        <x:f>IF(AA85=0,0,MAX(IFERROR(INDEX(TasksTable[Start Date],MATCH(T85,TasksTable[Task ID],0)),0),IFERROR(INDEX(TasksTable[Start Date],MATCH(U85,TasksTable[Task ID],0)),0),IFERROR(INDEX(TasksTable[Start Date],MATCH(V85,TasksTable[Task ID],0)),0),IFERROR(INDEX(TasksTable[Start Date],MATCH(W85,TasksTable[Task ID],0)),0),IFERROR(INDEX(TasksTable[Start Date],MATCH(X85,TasksTable[Task ID],0)),0),IFERROR(INDEX(TasksTable[Start Date],MATCH(Y85,TasksTable[Task ID],0)),0),IFERROR(INDEX(TasksTable[Start Date],MATCH(Z85,TasksTable[Task ID],0)),0)))</x:f>
        <x:v>0</x:v>
      </x:c>
      <x:c r="AE85" s="144" t="n">
        <x:f>IF(AA85=0,0,MAX(IFERROR(INDEX(TasksTable[End Date],MATCH(T85,TasksTable[Task ID],0)),0),IFERROR(INDEX(TasksTable[End Date],MATCH(U85,TasksTable[Task ID],0)),0),IFERROR(INDEX(TasksTable[End Date],MATCH(V85,TasksTable[Task ID],0)),0),IFERROR(INDEX(TasksTable[End Date],MATCH(W85,TasksTable[Task ID],0)),0),IFERROR(INDEX(TasksTable[End Date],MATCH(X85,TasksTable[Task ID],0)),0),IFERROR(INDEX(TasksTable[End Date],MATCH(Y85,TasksTable[Task ID],0)),0),IFERROR(INDEX(TasksTable[End Date],MATCH(Z85,TasksTable[Task ID],0)),0)))</x:f>
        <x:v>0</x:v>
      </x:c>
      <x:c r="AF85" s="137" t="b">
        <x:f>IF(OR($A85="",AA85=0),FALSE,SWITCH($J85,"FS",$F85&lt;AE85,"SS",$F85&lt;AD85,"FF",$G85&lt;AE85,"SF",$G85&lt;AD85,TRUE))</x:f>
        <x:v>0</x:v>
      </x:c>
      <x:c r="AG85" s="137" t="str">
        <x:f>IF(AND($A85&lt;&gt;"",$K85="No",$N85&lt;&gt;"Completed",$F85&gt;=TODAY()),$F85+ROW()/100000,"")</x:f>
      </x:c>
      <x:c r="AH85" s="137" t="str">
        <x:f>IF(AND($A85&lt;&gt;"",$K85="Yes",$N85&lt;&gt;"Completed",$F85&gt;=TODAY()),$F85+ROW()/100000,"")</x:f>
      </x:c>
      <x:c r="AI85" s="137" t="str">
        <x:f>IF(AND($A85&lt;&gt;"",$K85="No",$N85&lt;&gt;"Completed",$G85&gt;=TODAY(),$G85&lt;=TODAY()+3),$G85+ROW()/100000,"")</x:f>
      </x:c>
      <x:c r="AJ85" s="137" t="str">
        <x:f>IF(AND($A85&lt;&gt;"",$K85="No",OR($N85="Delayed",$P85="Dependency conflict")),$G85+ROW()/100000,"")</x:f>
      </x:c>
      <x:c r="AK85" s="137" t="str">
        <x:f>IF(AG85="","",COUNTIFS($AG$7:$AG$206,"&gt;0",$AG$7:$AG$206,"&lt;"&amp;AG85)+1)</x:f>
      </x:c>
      <x:c r="AL85" s="137" t="str">
        <x:f>IF(AH85="","",COUNTIFS($AH$7:$AH$206,"&gt;0",$AH$7:$AH$206,"&lt;"&amp;AH85)+1)</x:f>
      </x:c>
      <x:c r="AM85" s="137" t="str">
        <x:f>IF(AI85="","",COUNTIFS($AI$7:$AI$206,"&gt;0",$AI$7:$AI$206,"&lt;"&amp;AI85)+1)</x:f>
      </x:c>
      <x:c r="AN85" s="137" t="str">
        <x:f>IF(AJ85="","",COUNTIFS($AJ$7:$AJ$206,"&gt;0",$AJ$7:$AJ$206,"&lt;"&amp;AJ85)+1)</x:f>
      </x:c>
    </x:row>
    <x:row r="86">
      <x:c r="T86" s="137" t="str">
        <x:f>IF($A86="","",TRIM(MID(SUBSTITUTE(SUBSTITUTE(TRIM($I86)," ",""),",",REPT(" ",100)),1,100)))</x:f>
      </x:c>
      <x:c r="U86" s="137" t="str">
        <x:f>IF($A86="","",TRIM(MID(SUBSTITUTE(SUBSTITUTE(TRIM($I86)," ",""),",",REPT(" ",100)),101,100)))</x:f>
      </x:c>
      <x:c r="V86" s="137" t="str">
        <x:f>IF($A86="","",TRIM(MID(SUBSTITUTE(SUBSTITUTE(TRIM($I86)," ",""),",",REPT(" ",100)),201,100)))</x:f>
      </x:c>
      <x:c r="W86" s="137" t="str">
        <x:f>IF($A86="","",TRIM(MID(SUBSTITUTE(SUBSTITUTE(TRIM($I86)," ",""),",",REPT(" ",100)),301,100)))</x:f>
      </x:c>
      <x:c r="X86" s="137" t="str">
        <x:f>IF($A86="","",TRIM(MID(SUBSTITUTE(SUBSTITUTE(TRIM($I86)," ",""),",",REPT(" ",100)),401,100)))</x:f>
      </x:c>
      <x:c r="Y86" s="137" t="str">
        <x:f>IF($A86="","",TRIM(MID(SUBSTITUTE(SUBSTITUTE(TRIM($I86)," ",""),",",REPT(" ",100)),501,100)))</x:f>
      </x:c>
      <x:c r="Z86" s="137" t="str">
        <x:f>IF($A86="","",TRIM(MID(SUBSTITUTE(SUBSTITUTE(TRIM($I86)," ",""),",",REPT(" ",100)),601,100)))</x:f>
      </x:c>
      <x:c r="AA86" s="137" t="str">
        <x:f>IF($A86="","",IF(SUBSTITUTE(TRIM($I86)," ","")="",0,1+LEN(SUBSTITUTE(TRIM($I86)," ",""))-LEN(SUBSTITUTE(SUBSTITUTE(TRIM($I86)," ",""),",",""))))</x:f>
      </x:c>
      <x:c r="AB86" s="137" t="str">
        <x:f>IF($A86="","",COUNTIF(TasksTable[Task ID],T86)+COUNTIF(TasksTable[Task ID],U86)+COUNTIF(TasksTable[Task ID],V86)+COUNTIF(TasksTable[Task ID],W86)+COUNTIF(TasksTable[Task ID],X86)+COUNTIF(TasksTable[Task ID],Y86)+COUNTIF(TasksTable[Task ID],Z86))</x:f>
      </x:c>
      <x:c r="AC86" s="137" t="b">
        <x:f>IF($A86="",FALSE,OR(T86=$A86,U86=$A86,V86=$A86,W86=$A86,X86=$A86,Y86=$A86,Z86=$A86))</x:f>
        <x:v>0</x:v>
      </x:c>
      <x:c r="AD86" s="144" t="n">
        <x:f>IF(AA86=0,0,MAX(IFERROR(INDEX(TasksTable[Start Date],MATCH(T86,TasksTable[Task ID],0)),0),IFERROR(INDEX(TasksTable[Start Date],MATCH(U86,TasksTable[Task ID],0)),0),IFERROR(INDEX(TasksTable[Start Date],MATCH(V86,TasksTable[Task ID],0)),0),IFERROR(INDEX(TasksTable[Start Date],MATCH(W86,TasksTable[Task ID],0)),0),IFERROR(INDEX(TasksTable[Start Date],MATCH(X86,TasksTable[Task ID],0)),0),IFERROR(INDEX(TasksTable[Start Date],MATCH(Y86,TasksTable[Task ID],0)),0),IFERROR(INDEX(TasksTable[Start Date],MATCH(Z86,TasksTable[Task ID],0)),0)))</x:f>
        <x:v>0</x:v>
      </x:c>
      <x:c r="AE86" s="144" t="n">
        <x:f>IF(AA86=0,0,MAX(IFERROR(INDEX(TasksTable[End Date],MATCH(T86,TasksTable[Task ID],0)),0),IFERROR(INDEX(TasksTable[End Date],MATCH(U86,TasksTable[Task ID],0)),0),IFERROR(INDEX(TasksTable[End Date],MATCH(V86,TasksTable[Task ID],0)),0),IFERROR(INDEX(TasksTable[End Date],MATCH(W86,TasksTable[Task ID],0)),0),IFERROR(INDEX(TasksTable[End Date],MATCH(X86,TasksTable[Task ID],0)),0),IFERROR(INDEX(TasksTable[End Date],MATCH(Y86,TasksTable[Task ID],0)),0),IFERROR(INDEX(TasksTable[End Date],MATCH(Z86,TasksTable[Task ID],0)),0)))</x:f>
        <x:v>0</x:v>
      </x:c>
      <x:c r="AF86" s="137" t="b">
        <x:f>IF(OR($A86="",AA86=0),FALSE,SWITCH($J86,"FS",$F86&lt;AE86,"SS",$F86&lt;AD86,"FF",$G86&lt;AE86,"SF",$G86&lt;AD86,TRUE))</x:f>
        <x:v>0</x:v>
      </x:c>
      <x:c r="AG86" s="137" t="str">
        <x:f>IF(AND($A86&lt;&gt;"",$K86="No",$N86&lt;&gt;"Completed",$F86&gt;=TODAY()),$F86+ROW()/100000,"")</x:f>
      </x:c>
      <x:c r="AH86" s="137" t="str">
        <x:f>IF(AND($A86&lt;&gt;"",$K86="Yes",$N86&lt;&gt;"Completed",$F86&gt;=TODAY()),$F86+ROW()/100000,"")</x:f>
      </x:c>
      <x:c r="AI86" s="137" t="str">
        <x:f>IF(AND($A86&lt;&gt;"",$K86="No",$N86&lt;&gt;"Completed",$G86&gt;=TODAY(),$G86&lt;=TODAY()+3),$G86+ROW()/100000,"")</x:f>
      </x:c>
      <x:c r="AJ86" s="137" t="str">
        <x:f>IF(AND($A86&lt;&gt;"",$K86="No",OR($N86="Delayed",$P86="Dependency conflict")),$G86+ROW()/100000,"")</x:f>
      </x:c>
      <x:c r="AK86" s="137" t="str">
        <x:f>IF(AG86="","",COUNTIFS($AG$7:$AG$206,"&gt;0",$AG$7:$AG$206,"&lt;"&amp;AG86)+1)</x:f>
      </x:c>
      <x:c r="AL86" s="137" t="str">
        <x:f>IF(AH86="","",COUNTIFS($AH$7:$AH$206,"&gt;0",$AH$7:$AH$206,"&lt;"&amp;AH86)+1)</x:f>
      </x:c>
      <x:c r="AM86" s="137" t="str">
        <x:f>IF(AI86="","",COUNTIFS($AI$7:$AI$206,"&gt;0",$AI$7:$AI$206,"&lt;"&amp;AI86)+1)</x:f>
      </x:c>
      <x:c r="AN86" s="137" t="str">
        <x:f>IF(AJ86="","",COUNTIFS($AJ$7:$AJ$206,"&gt;0",$AJ$7:$AJ$206,"&lt;"&amp;AJ86)+1)</x:f>
      </x:c>
    </x:row>
    <x:row r="87">
      <x:c r="T87" s="137" t="str">
        <x:f>IF($A87="","",TRIM(MID(SUBSTITUTE(SUBSTITUTE(TRIM($I87)," ",""),",",REPT(" ",100)),1,100)))</x:f>
      </x:c>
      <x:c r="U87" s="137" t="str">
        <x:f>IF($A87="","",TRIM(MID(SUBSTITUTE(SUBSTITUTE(TRIM($I87)," ",""),",",REPT(" ",100)),101,100)))</x:f>
      </x:c>
      <x:c r="V87" s="137" t="str">
        <x:f>IF($A87="","",TRIM(MID(SUBSTITUTE(SUBSTITUTE(TRIM($I87)," ",""),",",REPT(" ",100)),201,100)))</x:f>
      </x:c>
      <x:c r="W87" s="137" t="str">
        <x:f>IF($A87="","",TRIM(MID(SUBSTITUTE(SUBSTITUTE(TRIM($I87)," ",""),",",REPT(" ",100)),301,100)))</x:f>
      </x:c>
      <x:c r="X87" s="137" t="str">
        <x:f>IF($A87="","",TRIM(MID(SUBSTITUTE(SUBSTITUTE(TRIM($I87)," ",""),",",REPT(" ",100)),401,100)))</x:f>
      </x:c>
      <x:c r="Y87" s="137" t="str">
        <x:f>IF($A87="","",TRIM(MID(SUBSTITUTE(SUBSTITUTE(TRIM($I87)," ",""),",",REPT(" ",100)),501,100)))</x:f>
      </x:c>
      <x:c r="Z87" s="137" t="str">
        <x:f>IF($A87="","",TRIM(MID(SUBSTITUTE(SUBSTITUTE(TRIM($I87)," ",""),",",REPT(" ",100)),601,100)))</x:f>
      </x:c>
      <x:c r="AA87" s="137" t="str">
        <x:f>IF($A87="","",IF(SUBSTITUTE(TRIM($I87)," ","")="",0,1+LEN(SUBSTITUTE(TRIM($I87)," ",""))-LEN(SUBSTITUTE(SUBSTITUTE(TRIM($I87)," ",""),",",""))))</x:f>
      </x:c>
      <x:c r="AB87" s="137" t="str">
        <x:f>IF($A87="","",COUNTIF(TasksTable[Task ID],T87)+COUNTIF(TasksTable[Task ID],U87)+COUNTIF(TasksTable[Task ID],V87)+COUNTIF(TasksTable[Task ID],W87)+COUNTIF(TasksTable[Task ID],X87)+COUNTIF(TasksTable[Task ID],Y87)+COUNTIF(TasksTable[Task ID],Z87))</x:f>
      </x:c>
      <x:c r="AC87" s="137" t="b">
        <x:f>IF($A87="",FALSE,OR(T87=$A87,U87=$A87,V87=$A87,W87=$A87,X87=$A87,Y87=$A87,Z87=$A87))</x:f>
        <x:v>0</x:v>
      </x:c>
      <x:c r="AD87" s="144" t="n">
        <x:f>IF(AA87=0,0,MAX(IFERROR(INDEX(TasksTable[Start Date],MATCH(T87,TasksTable[Task ID],0)),0),IFERROR(INDEX(TasksTable[Start Date],MATCH(U87,TasksTable[Task ID],0)),0),IFERROR(INDEX(TasksTable[Start Date],MATCH(V87,TasksTable[Task ID],0)),0),IFERROR(INDEX(TasksTable[Start Date],MATCH(W87,TasksTable[Task ID],0)),0),IFERROR(INDEX(TasksTable[Start Date],MATCH(X87,TasksTable[Task ID],0)),0),IFERROR(INDEX(TasksTable[Start Date],MATCH(Y87,TasksTable[Task ID],0)),0),IFERROR(INDEX(TasksTable[Start Date],MATCH(Z87,TasksTable[Task ID],0)),0)))</x:f>
        <x:v>0</x:v>
      </x:c>
      <x:c r="AE87" s="144" t="n">
        <x:f>IF(AA87=0,0,MAX(IFERROR(INDEX(TasksTable[End Date],MATCH(T87,TasksTable[Task ID],0)),0),IFERROR(INDEX(TasksTable[End Date],MATCH(U87,TasksTable[Task ID],0)),0),IFERROR(INDEX(TasksTable[End Date],MATCH(V87,TasksTable[Task ID],0)),0),IFERROR(INDEX(TasksTable[End Date],MATCH(W87,TasksTable[Task ID],0)),0),IFERROR(INDEX(TasksTable[End Date],MATCH(X87,TasksTable[Task ID],0)),0),IFERROR(INDEX(TasksTable[End Date],MATCH(Y87,TasksTable[Task ID],0)),0),IFERROR(INDEX(TasksTable[End Date],MATCH(Z87,TasksTable[Task ID],0)),0)))</x:f>
        <x:v>0</x:v>
      </x:c>
      <x:c r="AF87" s="137" t="b">
        <x:f>IF(OR($A87="",AA87=0),FALSE,SWITCH($J87,"FS",$F87&lt;AE87,"SS",$F87&lt;AD87,"FF",$G87&lt;AE87,"SF",$G87&lt;AD87,TRUE))</x:f>
        <x:v>0</x:v>
      </x:c>
      <x:c r="AG87" s="137" t="str">
        <x:f>IF(AND($A87&lt;&gt;"",$K87="No",$N87&lt;&gt;"Completed",$F87&gt;=TODAY()),$F87+ROW()/100000,"")</x:f>
      </x:c>
      <x:c r="AH87" s="137" t="str">
        <x:f>IF(AND($A87&lt;&gt;"",$K87="Yes",$N87&lt;&gt;"Completed",$F87&gt;=TODAY()),$F87+ROW()/100000,"")</x:f>
      </x:c>
      <x:c r="AI87" s="137" t="str">
        <x:f>IF(AND($A87&lt;&gt;"",$K87="No",$N87&lt;&gt;"Completed",$G87&gt;=TODAY(),$G87&lt;=TODAY()+3),$G87+ROW()/100000,"")</x:f>
      </x:c>
      <x:c r="AJ87" s="137" t="str">
        <x:f>IF(AND($A87&lt;&gt;"",$K87="No",OR($N87="Delayed",$P87="Dependency conflict")),$G87+ROW()/100000,"")</x:f>
      </x:c>
      <x:c r="AK87" s="137" t="str">
        <x:f>IF(AG87="","",COUNTIFS($AG$7:$AG$206,"&gt;0",$AG$7:$AG$206,"&lt;"&amp;AG87)+1)</x:f>
      </x:c>
      <x:c r="AL87" s="137" t="str">
        <x:f>IF(AH87="","",COUNTIFS($AH$7:$AH$206,"&gt;0",$AH$7:$AH$206,"&lt;"&amp;AH87)+1)</x:f>
      </x:c>
      <x:c r="AM87" s="137" t="str">
        <x:f>IF(AI87="","",COUNTIFS($AI$7:$AI$206,"&gt;0",$AI$7:$AI$206,"&lt;"&amp;AI87)+1)</x:f>
      </x:c>
      <x:c r="AN87" s="137" t="str">
        <x:f>IF(AJ87="","",COUNTIFS($AJ$7:$AJ$206,"&gt;0",$AJ$7:$AJ$206,"&lt;"&amp;AJ87)+1)</x:f>
      </x:c>
    </x:row>
    <x:row r="88">
      <x:c r="T88" s="137" t="str">
        <x:f>IF($A88="","",TRIM(MID(SUBSTITUTE(SUBSTITUTE(TRIM($I88)," ",""),",",REPT(" ",100)),1,100)))</x:f>
      </x:c>
      <x:c r="U88" s="137" t="str">
        <x:f>IF($A88="","",TRIM(MID(SUBSTITUTE(SUBSTITUTE(TRIM($I88)," ",""),",",REPT(" ",100)),101,100)))</x:f>
      </x:c>
      <x:c r="V88" s="137" t="str">
        <x:f>IF($A88="","",TRIM(MID(SUBSTITUTE(SUBSTITUTE(TRIM($I88)," ",""),",",REPT(" ",100)),201,100)))</x:f>
      </x:c>
      <x:c r="W88" s="137" t="str">
        <x:f>IF($A88="","",TRIM(MID(SUBSTITUTE(SUBSTITUTE(TRIM($I88)," ",""),",",REPT(" ",100)),301,100)))</x:f>
      </x:c>
      <x:c r="X88" s="137" t="str">
        <x:f>IF($A88="","",TRIM(MID(SUBSTITUTE(SUBSTITUTE(TRIM($I88)," ",""),",",REPT(" ",100)),401,100)))</x:f>
      </x:c>
      <x:c r="Y88" s="137" t="str">
        <x:f>IF($A88="","",TRIM(MID(SUBSTITUTE(SUBSTITUTE(TRIM($I88)," ",""),",",REPT(" ",100)),501,100)))</x:f>
      </x:c>
      <x:c r="Z88" s="137" t="str">
        <x:f>IF($A88="","",TRIM(MID(SUBSTITUTE(SUBSTITUTE(TRIM($I88)," ",""),",",REPT(" ",100)),601,100)))</x:f>
      </x:c>
      <x:c r="AA88" s="137" t="str">
        <x:f>IF($A88="","",IF(SUBSTITUTE(TRIM($I88)," ","")="",0,1+LEN(SUBSTITUTE(TRIM($I88)," ",""))-LEN(SUBSTITUTE(SUBSTITUTE(TRIM($I88)," ",""),",",""))))</x:f>
      </x:c>
      <x:c r="AB88" s="137" t="str">
        <x:f>IF($A88="","",COUNTIF(TasksTable[Task ID],T88)+COUNTIF(TasksTable[Task ID],U88)+COUNTIF(TasksTable[Task ID],V88)+COUNTIF(TasksTable[Task ID],W88)+COUNTIF(TasksTable[Task ID],X88)+COUNTIF(TasksTable[Task ID],Y88)+COUNTIF(TasksTable[Task ID],Z88))</x:f>
      </x:c>
      <x:c r="AC88" s="137" t="b">
        <x:f>IF($A88="",FALSE,OR(T88=$A88,U88=$A88,V88=$A88,W88=$A88,X88=$A88,Y88=$A88,Z88=$A88))</x:f>
        <x:v>0</x:v>
      </x:c>
      <x:c r="AD88" s="144" t="n">
        <x:f>IF(AA88=0,0,MAX(IFERROR(INDEX(TasksTable[Start Date],MATCH(T88,TasksTable[Task ID],0)),0),IFERROR(INDEX(TasksTable[Start Date],MATCH(U88,TasksTable[Task ID],0)),0),IFERROR(INDEX(TasksTable[Start Date],MATCH(V88,TasksTable[Task ID],0)),0),IFERROR(INDEX(TasksTable[Start Date],MATCH(W88,TasksTable[Task ID],0)),0),IFERROR(INDEX(TasksTable[Start Date],MATCH(X88,TasksTable[Task ID],0)),0),IFERROR(INDEX(TasksTable[Start Date],MATCH(Y88,TasksTable[Task ID],0)),0),IFERROR(INDEX(TasksTable[Start Date],MATCH(Z88,TasksTable[Task ID],0)),0)))</x:f>
        <x:v>0</x:v>
      </x:c>
      <x:c r="AE88" s="144" t="n">
        <x:f>IF(AA88=0,0,MAX(IFERROR(INDEX(TasksTable[End Date],MATCH(T88,TasksTable[Task ID],0)),0),IFERROR(INDEX(TasksTable[End Date],MATCH(U88,TasksTable[Task ID],0)),0),IFERROR(INDEX(TasksTable[End Date],MATCH(V88,TasksTable[Task ID],0)),0),IFERROR(INDEX(TasksTable[End Date],MATCH(W88,TasksTable[Task ID],0)),0),IFERROR(INDEX(TasksTable[End Date],MATCH(X88,TasksTable[Task ID],0)),0),IFERROR(INDEX(TasksTable[End Date],MATCH(Y88,TasksTable[Task ID],0)),0),IFERROR(INDEX(TasksTable[End Date],MATCH(Z88,TasksTable[Task ID],0)),0)))</x:f>
        <x:v>0</x:v>
      </x:c>
      <x:c r="AF88" s="137" t="b">
        <x:f>IF(OR($A88="",AA88=0),FALSE,SWITCH($J88,"FS",$F88&lt;AE88,"SS",$F88&lt;AD88,"FF",$G88&lt;AE88,"SF",$G88&lt;AD88,TRUE))</x:f>
        <x:v>0</x:v>
      </x:c>
      <x:c r="AG88" s="137" t="str">
        <x:f>IF(AND($A88&lt;&gt;"",$K88="No",$N88&lt;&gt;"Completed",$F88&gt;=TODAY()),$F88+ROW()/100000,"")</x:f>
      </x:c>
      <x:c r="AH88" s="137" t="str">
        <x:f>IF(AND($A88&lt;&gt;"",$K88="Yes",$N88&lt;&gt;"Completed",$F88&gt;=TODAY()),$F88+ROW()/100000,"")</x:f>
      </x:c>
      <x:c r="AI88" s="137" t="str">
        <x:f>IF(AND($A88&lt;&gt;"",$K88="No",$N88&lt;&gt;"Completed",$G88&gt;=TODAY(),$G88&lt;=TODAY()+3),$G88+ROW()/100000,"")</x:f>
      </x:c>
      <x:c r="AJ88" s="137" t="str">
        <x:f>IF(AND($A88&lt;&gt;"",$K88="No",OR($N88="Delayed",$P88="Dependency conflict")),$G88+ROW()/100000,"")</x:f>
      </x:c>
      <x:c r="AK88" s="137" t="str">
        <x:f>IF(AG88="","",COUNTIFS($AG$7:$AG$206,"&gt;0",$AG$7:$AG$206,"&lt;"&amp;AG88)+1)</x:f>
      </x:c>
      <x:c r="AL88" s="137" t="str">
        <x:f>IF(AH88="","",COUNTIFS($AH$7:$AH$206,"&gt;0",$AH$7:$AH$206,"&lt;"&amp;AH88)+1)</x:f>
      </x:c>
      <x:c r="AM88" s="137" t="str">
        <x:f>IF(AI88="","",COUNTIFS($AI$7:$AI$206,"&gt;0",$AI$7:$AI$206,"&lt;"&amp;AI88)+1)</x:f>
      </x:c>
      <x:c r="AN88" s="137" t="str">
        <x:f>IF(AJ88="","",COUNTIFS($AJ$7:$AJ$206,"&gt;0",$AJ$7:$AJ$206,"&lt;"&amp;AJ88)+1)</x:f>
      </x:c>
    </x:row>
    <x:row r="89">
      <x:c r="T89" s="137" t="str">
        <x:f>IF($A89="","",TRIM(MID(SUBSTITUTE(SUBSTITUTE(TRIM($I89)," ",""),",",REPT(" ",100)),1,100)))</x:f>
      </x:c>
      <x:c r="U89" s="137" t="str">
        <x:f>IF($A89="","",TRIM(MID(SUBSTITUTE(SUBSTITUTE(TRIM($I89)," ",""),",",REPT(" ",100)),101,100)))</x:f>
      </x:c>
      <x:c r="V89" s="137" t="str">
        <x:f>IF($A89="","",TRIM(MID(SUBSTITUTE(SUBSTITUTE(TRIM($I89)," ",""),",",REPT(" ",100)),201,100)))</x:f>
      </x:c>
      <x:c r="W89" s="137" t="str">
        <x:f>IF($A89="","",TRIM(MID(SUBSTITUTE(SUBSTITUTE(TRIM($I89)," ",""),",",REPT(" ",100)),301,100)))</x:f>
      </x:c>
      <x:c r="X89" s="137" t="str">
        <x:f>IF($A89="","",TRIM(MID(SUBSTITUTE(SUBSTITUTE(TRIM($I89)," ",""),",",REPT(" ",100)),401,100)))</x:f>
      </x:c>
      <x:c r="Y89" s="137" t="str">
        <x:f>IF($A89="","",TRIM(MID(SUBSTITUTE(SUBSTITUTE(TRIM($I89)," ",""),",",REPT(" ",100)),501,100)))</x:f>
      </x:c>
      <x:c r="Z89" s="137" t="str">
        <x:f>IF($A89="","",TRIM(MID(SUBSTITUTE(SUBSTITUTE(TRIM($I89)," ",""),",",REPT(" ",100)),601,100)))</x:f>
      </x:c>
      <x:c r="AA89" s="137" t="str">
        <x:f>IF($A89="","",IF(SUBSTITUTE(TRIM($I89)," ","")="",0,1+LEN(SUBSTITUTE(TRIM($I89)," ",""))-LEN(SUBSTITUTE(SUBSTITUTE(TRIM($I89)," ",""),",",""))))</x:f>
      </x:c>
      <x:c r="AB89" s="137" t="str">
        <x:f>IF($A89="","",COUNTIF(TasksTable[Task ID],T89)+COUNTIF(TasksTable[Task ID],U89)+COUNTIF(TasksTable[Task ID],V89)+COUNTIF(TasksTable[Task ID],W89)+COUNTIF(TasksTable[Task ID],X89)+COUNTIF(TasksTable[Task ID],Y89)+COUNTIF(TasksTable[Task ID],Z89))</x:f>
      </x:c>
      <x:c r="AC89" s="137" t="b">
        <x:f>IF($A89="",FALSE,OR(T89=$A89,U89=$A89,V89=$A89,W89=$A89,X89=$A89,Y89=$A89,Z89=$A89))</x:f>
        <x:v>0</x:v>
      </x:c>
      <x:c r="AD89" s="144" t="n">
        <x:f>IF(AA89=0,0,MAX(IFERROR(INDEX(TasksTable[Start Date],MATCH(T89,TasksTable[Task ID],0)),0),IFERROR(INDEX(TasksTable[Start Date],MATCH(U89,TasksTable[Task ID],0)),0),IFERROR(INDEX(TasksTable[Start Date],MATCH(V89,TasksTable[Task ID],0)),0),IFERROR(INDEX(TasksTable[Start Date],MATCH(W89,TasksTable[Task ID],0)),0),IFERROR(INDEX(TasksTable[Start Date],MATCH(X89,TasksTable[Task ID],0)),0),IFERROR(INDEX(TasksTable[Start Date],MATCH(Y89,TasksTable[Task ID],0)),0),IFERROR(INDEX(TasksTable[Start Date],MATCH(Z89,TasksTable[Task ID],0)),0)))</x:f>
        <x:v>0</x:v>
      </x:c>
      <x:c r="AE89" s="144" t="n">
        <x:f>IF(AA89=0,0,MAX(IFERROR(INDEX(TasksTable[End Date],MATCH(T89,TasksTable[Task ID],0)),0),IFERROR(INDEX(TasksTable[End Date],MATCH(U89,TasksTable[Task ID],0)),0),IFERROR(INDEX(TasksTable[End Date],MATCH(V89,TasksTable[Task ID],0)),0),IFERROR(INDEX(TasksTable[End Date],MATCH(W89,TasksTable[Task ID],0)),0),IFERROR(INDEX(TasksTable[End Date],MATCH(X89,TasksTable[Task ID],0)),0),IFERROR(INDEX(TasksTable[End Date],MATCH(Y89,TasksTable[Task ID],0)),0),IFERROR(INDEX(TasksTable[End Date],MATCH(Z89,TasksTable[Task ID],0)),0)))</x:f>
        <x:v>0</x:v>
      </x:c>
      <x:c r="AF89" s="137" t="b">
        <x:f>IF(OR($A89="",AA89=0),FALSE,SWITCH($J89,"FS",$F89&lt;AE89,"SS",$F89&lt;AD89,"FF",$G89&lt;AE89,"SF",$G89&lt;AD89,TRUE))</x:f>
        <x:v>0</x:v>
      </x:c>
      <x:c r="AG89" s="137" t="str">
        <x:f>IF(AND($A89&lt;&gt;"",$K89="No",$N89&lt;&gt;"Completed",$F89&gt;=TODAY()),$F89+ROW()/100000,"")</x:f>
      </x:c>
      <x:c r="AH89" s="137" t="str">
        <x:f>IF(AND($A89&lt;&gt;"",$K89="Yes",$N89&lt;&gt;"Completed",$F89&gt;=TODAY()),$F89+ROW()/100000,"")</x:f>
      </x:c>
      <x:c r="AI89" s="137" t="str">
        <x:f>IF(AND($A89&lt;&gt;"",$K89="No",$N89&lt;&gt;"Completed",$G89&gt;=TODAY(),$G89&lt;=TODAY()+3),$G89+ROW()/100000,"")</x:f>
      </x:c>
      <x:c r="AJ89" s="137" t="str">
        <x:f>IF(AND($A89&lt;&gt;"",$K89="No",OR($N89="Delayed",$P89="Dependency conflict")),$G89+ROW()/100000,"")</x:f>
      </x:c>
      <x:c r="AK89" s="137" t="str">
        <x:f>IF(AG89="","",COUNTIFS($AG$7:$AG$206,"&gt;0",$AG$7:$AG$206,"&lt;"&amp;AG89)+1)</x:f>
      </x:c>
      <x:c r="AL89" s="137" t="str">
        <x:f>IF(AH89="","",COUNTIFS($AH$7:$AH$206,"&gt;0",$AH$7:$AH$206,"&lt;"&amp;AH89)+1)</x:f>
      </x:c>
      <x:c r="AM89" s="137" t="str">
        <x:f>IF(AI89="","",COUNTIFS($AI$7:$AI$206,"&gt;0",$AI$7:$AI$206,"&lt;"&amp;AI89)+1)</x:f>
      </x:c>
      <x:c r="AN89" s="137" t="str">
        <x:f>IF(AJ89="","",COUNTIFS($AJ$7:$AJ$206,"&gt;0",$AJ$7:$AJ$206,"&lt;"&amp;AJ89)+1)</x:f>
      </x:c>
    </x:row>
    <x:row r="90">
      <x:c r="T90" s="137" t="str">
        <x:f>IF($A90="","",TRIM(MID(SUBSTITUTE(SUBSTITUTE(TRIM($I90)," ",""),",",REPT(" ",100)),1,100)))</x:f>
      </x:c>
      <x:c r="U90" s="137" t="str">
        <x:f>IF($A90="","",TRIM(MID(SUBSTITUTE(SUBSTITUTE(TRIM($I90)," ",""),",",REPT(" ",100)),101,100)))</x:f>
      </x:c>
      <x:c r="V90" s="137" t="str">
        <x:f>IF($A90="","",TRIM(MID(SUBSTITUTE(SUBSTITUTE(TRIM($I90)," ",""),",",REPT(" ",100)),201,100)))</x:f>
      </x:c>
      <x:c r="W90" s="137" t="str">
        <x:f>IF($A90="","",TRIM(MID(SUBSTITUTE(SUBSTITUTE(TRIM($I90)," ",""),",",REPT(" ",100)),301,100)))</x:f>
      </x:c>
      <x:c r="X90" s="137" t="str">
        <x:f>IF($A90="","",TRIM(MID(SUBSTITUTE(SUBSTITUTE(TRIM($I90)," ",""),",",REPT(" ",100)),401,100)))</x:f>
      </x:c>
      <x:c r="Y90" s="137" t="str">
        <x:f>IF($A90="","",TRIM(MID(SUBSTITUTE(SUBSTITUTE(TRIM($I90)," ",""),",",REPT(" ",100)),501,100)))</x:f>
      </x:c>
      <x:c r="Z90" s="137" t="str">
        <x:f>IF($A90="","",TRIM(MID(SUBSTITUTE(SUBSTITUTE(TRIM($I90)," ",""),",",REPT(" ",100)),601,100)))</x:f>
      </x:c>
      <x:c r="AA90" s="137" t="str">
        <x:f>IF($A90="","",IF(SUBSTITUTE(TRIM($I90)," ","")="",0,1+LEN(SUBSTITUTE(TRIM($I90)," ",""))-LEN(SUBSTITUTE(SUBSTITUTE(TRIM($I90)," ",""),",",""))))</x:f>
      </x:c>
      <x:c r="AB90" s="137" t="str">
        <x:f>IF($A90="","",COUNTIF(TasksTable[Task ID],T90)+COUNTIF(TasksTable[Task ID],U90)+COUNTIF(TasksTable[Task ID],V90)+COUNTIF(TasksTable[Task ID],W90)+COUNTIF(TasksTable[Task ID],X90)+COUNTIF(TasksTable[Task ID],Y90)+COUNTIF(TasksTable[Task ID],Z90))</x:f>
      </x:c>
      <x:c r="AC90" s="137" t="b">
        <x:f>IF($A90="",FALSE,OR(T90=$A90,U90=$A90,V90=$A90,W90=$A90,X90=$A90,Y90=$A90,Z90=$A90))</x:f>
        <x:v>0</x:v>
      </x:c>
      <x:c r="AD90" s="144" t="n">
        <x:f>IF(AA90=0,0,MAX(IFERROR(INDEX(TasksTable[Start Date],MATCH(T90,TasksTable[Task ID],0)),0),IFERROR(INDEX(TasksTable[Start Date],MATCH(U90,TasksTable[Task ID],0)),0),IFERROR(INDEX(TasksTable[Start Date],MATCH(V90,TasksTable[Task ID],0)),0),IFERROR(INDEX(TasksTable[Start Date],MATCH(W90,TasksTable[Task ID],0)),0),IFERROR(INDEX(TasksTable[Start Date],MATCH(X90,TasksTable[Task ID],0)),0),IFERROR(INDEX(TasksTable[Start Date],MATCH(Y90,TasksTable[Task ID],0)),0),IFERROR(INDEX(TasksTable[Start Date],MATCH(Z90,TasksTable[Task ID],0)),0)))</x:f>
        <x:v>0</x:v>
      </x:c>
      <x:c r="AE90" s="144" t="n">
        <x:f>IF(AA90=0,0,MAX(IFERROR(INDEX(TasksTable[End Date],MATCH(T90,TasksTable[Task ID],0)),0),IFERROR(INDEX(TasksTable[End Date],MATCH(U90,TasksTable[Task ID],0)),0),IFERROR(INDEX(TasksTable[End Date],MATCH(V90,TasksTable[Task ID],0)),0),IFERROR(INDEX(TasksTable[End Date],MATCH(W90,TasksTable[Task ID],0)),0),IFERROR(INDEX(TasksTable[End Date],MATCH(X90,TasksTable[Task ID],0)),0),IFERROR(INDEX(TasksTable[End Date],MATCH(Y90,TasksTable[Task ID],0)),0),IFERROR(INDEX(TasksTable[End Date],MATCH(Z90,TasksTable[Task ID],0)),0)))</x:f>
        <x:v>0</x:v>
      </x:c>
      <x:c r="AF90" s="137" t="b">
        <x:f>IF(OR($A90="",AA90=0),FALSE,SWITCH($J90,"FS",$F90&lt;AE90,"SS",$F90&lt;AD90,"FF",$G90&lt;AE90,"SF",$G90&lt;AD90,TRUE))</x:f>
        <x:v>0</x:v>
      </x:c>
      <x:c r="AG90" s="137" t="str">
        <x:f>IF(AND($A90&lt;&gt;"",$K90="No",$N90&lt;&gt;"Completed",$F90&gt;=TODAY()),$F90+ROW()/100000,"")</x:f>
      </x:c>
      <x:c r="AH90" s="137" t="str">
        <x:f>IF(AND($A90&lt;&gt;"",$K90="Yes",$N90&lt;&gt;"Completed",$F90&gt;=TODAY()),$F90+ROW()/100000,"")</x:f>
      </x:c>
      <x:c r="AI90" s="137" t="str">
        <x:f>IF(AND($A90&lt;&gt;"",$K90="No",$N90&lt;&gt;"Completed",$G90&gt;=TODAY(),$G90&lt;=TODAY()+3),$G90+ROW()/100000,"")</x:f>
      </x:c>
      <x:c r="AJ90" s="137" t="str">
        <x:f>IF(AND($A90&lt;&gt;"",$K90="No",OR($N90="Delayed",$P90="Dependency conflict")),$G90+ROW()/100000,"")</x:f>
      </x:c>
      <x:c r="AK90" s="137" t="str">
        <x:f>IF(AG90="","",COUNTIFS($AG$7:$AG$206,"&gt;0",$AG$7:$AG$206,"&lt;"&amp;AG90)+1)</x:f>
      </x:c>
      <x:c r="AL90" s="137" t="str">
        <x:f>IF(AH90="","",COUNTIFS($AH$7:$AH$206,"&gt;0",$AH$7:$AH$206,"&lt;"&amp;AH90)+1)</x:f>
      </x:c>
      <x:c r="AM90" s="137" t="str">
        <x:f>IF(AI90="","",COUNTIFS($AI$7:$AI$206,"&gt;0",$AI$7:$AI$206,"&lt;"&amp;AI90)+1)</x:f>
      </x:c>
      <x:c r="AN90" s="137" t="str">
        <x:f>IF(AJ90="","",COUNTIFS($AJ$7:$AJ$206,"&gt;0",$AJ$7:$AJ$206,"&lt;"&amp;AJ90)+1)</x:f>
      </x:c>
    </x:row>
    <x:row r="91">
      <x:c r="T91" s="137" t="str">
        <x:f>IF($A91="","",TRIM(MID(SUBSTITUTE(SUBSTITUTE(TRIM($I91)," ",""),",",REPT(" ",100)),1,100)))</x:f>
      </x:c>
      <x:c r="U91" s="137" t="str">
        <x:f>IF($A91="","",TRIM(MID(SUBSTITUTE(SUBSTITUTE(TRIM($I91)," ",""),",",REPT(" ",100)),101,100)))</x:f>
      </x:c>
      <x:c r="V91" s="137" t="str">
        <x:f>IF($A91="","",TRIM(MID(SUBSTITUTE(SUBSTITUTE(TRIM($I91)," ",""),",",REPT(" ",100)),201,100)))</x:f>
      </x:c>
      <x:c r="W91" s="137" t="str">
        <x:f>IF($A91="","",TRIM(MID(SUBSTITUTE(SUBSTITUTE(TRIM($I91)," ",""),",",REPT(" ",100)),301,100)))</x:f>
      </x:c>
      <x:c r="X91" s="137" t="str">
        <x:f>IF($A91="","",TRIM(MID(SUBSTITUTE(SUBSTITUTE(TRIM($I91)," ",""),",",REPT(" ",100)),401,100)))</x:f>
      </x:c>
      <x:c r="Y91" s="137" t="str">
        <x:f>IF($A91="","",TRIM(MID(SUBSTITUTE(SUBSTITUTE(TRIM($I91)," ",""),",",REPT(" ",100)),501,100)))</x:f>
      </x:c>
      <x:c r="Z91" s="137" t="str">
        <x:f>IF($A91="","",TRIM(MID(SUBSTITUTE(SUBSTITUTE(TRIM($I91)," ",""),",",REPT(" ",100)),601,100)))</x:f>
      </x:c>
      <x:c r="AA91" s="137" t="str">
        <x:f>IF($A91="","",IF(SUBSTITUTE(TRIM($I91)," ","")="",0,1+LEN(SUBSTITUTE(TRIM($I91)," ",""))-LEN(SUBSTITUTE(SUBSTITUTE(TRIM($I91)," ",""),",",""))))</x:f>
      </x:c>
      <x:c r="AB91" s="137" t="str">
        <x:f>IF($A91="","",COUNTIF(TasksTable[Task ID],T91)+COUNTIF(TasksTable[Task ID],U91)+COUNTIF(TasksTable[Task ID],V91)+COUNTIF(TasksTable[Task ID],W91)+COUNTIF(TasksTable[Task ID],X91)+COUNTIF(TasksTable[Task ID],Y91)+COUNTIF(TasksTable[Task ID],Z91))</x:f>
      </x:c>
      <x:c r="AC91" s="137" t="b">
        <x:f>IF($A91="",FALSE,OR(T91=$A91,U91=$A91,V91=$A91,W91=$A91,X91=$A91,Y91=$A91,Z91=$A91))</x:f>
        <x:v>0</x:v>
      </x:c>
      <x:c r="AD91" s="144" t="n">
        <x:f>IF(AA91=0,0,MAX(IFERROR(INDEX(TasksTable[Start Date],MATCH(T91,TasksTable[Task ID],0)),0),IFERROR(INDEX(TasksTable[Start Date],MATCH(U91,TasksTable[Task ID],0)),0),IFERROR(INDEX(TasksTable[Start Date],MATCH(V91,TasksTable[Task ID],0)),0),IFERROR(INDEX(TasksTable[Start Date],MATCH(W91,TasksTable[Task ID],0)),0),IFERROR(INDEX(TasksTable[Start Date],MATCH(X91,TasksTable[Task ID],0)),0),IFERROR(INDEX(TasksTable[Start Date],MATCH(Y91,TasksTable[Task ID],0)),0),IFERROR(INDEX(TasksTable[Start Date],MATCH(Z91,TasksTable[Task ID],0)),0)))</x:f>
        <x:v>0</x:v>
      </x:c>
      <x:c r="AE91" s="144" t="n">
        <x:f>IF(AA91=0,0,MAX(IFERROR(INDEX(TasksTable[End Date],MATCH(T91,TasksTable[Task ID],0)),0),IFERROR(INDEX(TasksTable[End Date],MATCH(U91,TasksTable[Task ID],0)),0),IFERROR(INDEX(TasksTable[End Date],MATCH(V91,TasksTable[Task ID],0)),0),IFERROR(INDEX(TasksTable[End Date],MATCH(W91,TasksTable[Task ID],0)),0),IFERROR(INDEX(TasksTable[End Date],MATCH(X91,TasksTable[Task ID],0)),0),IFERROR(INDEX(TasksTable[End Date],MATCH(Y91,TasksTable[Task ID],0)),0),IFERROR(INDEX(TasksTable[End Date],MATCH(Z91,TasksTable[Task ID],0)),0)))</x:f>
        <x:v>0</x:v>
      </x:c>
      <x:c r="AF91" s="137" t="b">
        <x:f>IF(OR($A91="",AA91=0),FALSE,SWITCH($J91,"FS",$F91&lt;AE91,"SS",$F91&lt;AD91,"FF",$G91&lt;AE91,"SF",$G91&lt;AD91,TRUE))</x:f>
        <x:v>0</x:v>
      </x:c>
      <x:c r="AG91" s="137" t="str">
        <x:f>IF(AND($A91&lt;&gt;"",$K91="No",$N91&lt;&gt;"Completed",$F91&gt;=TODAY()),$F91+ROW()/100000,"")</x:f>
      </x:c>
      <x:c r="AH91" s="137" t="str">
        <x:f>IF(AND($A91&lt;&gt;"",$K91="Yes",$N91&lt;&gt;"Completed",$F91&gt;=TODAY()),$F91+ROW()/100000,"")</x:f>
      </x:c>
      <x:c r="AI91" s="137" t="str">
        <x:f>IF(AND($A91&lt;&gt;"",$K91="No",$N91&lt;&gt;"Completed",$G91&gt;=TODAY(),$G91&lt;=TODAY()+3),$G91+ROW()/100000,"")</x:f>
      </x:c>
      <x:c r="AJ91" s="137" t="str">
        <x:f>IF(AND($A91&lt;&gt;"",$K91="No",OR($N91="Delayed",$P91="Dependency conflict")),$G91+ROW()/100000,"")</x:f>
      </x:c>
      <x:c r="AK91" s="137" t="str">
        <x:f>IF(AG91="","",COUNTIFS($AG$7:$AG$206,"&gt;0",$AG$7:$AG$206,"&lt;"&amp;AG91)+1)</x:f>
      </x:c>
      <x:c r="AL91" s="137" t="str">
        <x:f>IF(AH91="","",COUNTIFS($AH$7:$AH$206,"&gt;0",$AH$7:$AH$206,"&lt;"&amp;AH91)+1)</x:f>
      </x:c>
      <x:c r="AM91" s="137" t="str">
        <x:f>IF(AI91="","",COUNTIFS($AI$7:$AI$206,"&gt;0",$AI$7:$AI$206,"&lt;"&amp;AI91)+1)</x:f>
      </x:c>
      <x:c r="AN91" s="137" t="str">
        <x:f>IF(AJ91="","",COUNTIFS($AJ$7:$AJ$206,"&gt;0",$AJ$7:$AJ$206,"&lt;"&amp;AJ91)+1)</x:f>
      </x:c>
    </x:row>
    <x:row r="92">
      <x:c r="T92" s="137" t="str">
        <x:f>IF($A92="","",TRIM(MID(SUBSTITUTE(SUBSTITUTE(TRIM($I92)," ",""),",",REPT(" ",100)),1,100)))</x:f>
      </x:c>
      <x:c r="U92" s="137" t="str">
        <x:f>IF($A92="","",TRIM(MID(SUBSTITUTE(SUBSTITUTE(TRIM($I92)," ",""),",",REPT(" ",100)),101,100)))</x:f>
      </x:c>
      <x:c r="V92" s="137" t="str">
        <x:f>IF($A92="","",TRIM(MID(SUBSTITUTE(SUBSTITUTE(TRIM($I92)," ",""),",",REPT(" ",100)),201,100)))</x:f>
      </x:c>
      <x:c r="W92" s="137" t="str">
        <x:f>IF($A92="","",TRIM(MID(SUBSTITUTE(SUBSTITUTE(TRIM($I92)," ",""),",",REPT(" ",100)),301,100)))</x:f>
      </x:c>
      <x:c r="X92" s="137" t="str">
        <x:f>IF($A92="","",TRIM(MID(SUBSTITUTE(SUBSTITUTE(TRIM($I92)," ",""),",",REPT(" ",100)),401,100)))</x:f>
      </x:c>
      <x:c r="Y92" s="137" t="str">
        <x:f>IF($A92="","",TRIM(MID(SUBSTITUTE(SUBSTITUTE(TRIM($I92)," ",""),",",REPT(" ",100)),501,100)))</x:f>
      </x:c>
      <x:c r="Z92" s="137" t="str">
        <x:f>IF($A92="","",TRIM(MID(SUBSTITUTE(SUBSTITUTE(TRIM($I92)," ",""),",",REPT(" ",100)),601,100)))</x:f>
      </x:c>
      <x:c r="AA92" s="137" t="str">
        <x:f>IF($A92="","",IF(SUBSTITUTE(TRIM($I92)," ","")="",0,1+LEN(SUBSTITUTE(TRIM($I92)," ",""))-LEN(SUBSTITUTE(SUBSTITUTE(TRIM($I92)," ",""),",",""))))</x:f>
      </x:c>
      <x:c r="AB92" s="137" t="str">
        <x:f>IF($A92="","",COUNTIF(TasksTable[Task ID],T92)+COUNTIF(TasksTable[Task ID],U92)+COUNTIF(TasksTable[Task ID],V92)+COUNTIF(TasksTable[Task ID],W92)+COUNTIF(TasksTable[Task ID],X92)+COUNTIF(TasksTable[Task ID],Y92)+COUNTIF(TasksTable[Task ID],Z92))</x:f>
      </x:c>
      <x:c r="AC92" s="137" t="b">
        <x:f>IF($A92="",FALSE,OR(T92=$A92,U92=$A92,V92=$A92,W92=$A92,X92=$A92,Y92=$A92,Z92=$A92))</x:f>
        <x:v>0</x:v>
      </x:c>
      <x:c r="AD92" s="144" t="n">
        <x:f>IF(AA92=0,0,MAX(IFERROR(INDEX(TasksTable[Start Date],MATCH(T92,TasksTable[Task ID],0)),0),IFERROR(INDEX(TasksTable[Start Date],MATCH(U92,TasksTable[Task ID],0)),0),IFERROR(INDEX(TasksTable[Start Date],MATCH(V92,TasksTable[Task ID],0)),0),IFERROR(INDEX(TasksTable[Start Date],MATCH(W92,TasksTable[Task ID],0)),0),IFERROR(INDEX(TasksTable[Start Date],MATCH(X92,TasksTable[Task ID],0)),0),IFERROR(INDEX(TasksTable[Start Date],MATCH(Y92,TasksTable[Task ID],0)),0),IFERROR(INDEX(TasksTable[Start Date],MATCH(Z92,TasksTable[Task ID],0)),0)))</x:f>
        <x:v>0</x:v>
      </x:c>
      <x:c r="AE92" s="144" t="n">
        <x:f>IF(AA92=0,0,MAX(IFERROR(INDEX(TasksTable[End Date],MATCH(T92,TasksTable[Task ID],0)),0),IFERROR(INDEX(TasksTable[End Date],MATCH(U92,TasksTable[Task ID],0)),0),IFERROR(INDEX(TasksTable[End Date],MATCH(V92,TasksTable[Task ID],0)),0),IFERROR(INDEX(TasksTable[End Date],MATCH(W92,TasksTable[Task ID],0)),0),IFERROR(INDEX(TasksTable[End Date],MATCH(X92,TasksTable[Task ID],0)),0),IFERROR(INDEX(TasksTable[End Date],MATCH(Y92,TasksTable[Task ID],0)),0),IFERROR(INDEX(TasksTable[End Date],MATCH(Z92,TasksTable[Task ID],0)),0)))</x:f>
        <x:v>0</x:v>
      </x:c>
      <x:c r="AF92" s="137" t="b">
        <x:f>IF(OR($A92="",AA92=0),FALSE,SWITCH($J92,"FS",$F92&lt;AE92,"SS",$F92&lt;AD92,"FF",$G92&lt;AE92,"SF",$G92&lt;AD92,TRUE))</x:f>
        <x:v>0</x:v>
      </x:c>
      <x:c r="AG92" s="137" t="str">
        <x:f>IF(AND($A92&lt;&gt;"",$K92="No",$N92&lt;&gt;"Completed",$F92&gt;=TODAY()),$F92+ROW()/100000,"")</x:f>
      </x:c>
      <x:c r="AH92" s="137" t="str">
        <x:f>IF(AND($A92&lt;&gt;"",$K92="Yes",$N92&lt;&gt;"Completed",$F92&gt;=TODAY()),$F92+ROW()/100000,"")</x:f>
      </x:c>
      <x:c r="AI92" s="137" t="str">
        <x:f>IF(AND($A92&lt;&gt;"",$K92="No",$N92&lt;&gt;"Completed",$G92&gt;=TODAY(),$G92&lt;=TODAY()+3),$G92+ROW()/100000,"")</x:f>
      </x:c>
      <x:c r="AJ92" s="137" t="str">
        <x:f>IF(AND($A92&lt;&gt;"",$K92="No",OR($N92="Delayed",$P92="Dependency conflict")),$G92+ROW()/100000,"")</x:f>
      </x:c>
      <x:c r="AK92" s="137" t="str">
        <x:f>IF(AG92="","",COUNTIFS($AG$7:$AG$206,"&gt;0",$AG$7:$AG$206,"&lt;"&amp;AG92)+1)</x:f>
      </x:c>
      <x:c r="AL92" s="137" t="str">
        <x:f>IF(AH92="","",COUNTIFS($AH$7:$AH$206,"&gt;0",$AH$7:$AH$206,"&lt;"&amp;AH92)+1)</x:f>
      </x:c>
      <x:c r="AM92" s="137" t="str">
        <x:f>IF(AI92="","",COUNTIFS($AI$7:$AI$206,"&gt;0",$AI$7:$AI$206,"&lt;"&amp;AI92)+1)</x:f>
      </x:c>
      <x:c r="AN92" s="137" t="str">
        <x:f>IF(AJ92="","",COUNTIFS($AJ$7:$AJ$206,"&gt;0",$AJ$7:$AJ$206,"&lt;"&amp;AJ92)+1)</x:f>
      </x:c>
    </x:row>
    <x:row r="93">
      <x:c r="T93" s="137" t="str">
        <x:f>IF($A93="","",TRIM(MID(SUBSTITUTE(SUBSTITUTE(TRIM($I93)," ",""),",",REPT(" ",100)),1,100)))</x:f>
      </x:c>
      <x:c r="U93" s="137" t="str">
        <x:f>IF($A93="","",TRIM(MID(SUBSTITUTE(SUBSTITUTE(TRIM($I93)," ",""),",",REPT(" ",100)),101,100)))</x:f>
      </x:c>
      <x:c r="V93" s="137" t="str">
        <x:f>IF($A93="","",TRIM(MID(SUBSTITUTE(SUBSTITUTE(TRIM($I93)," ",""),",",REPT(" ",100)),201,100)))</x:f>
      </x:c>
      <x:c r="W93" s="137" t="str">
        <x:f>IF($A93="","",TRIM(MID(SUBSTITUTE(SUBSTITUTE(TRIM($I93)," ",""),",",REPT(" ",100)),301,100)))</x:f>
      </x:c>
      <x:c r="X93" s="137" t="str">
        <x:f>IF($A93="","",TRIM(MID(SUBSTITUTE(SUBSTITUTE(TRIM($I93)," ",""),",",REPT(" ",100)),401,100)))</x:f>
      </x:c>
      <x:c r="Y93" s="137" t="str">
        <x:f>IF($A93="","",TRIM(MID(SUBSTITUTE(SUBSTITUTE(TRIM($I93)," ",""),",",REPT(" ",100)),501,100)))</x:f>
      </x:c>
      <x:c r="Z93" s="137" t="str">
        <x:f>IF($A93="","",TRIM(MID(SUBSTITUTE(SUBSTITUTE(TRIM($I93)," ",""),",",REPT(" ",100)),601,100)))</x:f>
      </x:c>
      <x:c r="AA93" s="137" t="str">
        <x:f>IF($A93="","",IF(SUBSTITUTE(TRIM($I93)," ","")="",0,1+LEN(SUBSTITUTE(TRIM($I93)," ",""))-LEN(SUBSTITUTE(SUBSTITUTE(TRIM($I93)," ",""),",",""))))</x:f>
      </x:c>
      <x:c r="AB93" s="137" t="str">
        <x:f>IF($A93="","",COUNTIF(TasksTable[Task ID],T93)+COUNTIF(TasksTable[Task ID],U93)+COUNTIF(TasksTable[Task ID],V93)+COUNTIF(TasksTable[Task ID],W93)+COUNTIF(TasksTable[Task ID],X93)+COUNTIF(TasksTable[Task ID],Y93)+COUNTIF(TasksTable[Task ID],Z93))</x:f>
      </x:c>
      <x:c r="AC93" s="137" t="b">
        <x:f>IF($A93="",FALSE,OR(T93=$A93,U93=$A93,V93=$A93,W93=$A93,X93=$A93,Y93=$A93,Z93=$A93))</x:f>
        <x:v>0</x:v>
      </x:c>
      <x:c r="AD93" s="144" t="n">
        <x:f>IF(AA93=0,0,MAX(IFERROR(INDEX(TasksTable[Start Date],MATCH(T93,TasksTable[Task ID],0)),0),IFERROR(INDEX(TasksTable[Start Date],MATCH(U93,TasksTable[Task ID],0)),0),IFERROR(INDEX(TasksTable[Start Date],MATCH(V93,TasksTable[Task ID],0)),0),IFERROR(INDEX(TasksTable[Start Date],MATCH(W93,TasksTable[Task ID],0)),0),IFERROR(INDEX(TasksTable[Start Date],MATCH(X93,TasksTable[Task ID],0)),0),IFERROR(INDEX(TasksTable[Start Date],MATCH(Y93,TasksTable[Task ID],0)),0),IFERROR(INDEX(TasksTable[Start Date],MATCH(Z93,TasksTable[Task ID],0)),0)))</x:f>
        <x:v>0</x:v>
      </x:c>
      <x:c r="AE93" s="144" t="n">
        <x:f>IF(AA93=0,0,MAX(IFERROR(INDEX(TasksTable[End Date],MATCH(T93,TasksTable[Task ID],0)),0),IFERROR(INDEX(TasksTable[End Date],MATCH(U93,TasksTable[Task ID],0)),0),IFERROR(INDEX(TasksTable[End Date],MATCH(V93,TasksTable[Task ID],0)),0),IFERROR(INDEX(TasksTable[End Date],MATCH(W93,TasksTable[Task ID],0)),0),IFERROR(INDEX(TasksTable[End Date],MATCH(X93,TasksTable[Task ID],0)),0),IFERROR(INDEX(TasksTable[End Date],MATCH(Y93,TasksTable[Task ID],0)),0),IFERROR(INDEX(TasksTable[End Date],MATCH(Z93,TasksTable[Task ID],0)),0)))</x:f>
        <x:v>0</x:v>
      </x:c>
      <x:c r="AF93" s="137" t="b">
        <x:f>IF(OR($A93="",AA93=0),FALSE,SWITCH($J93,"FS",$F93&lt;AE93,"SS",$F93&lt;AD93,"FF",$G93&lt;AE93,"SF",$G93&lt;AD93,TRUE))</x:f>
        <x:v>0</x:v>
      </x:c>
      <x:c r="AG93" s="137" t="str">
        <x:f>IF(AND($A93&lt;&gt;"",$K93="No",$N93&lt;&gt;"Completed",$F93&gt;=TODAY()),$F93+ROW()/100000,"")</x:f>
      </x:c>
      <x:c r="AH93" s="137" t="str">
        <x:f>IF(AND($A93&lt;&gt;"",$K93="Yes",$N93&lt;&gt;"Completed",$F93&gt;=TODAY()),$F93+ROW()/100000,"")</x:f>
      </x:c>
      <x:c r="AI93" s="137" t="str">
        <x:f>IF(AND($A93&lt;&gt;"",$K93="No",$N93&lt;&gt;"Completed",$G93&gt;=TODAY(),$G93&lt;=TODAY()+3),$G93+ROW()/100000,"")</x:f>
      </x:c>
      <x:c r="AJ93" s="137" t="str">
        <x:f>IF(AND($A93&lt;&gt;"",$K93="No",OR($N93="Delayed",$P93="Dependency conflict")),$G93+ROW()/100000,"")</x:f>
      </x:c>
      <x:c r="AK93" s="137" t="str">
        <x:f>IF(AG93="","",COUNTIFS($AG$7:$AG$206,"&gt;0",$AG$7:$AG$206,"&lt;"&amp;AG93)+1)</x:f>
      </x:c>
      <x:c r="AL93" s="137" t="str">
        <x:f>IF(AH93="","",COUNTIFS($AH$7:$AH$206,"&gt;0",$AH$7:$AH$206,"&lt;"&amp;AH93)+1)</x:f>
      </x:c>
      <x:c r="AM93" s="137" t="str">
        <x:f>IF(AI93="","",COUNTIFS($AI$7:$AI$206,"&gt;0",$AI$7:$AI$206,"&lt;"&amp;AI93)+1)</x:f>
      </x:c>
      <x:c r="AN93" s="137" t="str">
        <x:f>IF(AJ93="","",COUNTIFS($AJ$7:$AJ$206,"&gt;0",$AJ$7:$AJ$206,"&lt;"&amp;AJ93)+1)</x:f>
      </x:c>
    </x:row>
    <x:row r="94">
      <x:c r="T94" s="137" t="str">
        <x:f>IF($A94="","",TRIM(MID(SUBSTITUTE(SUBSTITUTE(TRIM($I94)," ",""),",",REPT(" ",100)),1,100)))</x:f>
      </x:c>
      <x:c r="U94" s="137" t="str">
        <x:f>IF($A94="","",TRIM(MID(SUBSTITUTE(SUBSTITUTE(TRIM($I94)," ",""),",",REPT(" ",100)),101,100)))</x:f>
      </x:c>
      <x:c r="V94" s="137" t="str">
        <x:f>IF($A94="","",TRIM(MID(SUBSTITUTE(SUBSTITUTE(TRIM($I94)," ",""),",",REPT(" ",100)),201,100)))</x:f>
      </x:c>
      <x:c r="W94" s="137" t="str">
        <x:f>IF($A94="","",TRIM(MID(SUBSTITUTE(SUBSTITUTE(TRIM($I94)," ",""),",",REPT(" ",100)),301,100)))</x:f>
      </x:c>
      <x:c r="X94" s="137" t="str">
        <x:f>IF($A94="","",TRIM(MID(SUBSTITUTE(SUBSTITUTE(TRIM($I94)," ",""),",",REPT(" ",100)),401,100)))</x:f>
      </x:c>
      <x:c r="Y94" s="137" t="str">
        <x:f>IF($A94="","",TRIM(MID(SUBSTITUTE(SUBSTITUTE(TRIM($I94)," ",""),",",REPT(" ",100)),501,100)))</x:f>
      </x:c>
      <x:c r="Z94" s="137" t="str">
        <x:f>IF($A94="","",TRIM(MID(SUBSTITUTE(SUBSTITUTE(TRIM($I94)," ",""),",",REPT(" ",100)),601,100)))</x:f>
      </x:c>
      <x:c r="AA94" s="137" t="str">
        <x:f>IF($A94="","",IF(SUBSTITUTE(TRIM($I94)," ","")="",0,1+LEN(SUBSTITUTE(TRIM($I94)," ",""))-LEN(SUBSTITUTE(SUBSTITUTE(TRIM($I94)," ",""),",",""))))</x:f>
      </x:c>
      <x:c r="AB94" s="137" t="str">
        <x:f>IF($A94="","",COUNTIF(TasksTable[Task ID],T94)+COUNTIF(TasksTable[Task ID],U94)+COUNTIF(TasksTable[Task ID],V94)+COUNTIF(TasksTable[Task ID],W94)+COUNTIF(TasksTable[Task ID],X94)+COUNTIF(TasksTable[Task ID],Y94)+COUNTIF(TasksTable[Task ID],Z94))</x:f>
      </x:c>
      <x:c r="AC94" s="137" t="b">
        <x:f>IF($A94="",FALSE,OR(T94=$A94,U94=$A94,V94=$A94,W94=$A94,X94=$A94,Y94=$A94,Z94=$A94))</x:f>
        <x:v>0</x:v>
      </x:c>
      <x:c r="AD94" s="144" t="n">
        <x:f>IF(AA94=0,0,MAX(IFERROR(INDEX(TasksTable[Start Date],MATCH(T94,TasksTable[Task ID],0)),0),IFERROR(INDEX(TasksTable[Start Date],MATCH(U94,TasksTable[Task ID],0)),0),IFERROR(INDEX(TasksTable[Start Date],MATCH(V94,TasksTable[Task ID],0)),0),IFERROR(INDEX(TasksTable[Start Date],MATCH(W94,TasksTable[Task ID],0)),0),IFERROR(INDEX(TasksTable[Start Date],MATCH(X94,TasksTable[Task ID],0)),0),IFERROR(INDEX(TasksTable[Start Date],MATCH(Y94,TasksTable[Task ID],0)),0),IFERROR(INDEX(TasksTable[Start Date],MATCH(Z94,TasksTable[Task ID],0)),0)))</x:f>
        <x:v>0</x:v>
      </x:c>
      <x:c r="AE94" s="144" t="n">
        <x:f>IF(AA94=0,0,MAX(IFERROR(INDEX(TasksTable[End Date],MATCH(T94,TasksTable[Task ID],0)),0),IFERROR(INDEX(TasksTable[End Date],MATCH(U94,TasksTable[Task ID],0)),0),IFERROR(INDEX(TasksTable[End Date],MATCH(V94,TasksTable[Task ID],0)),0),IFERROR(INDEX(TasksTable[End Date],MATCH(W94,TasksTable[Task ID],0)),0),IFERROR(INDEX(TasksTable[End Date],MATCH(X94,TasksTable[Task ID],0)),0),IFERROR(INDEX(TasksTable[End Date],MATCH(Y94,TasksTable[Task ID],0)),0),IFERROR(INDEX(TasksTable[End Date],MATCH(Z94,TasksTable[Task ID],0)),0)))</x:f>
        <x:v>0</x:v>
      </x:c>
      <x:c r="AF94" s="137" t="b">
        <x:f>IF(OR($A94="",AA94=0),FALSE,SWITCH($J94,"FS",$F94&lt;AE94,"SS",$F94&lt;AD94,"FF",$G94&lt;AE94,"SF",$G94&lt;AD94,TRUE))</x:f>
        <x:v>0</x:v>
      </x:c>
      <x:c r="AG94" s="137" t="str">
        <x:f>IF(AND($A94&lt;&gt;"",$K94="No",$N94&lt;&gt;"Completed",$F94&gt;=TODAY()),$F94+ROW()/100000,"")</x:f>
      </x:c>
      <x:c r="AH94" s="137" t="str">
        <x:f>IF(AND($A94&lt;&gt;"",$K94="Yes",$N94&lt;&gt;"Completed",$F94&gt;=TODAY()),$F94+ROW()/100000,"")</x:f>
      </x:c>
      <x:c r="AI94" s="137" t="str">
        <x:f>IF(AND($A94&lt;&gt;"",$K94="No",$N94&lt;&gt;"Completed",$G94&gt;=TODAY(),$G94&lt;=TODAY()+3),$G94+ROW()/100000,"")</x:f>
      </x:c>
      <x:c r="AJ94" s="137" t="str">
        <x:f>IF(AND($A94&lt;&gt;"",$K94="No",OR($N94="Delayed",$P94="Dependency conflict")),$G94+ROW()/100000,"")</x:f>
      </x:c>
      <x:c r="AK94" s="137" t="str">
        <x:f>IF(AG94="","",COUNTIFS($AG$7:$AG$206,"&gt;0",$AG$7:$AG$206,"&lt;"&amp;AG94)+1)</x:f>
      </x:c>
      <x:c r="AL94" s="137" t="str">
        <x:f>IF(AH94="","",COUNTIFS($AH$7:$AH$206,"&gt;0",$AH$7:$AH$206,"&lt;"&amp;AH94)+1)</x:f>
      </x:c>
      <x:c r="AM94" s="137" t="str">
        <x:f>IF(AI94="","",COUNTIFS($AI$7:$AI$206,"&gt;0",$AI$7:$AI$206,"&lt;"&amp;AI94)+1)</x:f>
      </x:c>
      <x:c r="AN94" s="137" t="str">
        <x:f>IF(AJ94="","",COUNTIFS($AJ$7:$AJ$206,"&gt;0",$AJ$7:$AJ$206,"&lt;"&amp;AJ94)+1)</x:f>
      </x:c>
    </x:row>
    <x:row r="95">
      <x:c r="T95" s="137" t="str">
        <x:f>IF($A95="","",TRIM(MID(SUBSTITUTE(SUBSTITUTE(TRIM($I95)," ",""),",",REPT(" ",100)),1,100)))</x:f>
      </x:c>
      <x:c r="U95" s="137" t="str">
        <x:f>IF($A95="","",TRIM(MID(SUBSTITUTE(SUBSTITUTE(TRIM($I95)," ",""),",",REPT(" ",100)),101,100)))</x:f>
      </x:c>
      <x:c r="V95" s="137" t="str">
        <x:f>IF($A95="","",TRIM(MID(SUBSTITUTE(SUBSTITUTE(TRIM($I95)," ",""),",",REPT(" ",100)),201,100)))</x:f>
      </x:c>
      <x:c r="W95" s="137" t="str">
        <x:f>IF($A95="","",TRIM(MID(SUBSTITUTE(SUBSTITUTE(TRIM($I95)," ",""),",",REPT(" ",100)),301,100)))</x:f>
      </x:c>
      <x:c r="X95" s="137" t="str">
        <x:f>IF($A95="","",TRIM(MID(SUBSTITUTE(SUBSTITUTE(TRIM($I95)," ",""),",",REPT(" ",100)),401,100)))</x:f>
      </x:c>
      <x:c r="Y95" s="137" t="str">
        <x:f>IF($A95="","",TRIM(MID(SUBSTITUTE(SUBSTITUTE(TRIM($I95)," ",""),",",REPT(" ",100)),501,100)))</x:f>
      </x:c>
      <x:c r="Z95" s="137" t="str">
        <x:f>IF($A95="","",TRIM(MID(SUBSTITUTE(SUBSTITUTE(TRIM($I95)," ",""),",",REPT(" ",100)),601,100)))</x:f>
      </x:c>
      <x:c r="AA95" s="137" t="str">
        <x:f>IF($A95="","",IF(SUBSTITUTE(TRIM($I95)," ","")="",0,1+LEN(SUBSTITUTE(TRIM($I95)," ",""))-LEN(SUBSTITUTE(SUBSTITUTE(TRIM($I95)," ",""),",",""))))</x:f>
      </x:c>
      <x:c r="AB95" s="137" t="str">
        <x:f>IF($A95="","",COUNTIF(TasksTable[Task ID],T95)+COUNTIF(TasksTable[Task ID],U95)+COUNTIF(TasksTable[Task ID],V95)+COUNTIF(TasksTable[Task ID],W95)+COUNTIF(TasksTable[Task ID],X95)+COUNTIF(TasksTable[Task ID],Y95)+COUNTIF(TasksTable[Task ID],Z95))</x:f>
      </x:c>
      <x:c r="AC95" s="137" t="b">
        <x:f>IF($A95="",FALSE,OR(T95=$A95,U95=$A95,V95=$A95,W95=$A95,X95=$A95,Y95=$A95,Z95=$A95))</x:f>
        <x:v>0</x:v>
      </x:c>
      <x:c r="AD95" s="144" t="n">
        <x:f>IF(AA95=0,0,MAX(IFERROR(INDEX(TasksTable[Start Date],MATCH(T95,TasksTable[Task ID],0)),0),IFERROR(INDEX(TasksTable[Start Date],MATCH(U95,TasksTable[Task ID],0)),0),IFERROR(INDEX(TasksTable[Start Date],MATCH(V95,TasksTable[Task ID],0)),0),IFERROR(INDEX(TasksTable[Start Date],MATCH(W95,TasksTable[Task ID],0)),0),IFERROR(INDEX(TasksTable[Start Date],MATCH(X95,TasksTable[Task ID],0)),0),IFERROR(INDEX(TasksTable[Start Date],MATCH(Y95,TasksTable[Task ID],0)),0),IFERROR(INDEX(TasksTable[Start Date],MATCH(Z95,TasksTable[Task ID],0)),0)))</x:f>
        <x:v>0</x:v>
      </x:c>
      <x:c r="AE95" s="144" t="n">
        <x:f>IF(AA95=0,0,MAX(IFERROR(INDEX(TasksTable[End Date],MATCH(T95,TasksTable[Task ID],0)),0),IFERROR(INDEX(TasksTable[End Date],MATCH(U95,TasksTable[Task ID],0)),0),IFERROR(INDEX(TasksTable[End Date],MATCH(V95,TasksTable[Task ID],0)),0),IFERROR(INDEX(TasksTable[End Date],MATCH(W95,TasksTable[Task ID],0)),0),IFERROR(INDEX(TasksTable[End Date],MATCH(X95,TasksTable[Task ID],0)),0),IFERROR(INDEX(TasksTable[End Date],MATCH(Y95,TasksTable[Task ID],0)),0),IFERROR(INDEX(TasksTable[End Date],MATCH(Z95,TasksTable[Task ID],0)),0)))</x:f>
        <x:v>0</x:v>
      </x:c>
      <x:c r="AF95" s="137" t="b">
        <x:f>IF(OR($A95="",AA95=0),FALSE,SWITCH($J95,"FS",$F95&lt;AE95,"SS",$F95&lt;AD95,"FF",$G95&lt;AE95,"SF",$G95&lt;AD95,TRUE))</x:f>
        <x:v>0</x:v>
      </x:c>
      <x:c r="AG95" s="137" t="str">
        <x:f>IF(AND($A95&lt;&gt;"",$K95="No",$N95&lt;&gt;"Completed",$F95&gt;=TODAY()),$F95+ROW()/100000,"")</x:f>
      </x:c>
      <x:c r="AH95" s="137" t="str">
        <x:f>IF(AND($A95&lt;&gt;"",$K95="Yes",$N95&lt;&gt;"Completed",$F95&gt;=TODAY()),$F95+ROW()/100000,"")</x:f>
      </x:c>
      <x:c r="AI95" s="137" t="str">
        <x:f>IF(AND($A95&lt;&gt;"",$K95="No",$N95&lt;&gt;"Completed",$G95&gt;=TODAY(),$G95&lt;=TODAY()+3),$G95+ROW()/100000,"")</x:f>
      </x:c>
      <x:c r="AJ95" s="137" t="str">
        <x:f>IF(AND($A95&lt;&gt;"",$K95="No",OR($N95="Delayed",$P95="Dependency conflict")),$G95+ROW()/100000,"")</x:f>
      </x:c>
      <x:c r="AK95" s="137" t="str">
        <x:f>IF(AG95="","",COUNTIFS($AG$7:$AG$206,"&gt;0",$AG$7:$AG$206,"&lt;"&amp;AG95)+1)</x:f>
      </x:c>
      <x:c r="AL95" s="137" t="str">
        <x:f>IF(AH95="","",COUNTIFS($AH$7:$AH$206,"&gt;0",$AH$7:$AH$206,"&lt;"&amp;AH95)+1)</x:f>
      </x:c>
      <x:c r="AM95" s="137" t="str">
        <x:f>IF(AI95="","",COUNTIFS($AI$7:$AI$206,"&gt;0",$AI$7:$AI$206,"&lt;"&amp;AI95)+1)</x:f>
      </x:c>
      <x:c r="AN95" s="137" t="str">
        <x:f>IF(AJ95="","",COUNTIFS($AJ$7:$AJ$206,"&gt;0",$AJ$7:$AJ$206,"&lt;"&amp;AJ95)+1)</x:f>
      </x:c>
    </x:row>
    <x:row r="96">
      <x:c r="T96" s="137" t="str">
        <x:f>IF($A96="","",TRIM(MID(SUBSTITUTE(SUBSTITUTE(TRIM($I96)," ",""),",",REPT(" ",100)),1,100)))</x:f>
      </x:c>
      <x:c r="U96" s="137" t="str">
        <x:f>IF($A96="","",TRIM(MID(SUBSTITUTE(SUBSTITUTE(TRIM($I96)," ",""),",",REPT(" ",100)),101,100)))</x:f>
      </x:c>
      <x:c r="V96" s="137" t="str">
        <x:f>IF($A96="","",TRIM(MID(SUBSTITUTE(SUBSTITUTE(TRIM($I96)," ",""),",",REPT(" ",100)),201,100)))</x:f>
      </x:c>
      <x:c r="W96" s="137" t="str">
        <x:f>IF($A96="","",TRIM(MID(SUBSTITUTE(SUBSTITUTE(TRIM($I96)," ",""),",",REPT(" ",100)),301,100)))</x:f>
      </x:c>
      <x:c r="X96" s="137" t="str">
        <x:f>IF($A96="","",TRIM(MID(SUBSTITUTE(SUBSTITUTE(TRIM($I96)," ",""),",",REPT(" ",100)),401,100)))</x:f>
      </x:c>
      <x:c r="Y96" s="137" t="str">
        <x:f>IF($A96="","",TRIM(MID(SUBSTITUTE(SUBSTITUTE(TRIM($I96)," ",""),",",REPT(" ",100)),501,100)))</x:f>
      </x:c>
      <x:c r="Z96" s="137" t="str">
        <x:f>IF($A96="","",TRIM(MID(SUBSTITUTE(SUBSTITUTE(TRIM($I96)," ",""),",",REPT(" ",100)),601,100)))</x:f>
      </x:c>
      <x:c r="AA96" s="137" t="str">
        <x:f>IF($A96="","",IF(SUBSTITUTE(TRIM($I96)," ","")="",0,1+LEN(SUBSTITUTE(TRIM($I96)," ",""))-LEN(SUBSTITUTE(SUBSTITUTE(TRIM($I96)," ",""),",",""))))</x:f>
      </x:c>
      <x:c r="AB96" s="137" t="str">
        <x:f>IF($A96="","",COUNTIF(TasksTable[Task ID],T96)+COUNTIF(TasksTable[Task ID],U96)+COUNTIF(TasksTable[Task ID],V96)+COUNTIF(TasksTable[Task ID],W96)+COUNTIF(TasksTable[Task ID],X96)+COUNTIF(TasksTable[Task ID],Y96)+COUNTIF(TasksTable[Task ID],Z96))</x:f>
      </x:c>
      <x:c r="AC96" s="137" t="b">
        <x:f>IF($A96="",FALSE,OR(T96=$A96,U96=$A96,V96=$A96,W96=$A96,X96=$A96,Y96=$A96,Z96=$A96))</x:f>
        <x:v>0</x:v>
      </x:c>
      <x:c r="AD96" s="144" t="n">
        <x:f>IF(AA96=0,0,MAX(IFERROR(INDEX(TasksTable[Start Date],MATCH(T96,TasksTable[Task ID],0)),0),IFERROR(INDEX(TasksTable[Start Date],MATCH(U96,TasksTable[Task ID],0)),0),IFERROR(INDEX(TasksTable[Start Date],MATCH(V96,TasksTable[Task ID],0)),0),IFERROR(INDEX(TasksTable[Start Date],MATCH(W96,TasksTable[Task ID],0)),0),IFERROR(INDEX(TasksTable[Start Date],MATCH(X96,TasksTable[Task ID],0)),0),IFERROR(INDEX(TasksTable[Start Date],MATCH(Y96,TasksTable[Task ID],0)),0),IFERROR(INDEX(TasksTable[Start Date],MATCH(Z96,TasksTable[Task ID],0)),0)))</x:f>
        <x:v>0</x:v>
      </x:c>
      <x:c r="AE96" s="144" t="n">
        <x:f>IF(AA96=0,0,MAX(IFERROR(INDEX(TasksTable[End Date],MATCH(T96,TasksTable[Task ID],0)),0),IFERROR(INDEX(TasksTable[End Date],MATCH(U96,TasksTable[Task ID],0)),0),IFERROR(INDEX(TasksTable[End Date],MATCH(V96,TasksTable[Task ID],0)),0),IFERROR(INDEX(TasksTable[End Date],MATCH(W96,TasksTable[Task ID],0)),0),IFERROR(INDEX(TasksTable[End Date],MATCH(X96,TasksTable[Task ID],0)),0),IFERROR(INDEX(TasksTable[End Date],MATCH(Y96,TasksTable[Task ID],0)),0),IFERROR(INDEX(TasksTable[End Date],MATCH(Z96,TasksTable[Task ID],0)),0)))</x:f>
        <x:v>0</x:v>
      </x:c>
      <x:c r="AF96" s="137" t="b">
        <x:f>IF(OR($A96="",AA96=0),FALSE,SWITCH($J96,"FS",$F96&lt;AE96,"SS",$F96&lt;AD96,"FF",$G96&lt;AE96,"SF",$G96&lt;AD96,TRUE))</x:f>
        <x:v>0</x:v>
      </x:c>
      <x:c r="AG96" s="137" t="str">
        <x:f>IF(AND($A96&lt;&gt;"",$K96="No",$N96&lt;&gt;"Completed",$F96&gt;=TODAY()),$F96+ROW()/100000,"")</x:f>
      </x:c>
      <x:c r="AH96" s="137" t="str">
        <x:f>IF(AND($A96&lt;&gt;"",$K96="Yes",$N96&lt;&gt;"Completed",$F96&gt;=TODAY()),$F96+ROW()/100000,"")</x:f>
      </x:c>
      <x:c r="AI96" s="137" t="str">
        <x:f>IF(AND($A96&lt;&gt;"",$K96="No",$N96&lt;&gt;"Completed",$G96&gt;=TODAY(),$G96&lt;=TODAY()+3),$G96+ROW()/100000,"")</x:f>
      </x:c>
      <x:c r="AJ96" s="137" t="str">
        <x:f>IF(AND($A96&lt;&gt;"",$K96="No",OR($N96="Delayed",$P96="Dependency conflict")),$G96+ROW()/100000,"")</x:f>
      </x:c>
      <x:c r="AK96" s="137" t="str">
        <x:f>IF(AG96="","",COUNTIFS($AG$7:$AG$206,"&gt;0",$AG$7:$AG$206,"&lt;"&amp;AG96)+1)</x:f>
      </x:c>
      <x:c r="AL96" s="137" t="str">
        <x:f>IF(AH96="","",COUNTIFS($AH$7:$AH$206,"&gt;0",$AH$7:$AH$206,"&lt;"&amp;AH96)+1)</x:f>
      </x:c>
      <x:c r="AM96" s="137" t="str">
        <x:f>IF(AI96="","",COUNTIFS($AI$7:$AI$206,"&gt;0",$AI$7:$AI$206,"&lt;"&amp;AI96)+1)</x:f>
      </x:c>
      <x:c r="AN96" s="137" t="str">
        <x:f>IF(AJ96="","",COUNTIFS($AJ$7:$AJ$206,"&gt;0",$AJ$7:$AJ$206,"&lt;"&amp;AJ96)+1)</x:f>
      </x:c>
    </x:row>
    <x:row r="97">
      <x:c r="T97" s="137" t="str">
        <x:f>IF($A97="","",TRIM(MID(SUBSTITUTE(SUBSTITUTE(TRIM($I97)," ",""),",",REPT(" ",100)),1,100)))</x:f>
      </x:c>
      <x:c r="U97" s="137" t="str">
        <x:f>IF($A97="","",TRIM(MID(SUBSTITUTE(SUBSTITUTE(TRIM($I97)," ",""),",",REPT(" ",100)),101,100)))</x:f>
      </x:c>
      <x:c r="V97" s="137" t="str">
        <x:f>IF($A97="","",TRIM(MID(SUBSTITUTE(SUBSTITUTE(TRIM($I97)," ",""),",",REPT(" ",100)),201,100)))</x:f>
      </x:c>
      <x:c r="W97" s="137" t="str">
        <x:f>IF($A97="","",TRIM(MID(SUBSTITUTE(SUBSTITUTE(TRIM($I97)," ",""),",",REPT(" ",100)),301,100)))</x:f>
      </x:c>
      <x:c r="X97" s="137" t="str">
        <x:f>IF($A97="","",TRIM(MID(SUBSTITUTE(SUBSTITUTE(TRIM($I97)," ",""),",",REPT(" ",100)),401,100)))</x:f>
      </x:c>
      <x:c r="Y97" s="137" t="str">
        <x:f>IF($A97="","",TRIM(MID(SUBSTITUTE(SUBSTITUTE(TRIM($I97)," ",""),",",REPT(" ",100)),501,100)))</x:f>
      </x:c>
      <x:c r="Z97" s="137" t="str">
        <x:f>IF($A97="","",TRIM(MID(SUBSTITUTE(SUBSTITUTE(TRIM($I97)," ",""),",",REPT(" ",100)),601,100)))</x:f>
      </x:c>
      <x:c r="AA97" s="137" t="str">
        <x:f>IF($A97="","",IF(SUBSTITUTE(TRIM($I97)," ","")="",0,1+LEN(SUBSTITUTE(TRIM($I97)," ",""))-LEN(SUBSTITUTE(SUBSTITUTE(TRIM($I97)," ",""),",",""))))</x:f>
      </x:c>
      <x:c r="AB97" s="137" t="str">
        <x:f>IF($A97="","",COUNTIF(TasksTable[Task ID],T97)+COUNTIF(TasksTable[Task ID],U97)+COUNTIF(TasksTable[Task ID],V97)+COUNTIF(TasksTable[Task ID],W97)+COUNTIF(TasksTable[Task ID],X97)+COUNTIF(TasksTable[Task ID],Y97)+COUNTIF(TasksTable[Task ID],Z97))</x:f>
      </x:c>
      <x:c r="AC97" s="137" t="b">
        <x:f>IF($A97="",FALSE,OR(T97=$A97,U97=$A97,V97=$A97,W97=$A97,X97=$A97,Y97=$A97,Z97=$A97))</x:f>
        <x:v>0</x:v>
      </x:c>
      <x:c r="AD97" s="144" t="n">
        <x:f>IF(AA97=0,0,MAX(IFERROR(INDEX(TasksTable[Start Date],MATCH(T97,TasksTable[Task ID],0)),0),IFERROR(INDEX(TasksTable[Start Date],MATCH(U97,TasksTable[Task ID],0)),0),IFERROR(INDEX(TasksTable[Start Date],MATCH(V97,TasksTable[Task ID],0)),0),IFERROR(INDEX(TasksTable[Start Date],MATCH(W97,TasksTable[Task ID],0)),0),IFERROR(INDEX(TasksTable[Start Date],MATCH(X97,TasksTable[Task ID],0)),0),IFERROR(INDEX(TasksTable[Start Date],MATCH(Y97,TasksTable[Task ID],0)),0),IFERROR(INDEX(TasksTable[Start Date],MATCH(Z97,TasksTable[Task ID],0)),0)))</x:f>
        <x:v>0</x:v>
      </x:c>
      <x:c r="AE97" s="144" t="n">
        <x:f>IF(AA97=0,0,MAX(IFERROR(INDEX(TasksTable[End Date],MATCH(T97,TasksTable[Task ID],0)),0),IFERROR(INDEX(TasksTable[End Date],MATCH(U97,TasksTable[Task ID],0)),0),IFERROR(INDEX(TasksTable[End Date],MATCH(V97,TasksTable[Task ID],0)),0),IFERROR(INDEX(TasksTable[End Date],MATCH(W97,TasksTable[Task ID],0)),0),IFERROR(INDEX(TasksTable[End Date],MATCH(X97,TasksTable[Task ID],0)),0),IFERROR(INDEX(TasksTable[End Date],MATCH(Y97,TasksTable[Task ID],0)),0),IFERROR(INDEX(TasksTable[End Date],MATCH(Z97,TasksTable[Task ID],0)),0)))</x:f>
        <x:v>0</x:v>
      </x:c>
      <x:c r="AF97" s="137" t="b">
        <x:f>IF(OR($A97="",AA97=0),FALSE,SWITCH($J97,"FS",$F97&lt;AE97,"SS",$F97&lt;AD97,"FF",$G97&lt;AE97,"SF",$G97&lt;AD97,TRUE))</x:f>
        <x:v>0</x:v>
      </x:c>
      <x:c r="AG97" s="137" t="str">
        <x:f>IF(AND($A97&lt;&gt;"",$K97="No",$N97&lt;&gt;"Completed",$F97&gt;=TODAY()),$F97+ROW()/100000,"")</x:f>
      </x:c>
      <x:c r="AH97" s="137" t="str">
        <x:f>IF(AND($A97&lt;&gt;"",$K97="Yes",$N97&lt;&gt;"Completed",$F97&gt;=TODAY()),$F97+ROW()/100000,"")</x:f>
      </x:c>
      <x:c r="AI97" s="137" t="str">
        <x:f>IF(AND($A97&lt;&gt;"",$K97="No",$N97&lt;&gt;"Completed",$G97&gt;=TODAY(),$G97&lt;=TODAY()+3),$G97+ROW()/100000,"")</x:f>
      </x:c>
      <x:c r="AJ97" s="137" t="str">
        <x:f>IF(AND($A97&lt;&gt;"",$K97="No",OR($N97="Delayed",$P97="Dependency conflict")),$G97+ROW()/100000,"")</x:f>
      </x:c>
      <x:c r="AK97" s="137" t="str">
        <x:f>IF(AG97="","",COUNTIFS($AG$7:$AG$206,"&gt;0",$AG$7:$AG$206,"&lt;"&amp;AG97)+1)</x:f>
      </x:c>
      <x:c r="AL97" s="137" t="str">
        <x:f>IF(AH97="","",COUNTIFS($AH$7:$AH$206,"&gt;0",$AH$7:$AH$206,"&lt;"&amp;AH97)+1)</x:f>
      </x:c>
      <x:c r="AM97" s="137" t="str">
        <x:f>IF(AI97="","",COUNTIFS($AI$7:$AI$206,"&gt;0",$AI$7:$AI$206,"&lt;"&amp;AI97)+1)</x:f>
      </x:c>
      <x:c r="AN97" s="137" t="str">
        <x:f>IF(AJ97="","",COUNTIFS($AJ$7:$AJ$206,"&gt;0",$AJ$7:$AJ$206,"&lt;"&amp;AJ97)+1)</x:f>
      </x:c>
    </x:row>
    <x:row r="98">
      <x:c r="T98" s="137" t="str">
        <x:f>IF($A98="","",TRIM(MID(SUBSTITUTE(SUBSTITUTE(TRIM($I98)," ",""),",",REPT(" ",100)),1,100)))</x:f>
      </x:c>
      <x:c r="U98" s="137" t="str">
        <x:f>IF($A98="","",TRIM(MID(SUBSTITUTE(SUBSTITUTE(TRIM($I98)," ",""),",",REPT(" ",100)),101,100)))</x:f>
      </x:c>
      <x:c r="V98" s="137" t="str">
        <x:f>IF($A98="","",TRIM(MID(SUBSTITUTE(SUBSTITUTE(TRIM($I98)," ",""),",",REPT(" ",100)),201,100)))</x:f>
      </x:c>
      <x:c r="W98" s="137" t="str">
        <x:f>IF($A98="","",TRIM(MID(SUBSTITUTE(SUBSTITUTE(TRIM($I98)," ",""),",",REPT(" ",100)),301,100)))</x:f>
      </x:c>
      <x:c r="X98" s="137" t="str">
        <x:f>IF($A98="","",TRIM(MID(SUBSTITUTE(SUBSTITUTE(TRIM($I98)," ",""),",",REPT(" ",100)),401,100)))</x:f>
      </x:c>
      <x:c r="Y98" s="137" t="str">
        <x:f>IF($A98="","",TRIM(MID(SUBSTITUTE(SUBSTITUTE(TRIM($I98)," ",""),",",REPT(" ",100)),501,100)))</x:f>
      </x:c>
      <x:c r="Z98" s="137" t="str">
        <x:f>IF($A98="","",TRIM(MID(SUBSTITUTE(SUBSTITUTE(TRIM($I98)," ",""),",",REPT(" ",100)),601,100)))</x:f>
      </x:c>
      <x:c r="AA98" s="137" t="str">
        <x:f>IF($A98="","",IF(SUBSTITUTE(TRIM($I98)," ","")="",0,1+LEN(SUBSTITUTE(TRIM($I98)," ",""))-LEN(SUBSTITUTE(SUBSTITUTE(TRIM($I98)," ",""),",",""))))</x:f>
      </x:c>
      <x:c r="AB98" s="137" t="str">
        <x:f>IF($A98="","",COUNTIF(TasksTable[Task ID],T98)+COUNTIF(TasksTable[Task ID],U98)+COUNTIF(TasksTable[Task ID],V98)+COUNTIF(TasksTable[Task ID],W98)+COUNTIF(TasksTable[Task ID],X98)+COUNTIF(TasksTable[Task ID],Y98)+COUNTIF(TasksTable[Task ID],Z98))</x:f>
      </x:c>
      <x:c r="AC98" s="137" t="b">
        <x:f>IF($A98="",FALSE,OR(T98=$A98,U98=$A98,V98=$A98,W98=$A98,X98=$A98,Y98=$A98,Z98=$A98))</x:f>
        <x:v>0</x:v>
      </x:c>
      <x:c r="AD98" s="144" t="n">
        <x:f>IF(AA98=0,0,MAX(IFERROR(INDEX(TasksTable[Start Date],MATCH(T98,TasksTable[Task ID],0)),0),IFERROR(INDEX(TasksTable[Start Date],MATCH(U98,TasksTable[Task ID],0)),0),IFERROR(INDEX(TasksTable[Start Date],MATCH(V98,TasksTable[Task ID],0)),0),IFERROR(INDEX(TasksTable[Start Date],MATCH(W98,TasksTable[Task ID],0)),0),IFERROR(INDEX(TasksTable[Start Date],MATCH(X98,TasksTable[Task ID],0)),0),IFERROR(INDEX(TasksTable[Start Date],MATCH(Y98,TasksTable[Task ID],0)),0),IFERROR(INDEX(TasksTable[Start Date],MATCH(Z98,TasksTable[Task ID],0)),0)))</x:f>
        <x:v>0</x:v>
      </x:c>
      <x:c r="AE98" s="144" t="n">
        <x:f>IF(AA98=0,0,MAX(IFERROR(INDEX(TasksTable[End Date],MATCH(T98,TasksTable[Task ID],0)),0),IFERROR(INDEX(TasksTable[End Date],MATCH(U98,TasksTable[Task ID],0)),0),IFERROR(INDEX(TasksTable[End Date],MATCH(V98,TasksTable[Task ID],0)),0),IFERROR(INDEX(TasksTable[End Date],MATCH(W98,TasksTable[Task ID],0)),0),IFERROR(INDEX(TasksTable[End Date],MATCH(X98,TasksTable[Task ID],0)),0),IFERROR(INDEX(TasksTable[End Date],MATCH(Y98,TasksTable[Task ID],0)),0),IFERROR(INDEX(TasksTable[End Date],MATCH(Z98,TasksTable[Task ID],0)),0)))</x:f>
        <x:v>0</x:v>
      </x:c>
      <x:c r="AF98" s="137" t="b">
        <x:f>IF(OR($A98="",AA98=0),FALSE,SWITCH($J98,"FS",$F98&lt;AE98,"SS",$F98&lt;AD98,"FF",$G98&lt;AE98,"SF",$G98&lt;AD98,TRUE))</x:f>
        <x:v>0</x:v>
      </x:c>
      <x:c r="AG98" s="137" t="str">
        <x:f>IF(AND($A98&lt;&gt;"",$K98="No",$N98&lt;&gt;"Completed",$F98&gt;=TODAY()),$F98+ROW()/100000,"")</x:f>
      </x:c>
      <x:c r="AH98" s="137" t="str">
        <x:f>IF(AND($A98&lt;&gt;"",$K98="Yes",$N98&lt;&gt;"Completed",$F98&gt;=TODAY()),$F98+ROW()/100000,"")</x:f>
      </x:c>
      <x:c r="AI98" s="137" t="str">
        <x:f>IF(AND($A98&lt;&gt;"",$K98="No",$N98&lt;&gt;"Completed",$G98&gt;=TODAY(),$G98&lt;=TODAY()+3),$G98+ROW()/100000,"")</x:f>
      </x:c>
      <x:c r="AJ98" s="137" t="str">
        <x:f>IF(AND($A98&lt;&gt;"",$K98="No",OR($N98="Delayed",$P98="Dependency conflict")),$G98+ROW()/100000,"")</x:f>
      </x:c>
      <x:c r="AK98" s="137" t="str">
        <x:f>IF(AG98="","",COUNTIFS($AG$7:$AG$206,"&gt;0",$AG$7:$AG$206,"&lt;"&amp;AG98)+1)</x:f>
      </x:c>
      <x:c r="AL98" s="137" t="str">
        <x:f>IF(AH98="","",COUNTIFS($AH$7:$AH$206,"&gt;0",$AH$7:$AH$206,"&lt;"&amp;AH98)+1)</x:f>
      </x:c>
      <x:c r="AM98" s="137" t="str">
        <x:f>IF(AI98="","",COUNTIFS($AI$7:$AI$206,"&gt;0",$AI$7:$AI$206,"&lt;"&amp;AI98)+1)</x:f>
      </x:c>
      <x:c r="AN98" s="137" t="str">
        <x:f>IF(AJ98="","",COUNTIFS($AJ$7:$AJ$206,"&gt;0",$AJ$7:$AJ$206,"&lt;"&amp;AJ98)+1)</x:f>
      </x:c>
    </x:row>
    <x:row r="99">
      <x:c r="T99" s="137" t="str">
        <x:f>IF($A99="","",TRIM(MID(SUBSTITUTE(SUBSTITUTE(TRIM($I99)," ",""),",",REPT(" ",100)),1,100)))</x:f>
      </x:c>
      <x:c r="U99" s="137" t="str">
        <x:f>IF($A99="","",TRIM(MID(SUBSTITUTE(SUBSTITUTE(TRIM($I99)," ",""),",",REPT(" ",100)),101,100)))</x:f>
      </x:c>
      <x:c r="V99" s="137" t="str">
        <x:f>IF($A99="","",TRIM(MID(SUBSTITUTE(SUBSTITUTE(TRIM($I99)," ",""),",",REPT(" ",100)),201,100)))</x:f>
      </x:c>
      <x:c r="W99" s="137" t="str">
        <x:f>IF($A99="","",TRIM(MID(SUBSTITUTE(SUBSTITUTE(TRIM($I99)," ",""),",",REPT(" ",100)),301,100)))</x:f>
      </x:c>
      <x:c r="X99" s="137" t="str">
        <x:f>IF($A99="","",TRIM(MID(SUBSTITUTE(SUBSTITUTE(TRIM($I99)," ",""),",",REPT(" ",100)),401,100)))</x:f>
      </x:c>
      <x:c r="Y99" s="137" t="str">
        <x:f>IF($A99="","",TRIM(MID(SUBSTITUTE(SUBSTITUTE(TRIM($I99)," ",""),",",REPT(" ",100)),501,100)))</x:f>
      </x:c>
      <x:c r="Z99" s="137" t="str">
        <x:f>IF($A99="","",TRIM(MID(SUBSTITUTE(SUBSTITUTE(TRIM($I99)," ",""),",",REPT(" ",100)),601,100)))</x:f>
      </x:c>
      <x:c r="AA99" s="137" t="str">
        <x:f>IF($A99="","",IF(SUBSTITUTE(TRIM($I99)," ","")="",0,1+LEN(SUBSTITUTE(TRIM($I99)," ",""))-LEN(SUBSTITUTE(SUBSTITUTE(TRIM($I99)," ",""),",",""))))</x:f>
      </x:c>
      <x:c r="AB99" s="137" t="str">
        <x:f>IF($A99="","",COUNTIF(TasksTable[Task ID],T99)+COUNTIF(TasksTable[Task ID],U99)+COUNTIF(TasksTable[Task ID],V99)+COUNTIF(TasksTable[Task ID],W99)+COUNTIF(TasksTable[Task ID],X99)+COUNTIF(TasksTable[Task ID],Y99)+COUNTIF(TasksTable[Task ID],Z99))</x:f>
      </x:c>
      <x:c r="AC99" s="137" t="b">
        <x:f>IF($A99="",FALSE,OR(T99=$A99,U99=$A99,V99=$A99,W99=$A99,X99=$A99,Y99=$A99,Z99=$A99))</x:f>
        <x:v>0</x:v>
      </x:c>
      <x:c r="AD99" s="144" t="n">
        <x:f>IF(AA99=0,0,MAX(IFERROR(INDEX(TasksTable[Start Date],MATCH(T99,TasksTable[Task ID],0)),0),IFERROR(INDEX(TasksTable[Start Date],MATCH(U99,TasksTable[Task ID],0)),0),IFERROR(INDEX(TasksTable[Start Date],MATCH(V99,TasksTable[Task ID],0)),0),IFERROR(INDEX(TasksTable[Start Date],MATCH(W99,TasksTable[Task ID],0)),0),IFERROR(INDEX(TasksTable[Start Date],MATCH(X99,TasksTable[Task ID],0)),0),IFERROR(INDEX(TasksTable[Start Date],MATCH(Y99,TasksTable[Task ID],0)),0),IFERROR(INDEX(TasksTable[Start Date],MATCH(Z99,TasksTable[Task ID],0)),0)))</x:f>
        <x:v>0</x:v>
      </x:c>
      <x:c r="AE99" s="144" t="n">
        <x:f>IF(AA99=0,0,MAX(IFERROR(INDEX(TasksTable[End Date],MATCH(T99,TasksTable[Task ID],0)),0),IFERROR(INDEX(TasksTable[End Date],MATCH(U99,TasksTable[Task ID],0)),0),IFERROR(INDEX(TasksTable[End Date],MATCH(V99,TasksTable[Task ID],0)),0),IFERROR(INDEX(TasksTable[End Date],MATCH(W99,TasksTable[Task ID],0)),0),IFERROR(INDEX(TasksTable[End Date],MATCH(X99,TasksTable[Task ID],0)),0),IFERROR(INDEX(TasksTable[End Date],MATCH(Y99,TasksTable[Task ID],0)),0),IFERROR(INDEX(TasksTable[End Date],MATCH(Z99,TasksTable[Task ID],0)),0)))</x:f>
        <x:v>0</x:v>
      </x:c>
      <x:c r="AF99" s="137" t="b">
        <x:f>IF(OR($A99="",AA99=0),FALSE,SWITCH($J99,"FS",$F99&lt;AE99,"SS",$F99&lt;AD99,"FF",$G99&lt;AE99,"SF",$G99&lt;AD99,TRUE))</x:f>
        <x:v>0</x:v>
      </x:c>
      <x:c r="AG99" s="137" t="str">
        <x:f>IF(AND($A99&lt;&gt;"",$K99="No",$N99&lt;&gt;"Completed",$F99&gt;=TODAY()),$F99+ROW()/100000,"")</x:f>
      </x:c>
      <x:c r="AH99" s="137" t="str">
        <x:f>IF(AND($A99&lt;&gt;"",$K99="Yes",$N99&lt;&gt;"Completed",$F99&gt;=TODAY()),$F99+ROW()/100000,"")</x:f>
      </x:c>
      <x:c r="AI99" s="137" t="str">
        <x:f>IF(AND($A99&lt;&gt;"",$K99="No",$N99&lt;&gt;"Completed",$G99&gt;=TODAY(),$G99&lt;=TODAY()+3),$G99+ROW()/100000,"")</x:f>
      </x:c>
      <x:c r="AJ99" s="137" t="str">
        <x:f>IF(AND($A99&lt;&gt;"",$K99="No",OR($N99="Delayed",$P99="Dependency conflict")),$G99+ROW()/100000,"")</x:f>
      </x:c>
      <x:c r="AK99" s="137" t="str">
        <x:f>IF(AG99="","",COUNTIFS($AG$7:$AG$206,"&gt;0",$AG$7:$AG$206,"&lt;"&amp;AG99)+1)</x:f>
      </x:c>
      <x:c r="AL99" s="137" t="str">
        <x:f>IF(AH99="","",COUNTIFS($AH$7:$AH$206,"&gt;0",$AH$7:$AH$206,"&lt;"&amp;AH99)+1)</x:f>
      </x:c>
      <x:c r="AM99" s="137" t="str">
        <x:f>IF(AI99="","",COUNTIFS($AI$7:$AI$206,"&gt;0",$AI$7:$AI$206,"&lt;"&amp;AI99)+1)</x:f>
      </x:c>
      <x:c r="AN99" s="137" t="str">
        <x:f>IF(AJ99="","",COUNTIFS($AJ$7:$AJ$206,"&gt;0",$AJ$7:$AJ$206,"&lt;"&amp;AJ99)+1)</x:f>
      </x:c>
    </x:row>
    <x:row r="100">
      <x:c r="T100" s="137" t="str">
        <x:f>IF($A100="","",TRIM(MID(SUBSTITUTE(SUBSTITUTE(TRIM($I100)," ",""),",",REPT(" ",100)),1,100)))</x:f>
      </x:c>
      <x:c r="U100" s="137" t="str">
        <x:f>IF($A100="","",TRIM(MID(SUBSTITUTE(SUBSTITUTE(TRIM($I100)," ",""),",",REPT(" ",100)),101,100)))</x:f>
      </x:c>
      <x:c r="V100" s="137" t="str">
        <x:f>IF($A100="","",TRIM(MID(SUBSTITUTE(SUBSTITUTE(TRIM($I100)," ",""),",",REPT(" ",100)),201,100)))</x:f>
      </x:c>
      <x:c r="W100" s="137" t="str">
        <x:f>IF($A100="","",TRIM(MID(SUBSTITUTE(SUBSTITUTE(TRIM($I100)," ",""),",",REPT(" ",100)),301,100)))</x:f>
      </x:c>
      <x:c r="X100" s="137" t="str">
        <x:f>IF($A100="","",TRIM(MID(SUBSTITUTE(SUBSTITUTE(TRIM($I100)," ",""),",",REPT(" ",100)),401,100)))</x:f>
      </x:c>
      <x:c r="Y100" s="137" t="str">
        <x:f>IF($A100="","",TRIM(MID(SUBSTITUTE(SUBSTITUTE(TRIM($I100)," ",""),",",REPT(" ",100)),501,100)))</x:f>
      </x:c>
      <x:c r="Z100" s="137" t="str">
        <x:f>IF($A100="","",TRIM(MID(SUBSTITUTE(SUBSTITUTE(TRIM($I100)," ",""),",",REPT(" ",100)),601,100)))</x:f>
      </x:c>
      <x:c r="AA100" s="137" t="str">
        <x:f>IF($A100="","",IF(SUBSTITUTE(TRIM($I100)," ","")="",0,1+LEN(SUBSTITUTE(TRIM($I100)," ",""))-LEN(SUBSTITUTE(SUBSTITUTE(TRIM($I100)," ",""),",",""))))</x:f>
      </x:c>
      <x:c r="AB100" s="137" t="str">
        <x:f>IF($A100="","",COUNTIF(TasksTable[Task ID],T100)+COUNTIF(TasksTable[Task ID],U100)+COUNTIF(TasksTable[Task ID],V100)+COUNTIF(TasksTable[Task ID],W100)+COUNTIF(TasksTable[Task ID],X100)+COUNTIF(TasksTable[Task ID],Y100)+COUNTIF(TasksTable[Task ID],Z100))</x:f>
      </x:c>
      <x:c r="AC100" s="137" t="b">
        <x:f>IF($A100="",FALSE,OR(T100=$A100,U100=$A100,V100=$A100,W100=$A100,X100=$A100,Y100=$A100,Z100=$A100))</x:f>
        <x:v>0</x:v>
      </x:c>
      <x:c r="AD100" s="144" t="n">
        <x:f>IF(AA100=0,0,MAX(IFERROR(INDEX(TasksTable[Start Date],MATCH(T100,TasksTable[Task ID],0)),0),IFERROR(INDEX(TasksTable[Start Date],MATCH(U100,TasksTable[Task ID],0)),0),IFERROR(INDEX(TasksTable[Start Date],MATCH(V100,TasksTable[Task ID],0)),0),IFERROR(INDEX(TasksTable[Start Date],MATCH(W100,TasksTable[Task ID],0)),0),IFERROR(INDEX(TasksTable[Start Date],MATCH(X100,TasksTable[Task ID],0)),0),IFERROR(INDEX(TasksTable[Start Date],MATCH(Y100,TasksTable[Task ID],0)),0),IFERROR(INDEX(TasksTable[Start Date],MATCH(Z100,TasksTable[Task ID],0)),0)))</x:f>
        <x:v>0</x:v>
      </x:c>
      <x:c r="AE100" s="144" t="n">
        <x:f>IF(AA100=0,0,MAX(IFERROR(INDEX(TasksTable[End Date],MATCH(T100,TasksTable[Task ID],0)),0),IFERROR(INDEX(TasksTable[End Date],MATCH(U100,TasksTable[Task ID],0)),0),IFERROR(INDEX(TasksTable[End Date],MATCH(V100,TasksTable[Task ID],0)),0),IFERROR(INDEX(TasksTable[End Date],MATCH(W100,TasksTable[Task ID],0)),0),IFERROR(INDEX(TasksTable[End Date],MATCH(X100,TasksTable[Task ID],0)),0),IFERROR(INDEX(TasksTable[End Date],MATCH(Y100,TasksTable[Task ID],0)),0),IFERROR(INDEX(TasksTable[End Date],MATCH(Z100,TasksTable[Task ID],0)),0)))</x:f>
        <x:v>0</x:v>
      </x:c>
      <x:c r="AF100" s="137" t="b">
        <x:f>IF(OR($A100="",AA100=0),FALSE,SWITCH($J100,"FS",$F100&lt;AE100,"SS",$F100&lt;AD100,"FF",$G100&lt;AE100,"SF",$G100&lt;AD100,TRUE))</x:f>
        <x:v>0</x:v>
      </x:c>
      <x:c r="AG100" s="137" t="str">
        <x:f>IF(AND($A100&lt;&gt;"",$K100="No",$N100&lt;&gt;"Completed",$F100&gt;=TODAY()),$F100+ROW()/100000,"")</x:f>
      </x:c>
      <x:c r="AH100" s="137" t="str">
        <x:f>IF(AND($A100&lt;&gt;"",$K100="Yes",$N100&lt;&gt;"Completed",$F100&gt;=TODAY()),$F100+ROW()/100000,"")</x:f>
      </x:c>
      <x:c r="AI100" s="137" t="str">
        <x:f>IF(AND($A100&lt;&gt;"",$K100="No",$N100&lt;&gt;"Completed",$G100&gt;=TODAY(),$G100&lt;=TODAY()+3),$G100+ROW()/100000,"")</x:f>
      </x:c>
      <x:c r="AJ100" s="137" t="str">
        <x:f>IF(AND($A100&lt;&gt;"",$K100="No",OR($N100="Delayed",$P100="Dependency conflict")),$G100+ROW()/100000,"")</x:f>
      </x:c>
      <x:c r="AK100" s="137" t="str">
        <x:f>IF(AG100="","",COUNTIFS($AG$7:$AG$206,"&gt;0",$AG$7:$AG$206,"&lt;"&amp;AG100)+1)</x:f>
      </x:c>
      <x:c r="AL100" s="137" t="str">
        <x:f>IF(AH100="","",COUNTIFS($AH$7:$AH$206,"&gt;0",$AH$7:$AH$206,"&lt;"&amp;AH100)+1)</x:f>
      </x:c>
      <x:c r="AM100" s="137" t="str">
        <x:f>IF(AI100="","",COUNTIFS($AI$7:$AI$206,"&gt;0",$AI$7:$AI$206,"&lt;"&amp;AI100)+1)</x:f>
      </x:c>
      <x:c r="AN100" s="137" t="str">
        <x:f>IF(AJ100="","",COUNTIFS($AJ$7:$AJ$206,"&gt;0",$AJ$7:$AJ$206,"&lt;"&amp;AJ100)+1)</x:f>
      </x:c>
    </x:row>
    <x:row r="101">
      <x:c r="T101" s="137" t="str">
        <x:f>IF($A101="","",TRIM(MID(SUBSTITUTE(SUBSTITUTE(TRIM($I101)," ",""),",",REPT(" ",100)),1,100)))</x:f>
      </x:c>
      <x:c r="U101" s="137" t="str">
        <x:f>IF($A101="","",TRIM(MID(SUBSTITUTE(SUBSTITUTE(TRIM($I101)," ",""),",",REPT(" ",100)),101,100)))</x:f>
      </x:c>
      <x:c r="V101" s="137" t="str">
        <x:f>IF($A101="","",TRIM(MID(SUBSTITUTE(SUBSTITUTE(TRIM($I101)," ",""),",",REPT(" ",100)),201,100)))</x:f>
      </x:c>
      <x:c r="W101" s="137" t="str">
        <x:f>IF($A101="","",TRIM(MID(SUBSTITUTE(SUBSTITUTE(TRIM($I101)," ",""),",",REPT(" ",100)),301,100)))</x:f>
      </x:c>
      <x:c r="X101" s="137" t="str">
        <x:f>IF($A101="","",TRIM(MID(SUBSTITUTE(SUBSTITUTE(TRIM($I101)," ",""),",",REPT(" ",100)),401,100)))</x:f>
      </x:c>
      <x:c r="Y101" s="137" t="str">
        <x:f>IF($A101="","",TRIM(MID(SUBSTITUTE(SUBSTITUTE(TRIM($I101)," ",""),",",REPT(" ",100)),501,100)))</x:f>
      </x:c>
      <x:c r="Z101" s="137" t="str">
        <x:f>IF($A101="","",TRIM(MID(SUBSTITUTE(SUBSTITUTE(TRIM($I101)," ",""),",",REPT(" ",100)),601,100)))</x:f>
      </x:c>
      <x:c r="AA101" s="137" t="str">
        <x:f>IF($A101="","",IF(SUBSTITUTE(TRIM($I101)," ","")="",0,1+LEN(SUBSTITUTE(TRIM($I101)," ",""))-LEN(SUBSTITUTE(SUBSTITUTE(TRIM($I101)," ",""),",",""))))</x:f>
      </x:c>
      <x:c r="AB101" s="137" t="str">
        <x:f>IF($A101="","",COUNTIF(TasksTable[Task ID],T101)+COUNTIF(TasksTable[Task ID],U101)+COUNTIF(TasksTable[Task ID],V101)+COUNTIF(TasksTable[Task ID],W101)+COUNTIF(TasksTable[Task ID],X101)+COUNTIF(TasksTable[Task ID],Y101)+COUNTIF(TasksTable[Task ID],Z101))</x:f>
      </x:c>
      <x:c r="AC101" s="137" t="b">
        <x:f>IF($A101="",FALSE,OR(T101=$A101,U101=$A101,V101=$A101,W101=$A101,X101=$A101,Y101=$A101,Z101=$A101))</x:f>
        <x:v>0</x:v>
      </x:c>
      <x:c r="AD101" s="144" t="n">
        <x:f>IF(AA101=0,0,MAX(IFERROR(INDEX(TasksTable[Start Date],MATCH(T101,TasksTable[Task ID],0)),0),IFERROR(INDEX(TasksTable[Start Date],MATCH(U101,TasksTable[Task ID],0)),0),IFERROR(INDEX(TasksTable[Start Date],MATCH(V101,TasksTable[Task ID],0)),0),IFERROR(INDEX(TasksTable[Start Date],MATCH(W101,TasksTable[Task ID],0)),0),IFERROR(INDEX(TasksTable[Start Date],MATCH(X101,TasksTable[Task ID],0)),0),IFERROR(INDEX(TasksTable[Start Date],MATCH(Y101,TasksTable[Task ID],0)),0),IFERROR(INDEX(TasksTable[Start Date],MATCH(Z101,TasksTable[Task ID],0)),0)))</x:f>
        <x:v>0</x:v>
      </x:c>
      <x:c r="AE101" s="144" t="n">
        <x:f>IF(AA101=0,0,MAX(IFERROR(INDEX(TasksTable[End Date],MATCH(T101,TasksTable[Task ID],0)),0),IFERROR(INDEX(TasksTable[End Date],MATCH(U101,TasksTable[Task ID],0)),0),IFERROR(INDEX(TasksTable[End Date],MATCH(V101,TasksTable[Task ID],0)),0),IFERROR(INDEX(TasksTable[End Date],MATCH(W101,TasksTable[Task ID],0)),0),IFERROR(INDEX(TasksTable[End Date],MATCH(X101,TasksTable[Task ID],0)),0),IFERROR(INDEX(TasksTable[End Date],MATCH(Y101,TasksTable[Task ID],0)),0),IFERROR(INDEX(TasksTable[End Date],MATCH(Z101,TasksTable[Task ID],0)),0)))</x:f>
        <x:v>0</x:v>
      </x:c>
      <x:c r="AF101" s="137" t="b">
        <x:f>IF(OR($A101="",AA101=0),FALSE,SWITCH($J101,"FS",$F101&lt;AE101,"SS",$F101&lt;AD101,"FF",$G101&lt;AE101,"SF",$G101&lt;AD101,TRUE))</x:f>
        <x:v>0</x:v>
      </x:c>
      <x:c r="AG101" s="137" t="str">
        <x:f>IF(AND($A101&lt;&gt;"",$K101="No",$N101&lt;&gt;"Completed",$F101&gt;=TODAY()),$F101+ROW()/100000,"")</x:f>
      </x:c>
      <x:c r="AH101" s="137" t="str">
        <x:f>IF(AND($A101&lt;&gt;"",$K101="Yes",$N101&lt;&gt;"Completed",$F101&gt;=TODAY()),$F101+ROW()/100000,"")</x:f>
      </x:c>
      <x:c r="AI101" s="137" t="str">
        <x:f>IF(AND($A101&lt;&gt;"",$K101="No",$N101&lt;&gt;"Completed",$G101&gt;=TODAY(),$G101&lt;=TODAY()+3),$G101+ROW()/100000,"")</x:f>
      </x:c>
      <x:c r="AJ101" s="137" t="str">
        <x:f>IF(AND($A101&lt;&gt;"",$K101="No",OR($N101="Delayed",$P101="Dependency conflict")),$G101+ROW()/100000,"")</x:f>
      </x:c>
      <x:c r="AK101" s="137" t="str">
        <x:f>IF(AG101="","",COUNTIFS($AG$7:$AG$206,"&gt;0",$AG$7:$AG$206,"&lt;"&amp;AG101)+1)</x:f>
      </x:c>
      <x:c r="AL101" s="137" t="str">
        <x:f>IF(AH101="","",COUNTIFS($AH$7:$AH$206,"&gt;0",$AH$7:$AH$206,"&lt;"&amp;AH101)+1)</x:f>
      </x:c>
      <x:c r="AM101" s="137" t="str">
        <x:f>IF(AI101="","",COUNTIFS($AI$7:$AI$206,"&gt;0",$AI$7:$AI$206,"&lt;"&amp;AI101)+1)</x:f>
      </x:c>
      <x:c r="AN101" s="137" t="str">
        <x:f>IF(AJ101="","",COUNTIFS($AJ$7:$AJ$206,"&gt;0",$AJ$7:$AJ$206,"&lt;"&amp;AJ101)+1)</x:f>
      </x:c>
    </x:row>
    <x:row r="102">
      <x:c r="T102" s="137" t="str">
        <x:f>IF($A102="","",TRIM(MID(SUBSTITUTE(SUBSTITUTE(TRIM($I102)," ",""),",",REPT(" ",100)),1,100)))</x:f>
      </x:c>
      <x:c r="U102" s="137" t="str">
        <x:f>IF($A102="","",TRIM(MID(SUBSTITUTE(SUBSTITUTE(TRIM($I102)," ",""),",",REPT(" ",100)),101,100)))</x:f>
      </x:c>
      <x:c r="V102" s="137" t="str">
        <x:f>IF($A102="","",TRIM(MID(SUBSTITUTE(SUBSTITUTE(TRIM($I102)," ",""),",",REPT(" ",100)),201,100)))</x:f>
      </x:c>
      <x:c r="W102" s="137" t="str">
        <x:f>IF($A102="","",TRIM(MID(SUBSTITUTE(SUBSTITUTE(TRIM($I102)," ",""),",",REPT(" ",100)),301,100)))</x:f>
      </x:c>
      <x:c r="X102" s="137" t="str">
        <x:f>IF($A102="","",TRIM(MID(SUBSTITUTE(SUBSTITUTE(TRIM($I102)," ",""),",",REPT(" ",100)),401,100)))</x:f>
      </x:c>
      <x:c r="Y102" s="137" t="str">
        <x:f>IF($A102="","",TRIM(MID(SUBSTITUTE(SUBSTITUTE(TRIM($I102)," ",""),",",REPT(" ",100)),501,100)))</x:f>
      </x:c>
      <x:c r="Z102" s="137" t="str">
        <x:f>IF($A102="","",TRIM(MID(SUBSTITUTE(SUBSTITUTE(TRIM($I102)," ",""),",",REPT(" ",100)),601,100)))</x:f>
      </x:c>
      <x:c r="AA102" s="137" t="str">
        <x:f>IF($A102="","",IF(SUBSTITUTE(TRIM($I102)," ","")="",0,1+LEN(SUBSTITUTE(TRIM($I102)," ",""))-LEN(SUBSTITUTE(SUBSTITUTE(TRIM($I102)," ",""),",",""))))</x:f>
      </x:c>
      <x:c r="AB102" s="137" t="str">
        <x:f>IF($A102="","",COUNTIF(TasksTable[Task ID],T102)+COUNTIF(TasksTable[Task ID],U102)+COUNTIF(TasksTable[Task ID],V102)+COUNTIF(TasksTable[Task ID],W102)+COUNTIF(TasksTable[Task ID],X102)+COUNTIF(TasksTable[Task ID],Y102)+COUNTIF(TasksTable[Task ID],Z102))</x:f>
      </x:c>
      <x:c r="AC102" s="137" t="b">
        <x:f>IF($A102="",FALSE,OR(T102=$A102,U102=$A102,V102=$A102,W102=$A102,X102=$A102,Y102=$A102,Z102=$A102))</x:f>
        <x:v>0</x:v>
      </x:c>
      <x:c r="AD102" s="144" t="n">
        <x:f>IF(AA102=0,0,MAX(IFERROR(INDEX(TasksTable[Start Date],MATCH(T102,TasksTable[Task ID],0)),0),IFERROR(INDEX(TasksTable[Start Date],MATCH(U102,TasksTable[Task ID],0)),0),IFERROR(INDEX(TasksTable[Start Date],MATCH(V102,TasksTable[Task ID],0)),0),IFERROR(INDEX(TasksTable[Start Date],MATCH(W102,TasksTable[Task ID],0)),0),IFERROR(INDEX(TasksTable[Start Date],MATCH(X102,TasksTable[Task ID],0)),0),IFERROR(INDEX(TasksTable[Start Date],MATCH(Y102,TasksTable[Task ID],0)),0),IFERROR(INDEX(TasksTable[Start Date],MATCH(Z102,TasksTable[Task ID],0)),0)))</x:f>
        <x:v>0</x:v>
      </x:c>
      <x:c r="AE102" s="144" t="n">
        <x:f>IF(AA102=0,0,MAX(IFERROR(INDEX(TasksTable[End Date],MATCH(T102,TasksTable[Task ID],0)),0),IFERROR(INDEX(TasksTable[End Date],MATCH(U102,TasksTable[Task ID],0)),0),IFERROR(INDEX(TasksTable[End Date],MATCH(V102,TasksTable[Task ID],0)),0),IFERROR(INDEX(TasksTable[End Date],MATCH(W102,TasksTable[Task ID],0)),0),IFERROR(INDEX(TasksTable[End Date],MATCH(X102,TasksTable[Task ID],0)),0),IFERROR(INDEX(TasksTable[End Date],MATCH(Y102,TasksTable[Task ID],0)),0),IFERROR(INDEX(TasksTable[End Date],MATCH(Z102,TasksTable[Task ID],0)),0)))</x:f>
        <x:v>0</x:v>
      </x:c>
      <x:c r="AF102" s="137" t="b">
        <x:f>IF(OR($A102="",AA102=0),FALSE,SWITCH($J102,"FS",$F102&lt;AE102,"SS",$F102&lt;AD102,"FF",$G102&lt;AE102,"SF",$G102&lt;AD102,TRUE))</x:f>
        <x:v>0</x:v>
      </x:c>
      <x:c r="AG102" s="137" t="str">
        <x:f>IF(AND($A102&lt;&gt;"",$K102="No",$N102&lt;&gt;"Completed",$F102&gt;=TODAY()),$F102+ROW()/100000,"")</x:f>
      </x:c>
      <x:c r="AH102" s="137" t="str">
        <x:f>IF(AND($A102&lt;&gt;"",$K102="Yes",$N102&lt;&gt;"Completed",$F102&gt;=TODAY()),$F102+ROW()/100000,"")</x:f>
      </x:c>
      <x:c r="AI102" s="137" t="str">
        <x:f>IF(AND($A102&lt;&gt;"",$K102="No",$N102&lt;&gt;"Completed",$G102&gt;=TODAY(),$G102&lt;=TODAY()+3),$G102+ROW()/100000,"")</x:f>
      </x:c>
      <x:c r="AJ102" s="137" t="str">
        <x:f>IF(AND($A102&lt;&gt;"",$K102="No",OR($N102="Delayed",$P102="Dependency conflict")),$G102+ROW()/100000,"")</x:f>
      </x:c>
      <x:c r="AK102" s="137" t="str">
        <x:f>IF(AG102="","",COUNTIFS($AG$7:$AG$206,"&gt;0",$AG$7:$AG$206,"&lt;"&amp;AG102)+1)</x:f>
      </x:c>
      <x:c r="AL102" s="137" t="str">
        <x:f>IF(AH102="","",COUNTIFS($AH$7:$AH$206,"&gt;0",$AH$7:$AH$206,"&lt;"&amp;AH102)+1)</x:f>
      </x:c>
      <x:c r="AM102" s="137" t="str">
        <x:f>IF(AI102="","",COUNTIFS($AI$7:$AI$206,"&gt;0",$AI$7:$AI$206,"&lt;"&amp;AI102)+1)</x:f>
      </x:c>
      <x:c r="AN102" s="137" t="str">
        <x:f>IF(AJ102="","",COUNTIFS($AJ$7:$AJ$206,"&gt;0",$AJ$7:$AJ$206,"&lt;"&amp;AJ102)+1)</x:f>
      </x:c>
    </x:row>
    <x:row r="103">
      <x:c r="T103" s="137" t="str">
        <x:f>IF($A103="","",TRIM(MID(SUBSTITUTE(SUBSTITUTE(TRIM($I103)," ",""),",",REPT(" ",100)),1,100)))</x:f>
      </x:c>
      <x:c r="U103" s="137" t="str">
        <x:f>IF($A103="","",TRIM(MID(SUBSTITUTE(SUBSTITUTE(TRIM($I103)," ",""),",",REPT(" ",100)),101,100)))</x:f>
      </x:c>
      <x:c r="V103" s="137" t="str">
        <x:f>IF($A103="","",TRIM(MID(SUBSTITUTE(SUBSTITUTE(TRIM($I103)," ",""),",",REPT(" ",100)),201,100)))</x:f>
      </x:c>
      <x:c r="W103" s="137" t="str">
        <x:f>IF($A103="","",TRIM(MID(SUBSTITUTE(SUBSTITUTE(TRIM($I103)," ",""),",",REPT(" ",100)),301,100)))</x:f>
      </x:c>
      <x:c r="X103" s="137" t="str">
        <x:f>IF($A103="","",TRIM(MID(SUBSTITUTE(SUBSTITUTE(TRIM($I103)," ",""),",",REPT(" ",100)),401,100)))</x:f>
      </x:c>
      <x:c r="Y103" s="137" t="str">
        <x:f>IF($A103="","",TRIM(MID(SUBSTITUTE(SUBSTITUTE(TRIM($I103)," ",""),",",REPT(" ",100)),501,100)))</x:f>
      </x:c>
      <x:c r="Z103" s="137" t="str">
        <x:f>IF($A103="","",TRIM(MID(SUBSTITUTE(SUBSTITUTE(TRIM($I103)," ",""),",",REPT(" ",100)),601,100)))</x:f>
      </x:c>
      <x:c r="AA103" s="137" t="str">
        <x:f>IF($A103="","",IF(SUBSTITUTE(TRIM($I103)," ","")="",0,1+LEN(SUBSTITUTE(TRIM($I103)," ",""))-LEN(SUBSTITUTE(SUBSTITUTE(TRIM($I103)," ",""),",",""))))</x:f>
      </x:c>
      <x:c r="AB103" s="137" t="str">
        <x:f>IF($A103="","",COUNTIF(TasksTable[Task ID],T103)+COUNTIF(TasksTable[Task ID],U103)+COUNTIF(TasksTable[Task ID],V103)+COUNTIF(TasksTable[Task ID],W103)+COUNTIF(TasksTable[Task ID],X103)+COUNTIF(TasksTable[Task ID],Y103)+COUNTIF(TasksTable[Task ID],Z103))</x:f>
      </x:c>
      <x:c r="AC103" s="137" t="b">
        <x:f>IF($A103="",FALSE,OR(T103=$A103,U103=$A103,V103=$A103,W103=$A103,X103=$A103,Y103=$A103,Z103=$A103))</x:f>
        <x:v>0</x:v>
      </x:c>
      <x:c r="AD103" s="144" t="n">
        <x:f>IF(AA103=0,0,MAX(IFERROR(INDEX(TasksTable[Start Date],MATCH(T103,TasksTable[Task ID],0)),0),IFERROR(INDEX(TasksTable[Start Date],MATCH(U103,TasksTable[Task ID],0)),0),IFERROR(INDEX(TasksTable[Start Date],MATCH(V103,TasksTable[Task ID],0)),0),IFERROR(INDEX(TasksTable[Start Date],MATCH(W103,TasksTable[Task ID],0)),0),IFERROR(INDEX(TasksTable[Start Date],MATCH(X103,TasksTable[Task ID],0)),0),IFERROR(INDEX(TasksTable[Start Date],MATCH(Y103,TasksTable[Task ID],0)),0),IFERROR(INDEX(TasksTable[Start Date],MATCH(Z103,TasksTable[Task ID],0)),0)))</x:f>
        <x:v>0</x:v>
      </x:c>
      <x:c r="AE103" s="144" t="n">
        <x:f>IF(AA103=0,0,MAX(IFERROR(INDEX(TasksTable[End Date],MATCH(T103,TasksTable[Task ID],0)),0),IFERROR(INDEX(TasksTable[End Date],MATCH(U103,TasksTable[Task ID],0)),0),IFERROR(INDEX(TasksTable[End Date],MATCH(V103,TasksTable[Task ID],0)),0),IFERROR(INDEX(TasksTable[End Date],MATCH(W103,TasksTable[Task ID],0)),0),IFERROR(INDEX(TasksTable[End Date],MATCH(X103,TasksTable[Task ID],0)),0),IFERROR(INDEX(TasksTable[End Date],MATCH(Y103,TasksTable[Task ID],0)),0),IFERROR(INDEX(TasksTable[End Date],MATCH(Z103,TasksTable[Task ID],0)),0)))</x:f>
        <x:v>0</x:v>
      </x:c>
      <x:c r="AF103" s="137" t="b">
        <x:f>IF(OR($A103="",AA103=0),FALSE,SWITCH($J103,"FS",$F103&lt;AE103,"SS",$F103&lt;AD103,"FF",$G103&lt;AE103,"SF",$G103&lt;AD103,TRUE))</x:f>
        <x:v>0</x:v>
      </x:c>
      <x:c r="AG103" s="137" t="str">
        <x:f>IF(AND($A103&lt;&gt;"",$K103="No",$N103&lt;&gt;"Completed",$F103&gt;=TODAY()),$F103+ROW()/100000,"")</x:f>
      </x:c>
      <x:c r="AH103" s="137" t="str">
        <x:f>IF(AND($A103&lt;&gt;"",$K103="Yes",$N103&lt;&gt;"Completed",$F103&gt;=TODAY()),$F103+ROW()/100000,"")</x:f>
      </x:c>
      <x:c r="AI103" s="137" t="str">
        <x:f>IF(AND($A103&lt;&gt;"",$K103="No",$N103&lt;&gt;"Completed",$G103&gt;=TODAY(),$G103&lt;=TODAY()+3),$G103+ROW()/100000,"")</x:f>
      </x:c>
      <x:c r="AJ103" s="137" t="str">
        <x:f>IF(AND($A103&lt;&gt;"",$K103="No",OR($N103="Delayed",$P103="Dependency conflict")),$G103+ROW()/100000,"")</x:f>
      </x:c>
      <x:c r="AK103" s="137" t="str">
        <x:f>IF(AG103="","",COUNTIFS($AG$7:$AG$206,"&gt;0",$AG$7:$AG$206,"&lt;"&amp;AG103)+1)</x:f>
      </x:c>
      <x:c r="AL103" s="137" t="str">
        <x:f>IF(AH103="","",COUNTIFS($AH$7:$AH$206,"&gt;0",$AH$7:$AH$206,"&lt;"&amp;AH103)+1)</x:f>
      </x:c>
      <x:c r="AM103" s="137" t="str">
        <x:f>IF(AI103="","",COUNTIFS($AI$7:$AI$206,"&gt;0",$AI$7:$AI$206,"&lt;"&amp;AI103)+1)</x:f>
      </x:c>
      <x:c r="AN103" s="137" t="str">
        <x:f>IF(AJ103="","",COUNTIFS($AJ$7:$AJ$206,"&gt;0",$AJ$7:$AJ$206,"&lt;"&amp;AJ103)+1)</x:f>
      </x:c>
    </x:row>
    <x:row r="104">
      <x:c r="T104" s="137" t="str">
        <x:f>IF($A104="","",TRIM(MID(SUBSTITUTE(SUBSTITUTE(TRIM($I104)," ",""),",",REPT(" ",100)),1,100)))</x:f>
      </x:c>
      <x:c r="U104" s="137" t="str">
        <x:f>IF($A104="","",TRIM(MID(SUBSTITUTE(SUBSTITUTE(TRIM($I104)," ",""),",",REPT(" ",100)),101,100)))</x:f>
      </x:c>
      <x:c r="V104" s="137" t="str">
        <x:f>IF($A104="","",TRIM(MID(SUBSTITUTE(SUBSTITUTE(TRIM($I104)," ",""),",",REPT(" ",100)),201,100)))</x:f>
      </x:c>
      <x:c r="W104" s="137" t="str">
        <x:f>IF($A104="","",TRIM(MID(SUBSTITUTE(SUBSTITUTE(TRIM($I104)," ",""),",",REPT(" ",100)),301,100)))</x:f>
      </x:c>
      <x:c r="X104" s="137" t="str">
        <x:f>IF($A104="","",TRIM(MID(SUBSTITUTE(SUBSTITUTE(TRIM($I104)," ",""),",",REPT(" ",100)),401,100)))</x:f>
      </x:c>
      <x:c r="Y104" s="137" t="str">
        <x:f>IF($A104="","",TRIM(MID(SUBSTITUTE(SUBSTITUTE(TRIM($I104)," ",""),",",REPT(" ",100)),501,100)))</x:f>
      </x:c>
      <x:c r="Z104" s="137" t="str">
        <x:f>IF($A104="","",TRIM(MID(SUBSTITUTE(SUBSTITUTE(TRIM($I104)," ",""),",",REPT(" ",100)),601,100)))</x:f>
      </x:c>
      <x:c r="AA104" s="137" t="str">
        <x:f>IF($A104="","",IF(SUBSTITUTE(TRIM($I104)," ","")="",0,1+LEN(SUBSTITUTE(TRIM($I104)," ",""))-LEN(SUBSTITUTE(SUBSTITUTE(TRIM($I104)," ",""),",",""))))</x:f>
      </x:c>
      <x:c r="AB104" s="137" t="str">
        <x:f>IF($A104="","",COUNTIF(TasksTable[Task ID],T104)+COUNTIF(TasksTable[Task ID],U104)+COUNTIF(TasksTable[Task ID],V104)+COUNTIF(TasksTable[Task ID],W104)+COUNTIF(TasksTable[Task ID],X104)+COUNTIF(TasksTable[Task ID],Y104)+COUNTIF(TasksTable[Task ID],Z104))</x:f>
      </x:c>
      <x:c r="AC104" s="137" t="b">
        <x:f>IF($A104="",FALSE,OR(T104=$A104,U104=$A104,V104=$A104,W104=$A104,X104=$A104,Y104=$A104,Z104=$A104))</x:f>
        <x:v>0</x:v>
      </x:c>
      <x:c r="AD104" s="144" t="n">
        <x:f>IF(AA104=0,0,MAX(IFERROR(INDEX(TasksTable[Start Date],MATCH(T104,TasksTable[Task ID],0)),0),IFERROR(INDEX(TasksTable[Start Date],MATCH(U104,TasksTable[Task ID],0)),0),IFERROR(INDEX(TasksTable[Start Date],MATCH(V104,TasksTable[Task ID],0)),0),IFERROR(INDEX(TasksTable[Start Date],MATCH(W104,TasksTable[Task ID],0)),0),IFERROR(INDEX(TasksTable[Start Date],MATCH(X104,TasksTable[Task ID],0)),0),IFERROR(INDEX(TasksTable[Start Date],MATCH(Y104,TasksTable[Task ID],0)),0),IFERROR(INDEX(TasksTable[Start Date],MATCH(Z104,TasksTable[Task ID],0)),0)))</x:f>
        <x:v>0</x:v>
      </x:c>
      <x:c r="AE104" s="144" t="n">
        <x:f>IF(AA104=0,0,MAX(IFERROR(INDEX(TasksTable[End Date],MATCH(T104,TasksTable[Task ID],0)),0),IFERROR(INDEX(TasksTable[End Date],MATCH(U104,TasksTable[Task ID],0)),0),IFERROR(INDEX(TasksTable[End Date],MATCH(V104,TasksTable[Task ID],0)),0),IFERROR(INDEX(TasksTable[End Date],MATCH(W104,TasksTable[Task ID],0)),0),IFERROR(INDEX(TasksTable[End Date],MATCH(X104,TasksTable[Task ID],0)),0),IFERROR(INDEX(TasksTable[End Date],MATCH(Y104,TasksTable[Task ID],0)),0),IFERROR(INDEX(TasksTable[End Date],MATCH(Z104,TasksTable[Task ID],0)),0)))</x:f>
        <x:v>0</x:v>
      </x:c>
      <x:c r="AF104" s="137" t="b">
        <x:f>IF(OR($A104="",AA104=0),FALSE,SWITCH($J104,"FS",$F104&lt;AE104,"SS",$F104&lt;AD104,"FF",$G104&lt;AE104,"SF",$G104&lt;AD104,TRUE))</x:f>
        <x:v>0</x:v>
      </x:c>
      <x:c r="AG104" s="137" t="str">
        <x:f>IF(AND($A104&lt;&gt;"",$K104="No",$N104&lt;&gt;"Completed",$F104&gt;=TODAY()),$F104+ROW()/100000,"")</x:f>
      </x:c>
      <x:c r="AH104" s="137" t="str">
        <x:f>IF(AND($A104&lt;&gt;"",$K104="Yes",$N104&lt;&gt;"Completed",$F104&gt;=TODAY()),$F104+ROW()/100000,"")</x:f>
      </x:c>
      <x:c r="AI104" s="137" t="str">
        <x:f>IF(AND($A104&lt;&gt;"",$K104="No",$N104&lt;&gt;"Completed",$G104&gt;=TODAY(),$G104&lt;=TODAY()+3),$G104+ROW()/100000,"")</x:f>
      </x:c>
      <x:c r="AJ104" s="137" t="str">
        <x:f>IF(AND($A104&lt;&gt;"",$K104="No",OR($N104="Delayed",$P104="Dependency conflict")),$G104+ROW()/100000,"")</x:f>
      </x:c>
      <x:c r="AK104" s="137" t="str">
        <x:f>IF(AG104="","",COUNTIFS($AG$7:$AG$206,"&gt;0",$AG$7:$AG$206,"&lt;"&amp;AG104)+1)</x:f>
      </x:c>
      <x:c r="AL104" s="137" t="str">
        <x:f>IF(AH104="","",COUNTIFS($AH$7:$AH$206,"&gt;0",$AH$7:$AH$206,"&lt;"&amp;AH104)+1)</x:f>
      </x:c>
      <x:c r="AM104" s="137" t="str">
        <x:f>IF(AI104="","",COUNTIFS($AI$7:$AI$206,"&gt;0",$AI$7:$AI$206,"&lt;"&amp;AI104)+1)</x:f>
      </x:c>
      <x:c r="AN104" s="137" t="str">
        <x:f>IF(AJ104="","",COUNTIFS($AJ$7:$AJ$206,"&gt;0",$AJ$7:$AJ$206,"&lt;"&amp;AJ104)+1)</x:f>
      </x:c>
    </x:row>
    <x:row r="105">
      <x:c r="T105" s="137" t="str">
        <x:f>IF($A105="","",TRIM(MID(SUBSTITUTE(SUBSTITUTE(TRIM($I105)," ",""),",",REPT(" ",100)),1,100)))</x:f>
      </x:c>
      <x:c r="U105" s="137" t="str">
        <x:f>IF($A105="","",TRIM(MID(SUBSTITUTE(SUBSTITUTE(TRIM($I105)," ",""),",",REPT(" ",100)),101,100)))</x:f>
      </x:c>
      <x:c r="V105" s="137" t="str">
        <x:f>IF($A105="","",TRIM(MID(SUBSTITUTE(SUBSTITUTE(TRIM($I105)," ",""),",",REPT(" ",100)),201,100)))</x:f>
      </x:c>
      <x:c r="W105" s="137" t="str">
        <x:f>IF($A105="","",TRIM(MID(SUBSTITUTE(SUBSTITUTE(TRIM($I105)," ",""),",",REPT(" ",100)),301,100)))</x:f>
      </x:c>
      <x:c r="X105" s="137" t="str">
        <x:f>IF($A105="","",TRIM(MID(SUBSTITUTE(SUBSTITUTE(TRIM($I105)," ",""),",",REPT(" ",100)),401,100)))</x:f>
      </x:c>
      <x:c r="Y105" s="137" t="str">
        <x:f>IF($A105="","",TRIM(MID(SUBSTITUTE(SUBSTITUTE(TRIM($I105)," ",""),",",REPT(" ",100)),501,100)))</x:f>
      </x:c>
      <x:c r="Z105" s="137" t="str">
        <x:f>IF($A105="","",TRIM(MID(SUBSTITUTE(SUBSTITUTE(TRIM($I105)," ",""),",",REPT(" ",100)),601,100)))</x:f>
      </x:c>
      <x:c r="AA105" s="137" t="str">
        <x:f>IF($A105="","",IF(SUBSTITUTE(TRIM($I105)," ","")="",0,1+LEN(SUBSTITUTE(TRIM($I105)," ",""))-LEN(SUBSTITUTE(SUBSTITUTE(TRIM($I105)," ",""),",",""))))</x:f>
      </x:c>
      <x:c r="AB105" s="137" t="str">
        <x:f>IF($A105="","",COUNTIF(TasksTable[Task ID],T105)+COUNTIF(TasksTable[Task ID],U105)+COUNTIF(TasksTable[Task ID],V105)+COUNTIF(TasksTable[Task ID],W105)+COUNTIF(TasksTable[Task ID],X105)+COUNTIF(TasksTable[Task ID],Y105)+COUNTIF(TasksTable[Task ID],Z105))</x:f>
      </x:c>
      <x:c r="AC105" s="137" t="b">
        <x:f>IF($A105="",FALSE,OR(T105=$A105,U105=$A105,V105=$A105,W105=$A105,X105=$A105,Y105=$A105,Z105=$A105))</x:f>
        <x:v>0</x:v>
      </x:c>
      <x:c r="AD105" s="144" t="n">
        <x:f>IF(AA105=0,0,MAX(IFERROR(INDEX(TasksTable[Start Date],MATCH(T105,TasksTable[Task ID],0)),0),IFERROR(INDEX(TasksTable[Start Date],MATCH(U105,TasksTable[Task ID],0)),0),IFERROR(INDEX(TasksTable[Start Date],MATCH(V105,TasksTable[Task ID],0)),0),IFERROR(INDEX(TasksTable[Start Date],MATCH(W105,TasksTable[Task ID],0)),0),IFERROR(INDEX(TasksTable[Start Date],MATCH(X105,TasksTable[Task ID],0)),0),IFERROR(INDEX(TasksTable[Start Date],MATCH(Y105,TasksTable[Task ID],0)),0),IFERROR(INDEX(TasksTable[Start Date],MATCH(Z105,TasksTable[Task ID],0)),0)))</x:f>
        <x:v>0</x:v>
      </x:c>
      <x:c r="AE105" s="144" t="n">
        <x:f>IF(AA105=0,0,MAX(IFERROR(INDEX(TasksTable[End Date],MATCH(T105,TasksTable[Task ID],0)),0),IFERROR(INDEX(TasksTable[End Date],MATCH(U105,TasksTable[Task ID],0)),0),IFERROR(INDEX(TasksTable[End Date],MATCH(V105,TasksTable[Task ID],0)),0),IFERROR(INDEX(TasksTable[End Date],MATCH(W105,TasksTable[Task ID],0)),0),IFERROR(INDEX(TasksTable[End Date],MATCH(X105,TasksTable[Task ID],0)),0),IFERROR(INDEX(TasksTable[End Date],MATCH(Y105,TasksTable[Task ID],0)),0),IFERROR(INDEX(TasksTable[End Date],MATCH(Z105,TasksTable[Task ID],0)),0)))</x:f>
        <x:v>0</x:v>
      </x:c>
      <x:c r="AF105" s="137" t="b">
        <x:f>IF(OR($A105="",AA105=0),FALSE,SWITCH($J105,"FS",$F105&lt;AE105,"SS",$F105&lt;AD105,"FF",$G105&lt;AE105,"SF",$G105&lt;AD105,TRUE))</x:f>
        <x:v>0</x:v>
      </x:c>
      <x:c r="AG105" s="137" t="str">
        <x:f>IF(AND($A105&lt;&gt;"",$K105="No",$N105&lt;&gt;"Completed",$F105&gt;=TODAY()),$F105+ROW()/100000,"")</x:f>
      </x:c>
      <x:c r="AH105" s="137" t="str">
        <x:f>IF(AND($A105&lt;&gt;"",$K105="Yes",$N105&lt;&gt;"Completed",$F105&gt;=TODAY()),$F105+ROW()/100000,"")</x:f>
      </x:c>
      <x:c r="AI105" s="137" t="str">
        <x:f>IF(AND($A105&lt;&gt;"",$K105="No",$N105&lt;&gt;"Completed",$G105&gt;=TODAY(),$G105&lt;=TODAY()+3),$G105+ROW()/100000,"")</x:f>
      </x:c>
      <x:c r="AJ105" s="137" t="str">
        <x:f>IF(AND($A105&lt;&gt;"",$K105="No",OR($N105="Delayed",$P105="Dependency conflict")),$G105+ROW()/100000,"")</x:f>
      </x:c>
      <x:c r="AK105" s="137" t="str">
        <x:f>IF(AG105="","",COUNTIFS($AG$7:$AG$206,"&gt;0",$AG$7:$AG$206,"&lt;"&amp;AG105)+1)</x:f>
      </x:c>
      <x:c r="AL105" s="137" t="str">
        <x:f>IF(AH105="","",COUNTIFS($AH$7:$AH$206,"&gt;0",$AH$7:$AH$206,"&lt;"&amp;AH105)+1)</x:f>
      </x:c>
      <x:c r="AM105" s="137" t="str">
        <x:f>IF(AI105="","",COUNTIFS($AI$7:$AI$206,"&gt;0",$AI$7:$AI$206,"&lt;"&amp;AI105)+1)</x:f>
      </x:c>
      <x:c r="AN105" s="137" t="str">
        <x:f>IF(AJ105="","",COUNTIFS($AJ$7:$AJ$206,"&gt;0",$AJ$7:$AJ$206,"&lt;"&amp;AJ105)+1)</x:f>
      </x:c>
    </x:row>
    <x:row r="106">
      <x:c r="T106" s="137" t="str">
        <x:f>IF($A106="","",TRIM(MID(SUBSTITUTE(SUBSTITUTE(TRIM($I106)," ",""),",",REPT(" ",100)),1,100)))</x:f>
      </x:c>
      <x:c r="U106" s="137" t="str">
        <x:f>IF($A106="","",TRIM(MID(SUBSTITUTE(SUBSTITUTE(TRIM($I106)," ",""),",",REPT(" ",100)),101,100)))</x:f>
      </x:c>
      <x:c r="V106" s="137" t="str">
        <x:f>IF($A106="","",TRIM(MID(SUBSTITUTE(SUBSTITUTE(TRIM($I106)," ",""),",",REPT(" ",100)),201,100)))</x:f>
      </x:c>
      <x:c r="W106" s="137" t="str">
        <x:f>IF($A106="","",TRIM(MID(SUBSTITUTE(SUBSTITUTE(TRIM($I106)," ",""),",",REPT(" ",100)),301,100)))</x:f>
      </x:c>
      <x:c r="X106" s="137" t="str">
        <x:f>IF($A106="","",TRIM(MID(SUBSTITUTE(SUBSTITUTE(TRIM($I106)," ",""),",",REPT(" ",100)),401,100)))</x:f>
      </x:c>
      <x:c r="Y106" s="137" t="str">
        <x:f>IF($A106="","",TRIM(MID(SUBSTITUTE(SUBSTITUTE(TRIM($I106)," ",""),",",REPT(" ",100)),501,100)))</x:f>
      </x:c>
      <x:c r="Z106" s="137" t="str">
        <x:f>IF($A106="","",TRIM(MID(SUBSTITUTE(SUBSTITUTE(TRIM($I106)," ",""),",",REPT(" ",100)),601,100)))</x:f>
      </x:c>
      <x:c r="AA106" s="137" t="str">
        <x:f>IF($A106="","",IF(SUBSTITUTE(TRIM($I106)," ","")="",0,1+LEN(SUBSTITUTE(TRIM($I106)," ",""))-LEN(SUBSTITUTE(SUBSTITUTE(TRIM($I106)," ",""),",",""))))</x:f>
      </x:c>
      <x:c r="AB106" s="137" t="str">
        <x:f>IF($A106="","",COUNTIF(TasksTable[Task ID],T106)+COUNTIF(TasksTable[Task ID],U106)+COUNTIF(TasksTable[Task ID],V106)+COUNTIF(TasksTable[Task ID],W106)+COUNTIF(TasksTable[Task ID],X106)+COUNTIF(TasksTable[Task ID],Y106)+COUNTIF(TasksTable[Task ID],Z106))</x:f>
      </x:c>
      <x:c r="AC106" s="137" t="b">
        <x:f>IF($A106="",FALSE,OR(T106=$A106,U106=$A106,V106=$A106,W106=$A106,X106=$A106,Y106=$A106,Z106=$A106))</x:f>
        <x:v>0</x:v>
      </x:c>
      <x:c r="AD106" s="144" t="n">
        <x:f>IF(AA106=0,0,MAX(IFERROR(INDEX(TasksTable[Start Date],MATCH(T106,TasksTable[Task ID],0)),0),IFERROR(INDEX(TasksTable[Start Date],MATCH(U106,TasksTable[Task ID],0)),0),IFERROR(INDEX(TasksTable[Start Date],MATCH(V106,TasksTable[Task ID],0)),0),IFERROR(INDEX(TasksTable[Start Date],MATCH(W106,TasksTable[Task ID],0)),0),IFERROR(INDEX(TasksTable[Start Date],MATCH(X106,TasksTable[Task ID],0)),0),IFERROR(INDEX(TasksTable[Start Date],MATCH(Y106,TasksTable[Task ID],0)),0),IFERROR(INDEX(TasksTable[Start Date],MATCH(Z106,TasksTable[Task ID],0)),0)))</x:f>
        <x:v>0</x:v>
      </x:c>
      <x:c r="AE106" s="144" t="n">
        <x:f>IF(AA106=0,0,MAX(IFERROR(INDEX(TasksTable[End Date],MATCH(T106,TasksTable[Task ID],0)),0),IFERROR(INDEX(TasksTable[End Date],MATCH(U106,TasksTable[Task ID],0)),0),IFERROR(INDEX(TasksTable[End Date],MATCH(V106,TasksTable[Task ID],0)),0),IFERROR(INDEX(TasksTable[End Date],MATCH(W106,TasksTable[Task ID],0)),0),IFERROR(INDEX(TasksTable[End Date],MATCH(X106,TasksTable[Task ID],0)),0),IFERROR(INDEX(TasksTable[End Date],MATCH(Y106,TasksTable[Task ID],0)),0),IFERROR(INDEX(TasksTable[End Date],MATCH(Z106,TasksTable[Task ID],0)),0)))</x:f>
        <x:v>0</x:v>
      </x:c>
      <x:c r="AF106" s="137" t="b">
        <x:f>IF(OR($A106="",AA106=0),FALSE,SWITCH($J106,"FS",$F106&lt;AE106,"SS",$F106&lt;AD106,"FF",$G106&lt;AE106,"SF",$G106&lt;AD106,TRUE))</x:f>
        <x:v>0</x:v>
      </x:c>
      <x:c r="AG106" s="137" t="str">
        <x:f>IF(AND($A106&lt;&gt;"",$K106="No",$N106&lt;&gt;"Completed",$F106&gt;=TODAY()),$F106+ROW()/100000,"")</x:f>
      </x:c>
      <x:c r="AH106" s="137" t="str">
        <x:f>IF(AND($A106&lt;&gt;"",$K106="Yes",$N106&lt;&gt;"Completed",$F106&gt;=TODAY()),$F106+ROW()/100000,"")</x:f>
      </x:c>
      <x:c r="AI106" s="137" t="str">
        <x:f>IF(AND($A106&lt;&gt;"",$K106="No",$N106&lt;&gt;"Completed",$G106&gt;=TODAY(),$G106&lt;=TODAY()+3),$G106+ROW()/100000,"")</x:f>
      </x:c>
      <x:c r="AJ106" s="137" t="str">
        <x:f>IF(AND($A106&lt;&gt;"",$K106="No",OR($N106="Delayed",$P106="Dependency conflict")),$G106+ROW()/100000,"")</x:f>
      </x:c>
      <x:c r="AK106" s="137" t="str">
        <x:f>IF(AG106="","",COUNTIFS($AG$7:$AG$206,"&gt;0",$AG$7:$AG$206,"&lt;"&amp;AG106)+1)</x:f>
      </x:c>
      <x:c r="AL106" s="137" t="str">
        <x:f>IF(AH106="","",COUNTIFS($AH$7:$AH$206,"&gt;0",$AH$7:$AH$206,"&lt;"&amp;AH106)+1)</x:f>
      </x:c>
      <x:c r="AM106" s="137" t="str">
        <x:f>IF(AI106="","",COUNTIFS($AI$7:$AI$206,"&gt;0",$AI$7:$AI$206,"&lt;"&amp;AI106)+1)</x:f>
      </x:c>
      <x:c r="AN106" s="137" t="str">
        <x:f>IF(AJ106="","",COUNTIFS($AJ$7:$AJ$206,"&gt;0",$AJ$7:$AJ$206,"&lt;"&amp;AJ106)+1)</x:f>
      </x:c>
    </x:row>
    <x:row r="107">
      <x:c r="T107" s="137" t="str">
        <x:f>IF($A107="","",TRIM(MID(SUBSTITUTE(SUBSTITUTE(TRIM($I107)," ",""),",",REPT(" ",100)),1,100)))</x:f>
      </x:c>
      <x:c r="U107" s="137" t="str">
        <x:f>IF($A107="","",TRIM(MID(SUBSTITUTE(SUBSTITUTE(TRIM($I107)," ",""),",",REPT(" ",100)),101,100)))</x:f>
      </x:c>
      <x:c r="V107" s="137" t="str">
        <x:f>IF($A107="","",TRIM(MID(SUBSTITUTE(SUBSTITUTE(TRIM($I107)," ",""),",",REPT(" ",100)),201,100)))</x:f>
      </x:c>
      <x:c r="W107" s="137" t="str">
        <x:f>IF($A107="","",TRIM(MID(SUBSTITUTE(SUBSTITUTE(TRIM($I107)," ",""),",",REPT(" ",100)),301,100)))</x:f>
      </x:c>
      <x:c r="X107" s="137" t="str">
        <x:f>IF($A107="","",TRIM(MID(SUBSTITUTE(SUBSTITUTE(TRIM($I107)," ",""),",",REPT(" ",100)),401,100)))</x:f>
      </x:c>
      <x:c r="Y107" s="137" t="str">
        <x:f>IF($A107="","",TRIM(MID(SUBSTITUTE(SUBSTITUTE(TRIM($I107)," ",""),",",REPT(" ",100)),501,100)))</x:f>
      </x:c>
      <x:c r="Z107" s="137" t="str">
        <x:f>IF($A107="","",TRIM(MID(SUBSTITUTE(SUBSTITUTE(TRIM($I107)," ",""),",",REPT(" ",100)),601,100)))</x:f>
      </x:c>
      <x:c r="AA107" s="137" t="str">
        <x:f>IF($A107="","",IF(SUBSTITUTE(TRIM($I107)," ","")="",0,1+LEN(SUBSTITUTE(TRIM($I107)," ",""))-LEN(SUBSTITUTE(SUBSTITUTE(TRIM($I107)," ",""),",",""))))</x:f>
      </x:c>
      <x:c r="AB107" s="137" t="str">
        <x:f>IF($A107="","",COUNTIF(TasksTable[Task ID],T107)+COUNTIF(TasksTable[Task ID],U107)+COUNTIF(TasksTable[Task ID],V107)+COUNTIF(TasksTable[Task ID],W107)+COUNTIF(TasksTable[Task ID],X107)+COUNTIF(TasksTable[Task ID],Y107)+COUNTIF(TasksTable[Task ID],Z107))</x:f>
      </x:c>
      <x:c r="AC107" s="137" t="b">
        <x:f>IF($A107="",FALSE,OR(T107=$A107,U107=$A107,V107=$A107,W107=$A107,X107=$A107,Y107=$A107,Z107=$A107))</x:f>
        <x:v>0</x:v>
      </x:c>
      <x:c r="AD107" s="144" t="n">
        <x:f>IF(AA107=0,0,MAX(IFERROR(INDEX(TasksTable[Start Date],MATCH(T107,TasksTable[Task ID],0)),0),IFERROR(INDEX(TasksTable[Start Date],MATCH(U107,TasksTable[Task ID],0)),0),IFERROR(INDEX(TasksTable[Start Date],MATCH(V107,TasksTable[Task ID],0)),0),IFERROR(INDEX(TasksTable[Start Date],MATCH(W107,TasksTable[Task ID],0)),0),IFERROR(INDEX(TasksTable[Start Date],MATCH(X107,TasksTable[Task ID],0)),0),IFERROR(INDEX(TasksTable[Start Date],MATCH(Y107,TasksTable[Task ID],0)),0),IFERROR(INDEX(TasksTable[Start Date],MATCH(Z107,TasksTable[Task ID],0)),0)))</x:f>
        <x:v>0</x:v>
      </x:c>
      <x:c r="AE107" s="144" t="n">
        <x:f>IF(AA107=0,0,MAX(IFERROR(INDEX(TasksTable[End Date],MATCH(T107,TasksTable[Task ID],0)),0),IFERROR(INDEX(TasksTable[End Date],MATCH(U107,TasksTable[Task ID],0)),0),IFERROR(INDEX(TasksTable[End Date],MATCH(V107,TasksTable[Task ID],0)),0),IFERROR(INDEX(TasksTable[End Date],MATCH(W107,TasksTable[Task ID],0)),0),IFERROR(INDEX(TasksTable[End Date],MATCH(X107,TasksTable[Task ID],0)),0),IFERROR(INDEX(TasksTable[End Date],MATCH(Y107,TasksTable[Task ID],0)),0),IFERROR(INDEX(TasksTable[End Date],MATCH(Z107,TasksTable[Task ID],0)),0)))</x:f>
        <x:v>0</x:v>
      </x:c>
      <x:c r="AF107" s="137" t="b">
        <x:f>IF(OR($A107="",AA107=0),FALSE,SWITCH($J107,"FS",$F107&lt;AE107,"SS",$F107&lt;AD107,"FF",$G107&lt;AE107,"SF",$G107&lt;AD107,TRUE))</x:f>
        <x:v>0</x:v>
      </x:c>
      <x:c r="AG107" s="137" t="str">
        <x:f>IF(AND($A107&lt;&gt;"",$K107="No",$N107&lt;&gt;"Completed",$F107&gt;=TODAY()),$F107+ROW()/100000,"")</x:f>
      </x:c>
      <x:c r="AH107" s="137" t="str">
        <x:f>IF(AND($A107&lt;&gt;"",$K107="Yes",$N107&lt;&gt;"Completed",$F107&gt;=TODAY()),$F107+ROW()/100000,"")</x:f>
      </x:c>
      <x:c r="AI107" s="137" t="str">
        <x:f>IF(AND($A107&lt;&gt;"",$K107="No",$N107&lt;&gt;"Completed",$G107&gt;=TODAY(),$G107&lt;=TODAY()+3),$G107+ROW()/100000,"")</x:f>
      </x:c>
      <x:c r="AJ107" s="137" t="str">
        <x:f>IF(AND($A107&lt;&gt;"",$K107="No",OR($N107="Delayed",$P107="Dependency conflict")),$G107+ROW()/100000,"")</x:f>
      </x:c>
      <x:c r="AK107" s="137" t="str">
        <x:f>IF(AG107="","",COUNTIFS($AG$7:$AG$206,"&gt;0",$AG$7:$AG$206,"&lt;"&amp;AG107)+1)</x:f>
      </x:c>
      <x:c r="AL107" s="137" t="str">
        <x:f>IF(AH107="","",COUNTIFS($AH$7:$AH$206,"&gt;0",$AH$7:$AH$206,"&lt;"&amp;AH107)+1)</x:f>
      </x:c>
      <x:c r="AM107" s="137" t="str">
        <x:f>IF(AI107="","",COUNTIFS($AI$7:$AI$206,"&gt;0",$AI$7:$AI$206,"&lt;"&amp;AI107)+1)</x:f>
      </x:c>
      <x:c r="AN107" s="137" t="str">
        <x:f>IF(AJ107="","",COUNTIFS($AJ$7:$AJ$206,"&gt;0",$AJ$7:$AJ$206,"&lt;"&amp;AJ107)+1)</x:f>
      </x:c>
    </x:row>
    <x:row r="108">
      <x:c r="T108" s="137" t="str">
        <x:f>IF($A108="","",TRIM(MID(SUBSTITUTE(SUBSTITUTE(TRIM($I108)," ",""),",",REPT(" ",100)),1,100)))</x:f>
      </x:c>
      <x:c r="U108" s="137" t="str">
        <x:f>IF($A108="","",TRIM(MID(SUBSTITUTE(SUBSTITUTE(TRIM($I108)," ",""),",",REPT(" ",100)),101,100)))</x:f>
      </x:c>
      <x:c r="V108" s="137" t="str">
        <x:f>IF($A108="","",TRIM(MID(SUBSTITUTE(SUBSTITUTE(TRIM($I108)," ",""),",",REPT(" ",100)),201,100)))</x:f>
      </x:c>
      <x:c r="W108" s="137" t="str">
        <x:f>IF($A108="","",TRIM(MID(SUBSTITUTE(SUBSTITUTE(TRIM($I108)," ",""),",",REPT(" ",100)),301,100)))</x:f>
      </x:c>
      <x:c r="X108" s="137" t="str">
        <x:f>IF($A108="","",TRIM(MID(SUBSTITUTE(SUBSTITUTE(TRIM($I108)," ",""),",",REPT(" ",100)),401,100)))</x:f>
      </x:c>
      <x:c r="Y108" s="137" t="str">
        <x:f>IF($A108="","",TRIM(MID(SUBSTITUTE(SUBSTITUTE(TRIM($I108)," ",""),",",REPT(" ",100)),501,100)))</x:f>
      </x:c>
      <x:c r="Z108" s="137" t="str">
        <x:f>IF($A108="","",TRIM(MID(SUBSTITUTE(SUBSTITUTE(TRIM($I108)," ",""),",",REPT(" ",100)),601,100)))</x:f>
      </x:c>
      <x:c r="AA108" s="137" t="str">
        <x:f>IF($A108="","",IF(SUBSTITUTE(TRIM($I108)," ","")="",0,1+LEN(SUBSTITUTE(TRIM($I108)," ",""))-LEN(SUBSTITUTE(SUBSTITUTE(TRIM($I108)," ",""),",",""))))</x:f>
      </x:c>
      <x:c r="AB108" s="137" t="str">
        <x:f>IF($A108="","",COUNTIF(TasksTable[Task ID],T108)+COUNTIF(TasksTable[Task ID],U108)+COUNTIF(TasksTable[Task ID],V108)+COUNTIF(TasksTable[Task ID],W108)+COUNTIF(TasksTable[Task ID],X108)+COUNTIF(TasksTable[Task ID],Y108)+COUNTIF(TasksTable[Task ID],Z108))</x:f>
      </x:c>
      <x:c r="AC108" s="137" t="b">
        <x:f>IF($A108="",FALSE,OR(T108=$A108,U108=$A108,V108=$A108,W108=$A108,X108=$A108,Y108=$A108,Z108=$A108))</x:f>
        <x:v>0</x:v>
      </x:c>
      <x:c r="AD108" s="144" t="n">
        <x:f>IF(AA108=0,0,MAX(IFERROR(INDEX(TasksTable[Start Date],MATCH(T108,TasksTable[Task ID],0)),0),IFERROR(INDEX(TasksTable[Start Date],MATCH(U108,TasksTable[Task ID],0)),0),IFERROR(INDEX(TasksTable[Start Date],MATCH(V108,TasksTable[Task ID],0)),0),IFERROR(INDEX(TasksTable[Start Date],MATCH(W108,TasksTable[Task ID],0)),0),IFERROR(INDEX(TasksTable[Start Date],MATCH(X108,TasksTable[Task ID],0)),0),IFERROR(INDEX(TasksTable[Start Date],MATCH(Y108,TasksTable[Task ID],0)),0),IFERROR(INDEX(TasksTable[Start Date],MATCH(Z108,TasksTable[Task ID],0)),0)))</x:f>
        <x:v>0</x:v>
      </x:c>
      <x:c r="AE108" s="144" t="n">
        <x:f>IF(AA108=0,0,MAX(IFERROR(INDEX(TasksTable[End Date],MATCH(T108,TasksTable[Task ID],0)),0),IFERROR(INDEX(TasksTable[End Date],MATCH(U108,TasksTable[Task ID],0)),0),IFERROR(INDEX(TasksTable[End Date],MATCH(V108,TasksTable[Task ID],0)),0),IFERROR(INDEX(TasksTable[End Date],MATCH(W108,TasksTable[Task ID],0)),0),IFERROR(INDEX(TasksTable[End Date],MATCH(X108,TasksTable[Task ID],0)),0),IFERROR(INDEX(TasksTable[End Date],MATCH(Y108,TasksTable[Task ID],0)),0),IFERROR(INDEX(TasksTable[End Date],MATCH(Z108,TasksTable[Task ID],0)),0)))</x:f>
        <x:v>0</x:v>
      </x:c>
      <x:c r="AF108" s="137" t="b">
        <x:f>IF(OR($A108="",AA108=0),FALSE,SWITCH($J108,"FS",$F108&lt;AE108,"SS",$F108&lt;AD108,"FF",$G108&lt;AE108,"SF",$G108&lt;AD108,TRUE))</x:f>
        <x:v>0</x:v>
      </x:c>
      <x:c r="AG108" s="137" t="str">
        <x:f>IF(AND($A108&lt;&gt;"",$K108="No",$N108&lt;&gt;"Completed",$F108&gt;=TODAY()),$F108+ROW()/100000,"")</x:f>
      </x:c>
      <x:c r="AH108" s="137" t="str">
        <x:f>IF(AND($A108&lt;&gt;"",$K108="Yes",$N108&lt;&gt;"Completed",$F108&gt;=TODAY()),$F108+ROW()/100000,"")</x:f>
      </x:c>
      <x:c r="AI108" s="137" t="str">
        <x:f>IF(AND($A108&lt;&gt;"",$K108="No",$N108&lt;&gt;"Completed",$G108&gt;=TODAY(),$G108&lt;=TODAY()+3),$G108+ROW()/100000,"")</x:f>
      </x:c>
      <x:c r="AJ108" s="137" t="str">
        <x:f>IF(AND($A108&lt;&gt;"",$K108="No",OR($N108="Delayed",$P108="Dependency conflict")),$G108+ROW()/100000,"")</x:f>
      </x:c>
      <x:c r="AK108" s="137" t="str">
        <x:f>IF(AG108="","",COUNTIFS($AG$7:$AG$206,"&gt;0",$AG$7:$AG$206,"&lt;"&amp;AG108)+1)</x:f>
      </x:c>
      <x:c r="AL108" s="137" t="str">
        <x:f>IF(AH108="","",COUNTIFS($AH$7:$AH$206,"&gt;0",$AH$7:$AH$206,"&lt;"&amp;AH108)+1)</x:f>
      </x:c>
      <x:c r="AM108" s="137" t="str">
        <x:f>IF(AI108="","",COUNTIFS($AI$7:$AI$206,"&gt;0",$AI$7:$AI$206,"&lt;"&amp;AI108)+1)</x:f>
      </x:c>
      <x:c r="AN108" s="137" t="str">
        <x:f>IF(AJ108="","",COUNTIFS($AJ$7:$AJ$206,"&gt;0",$AJ$7:$AJ$206,"&lt;"&amp;AJ108)+1)</x:f>
      </x:c>
    </x:row>
    <x:row r="109">
      <x:c r="T109" s="137" t="str">
        <x:f>IF($A109="","",TRIM(MID(SUBSTITUTE(SUBSTITUTE(TRIM($I109)," ",""),",",REPT(" ",100)),1,100)))</x:f>
      </x:c>
      <x:c r="U109" s="137" t="str">
        <x:f>IF($A109="","",TRIM(MID(SUBSTITUTE(SUBSTITUTE(TRIM($I109)," ",""),",",REPT(" ",100)),101,100)))</x:f>
      </x:c>
      <x:c r="V109" s="137" t="str">
        <x:f>IF($A109="","",TRIM(MID(SUBSTITUTE(SUBSTITUTE(TRIM($I109)," ",""),",",REPT(" ",100)),201,100)))</x:f>
      </x:c>
      <x:c r="W109" s="137" t="str">
        <x:f>IF($A109="","",TRIM(MID(SUBSTITUTE(SUBSTITUTE(TRIM($I109)," ",""),",",REPT(" ",100)),301,100)))</x:f>
      </x:c>
      <x:c r="X109" s="137" t="str">
        <x:f>IF($A109="","",TRIM(MID(SUBSTITUTE(SUBSTITUTE(TRIM($I109)," ",""),",",REPT(" ",100)),401,100)))</x:f>
      </x:c>
      <x:c r="Y109" s="137" t="str">
        <x:f>IF($A109="","",TRIM(MID(SUBSTITUTE(SUBSTITUTE(TRIM($I109)," ",""),",",REPT(" ",100)),501,100)))</x:f>
      </x:c>
      <x:c r="Z109" s="137" t="str">
        <x:f>IF($A109="","",TRIM(MID(SUBSTITUTE(SUBSTITUTE(TRIM($I109)," ",""),",",REPT(" ",100)),601,100)))</x:f>
      </x:c>
      <x:c r="AA109" s="137" t="str">
        <x:f>IF($A109="","",IF(SUBSTITUTE(TRIM($I109)," ","")="",0,1+LEN(SUBSTITUTE(TRIM($I109)," ",""))-LEN(SUBSTITUTE(SUBSTITUTE(TRIM($I109)," ",""),",",""))))</x:f>
      </x:c>
      <x:c r="AB109" s="137" t="str">
        <x:f>IF($A109="","",COUNTIF(TasksTable[Task ID],T109)+COUNTIF(TasksTable[Task ID],U109)+COUNTIF(TasksTable[Task ID],V109)+COUNTIF(TasksTable[Task ID],W109)+COUNTIF(TasksTable[Task ID],X109)+COUNTIF(TasksTable[Task ID],Y109)+COUNTIF(TasksTable[Task ID],Z109))</x:f>
      </x:c>
      <x:c r="AC109" s="137" t="b">
        <x:f>IF($A109="",FALSE,OR(T109=$A109,U109=$A109,V109=$A109,W109=$A109,X109=$A109,Y109=$A109,Z109=$A109))</x:f>
        <x:v>0</x:v>
      </x:c>
      <x:c r="AD109" s="144" t="n">
        <x:f>IF(AA109=0,0,MAX(IFERROR(INDEX(TasksTable[Start Date],MATCH(T109,TasksTable[Task ID],0)),0),IFERROR(INDEX(TasksTable[Start Date],MATCH(U109,TasksTable[Task ID],0)),0),IFERROR(INDEX(TasksTable[Start Date],MATCH(V109,TasksTable[Task ID],0)),0),IFERROR(INDEX(TasksTable[Start Date],MATCH(W109,TasksTable[Task ID],0)),0),IFERROR(INDEX(TasksTable[Start Date],MATCH(X109,TasksTable[Task ID],0)),0),IFERROR(INDEX(TasksTable[Start Date],MATCH(Y109,TasksTable[Task ID],0)),0),IFERROR(INDEX(TasksTable[Start Date],MATCH(Z109,TasksTable[Task ID],0)),0)))</x:f>
        <x:v>0</x:v>
      </x:c>
      <x:c r="AE109" s="144" t="n">
        <x:f>IF(AA109=0,0,MAX(IFERROR(INDEX(TasksTable[End Date],MATCH(T109,TasksTable[Task ID],0)),0),IFERROR(INDEX(TasksTable[End Date],MATCH(U109,TasksTable[Task ID],0)),0),IFERROR(INDEX(TasksTable[End Date],MATCH(V109,TasksTable[Task ID],0)),0),IFERROR(INDEX(TasksTable[End Date],MATCH(W109,TasksTable[Task ID],0)),0),IFERROR(INDEX(TasksTable[End Date],MATCH(X109,TasksTable[Task ID],0)),0),IFERROR(INDEX(TasksTable[End Date],MATCH(Y109,TasksTable[Task ID],0)),0),IFERROR(INDEX(TasksTable[End Date],MATCH(Z109,TasksTable[Task ID],0)),0)))</x:f>
        <x:v>0</x:v>
      </x:c>
      <x:c r="AF109" s="137" t="b">
        <x:f>IF(OR($A109="",AA109=0),FALSE,SWITCH($J109,"FS",$F109&lt;AE109,"SS",$F109&lt;AD109,"FF",$G109&lt;AE109,"SF",$G109&lt;AD109,TRUE))</x:f>
        <x:v>0</x:v>
      </x:c>
      <x:c r="AG109" s="137" t="str">
        <x:f>IF(AND($A109&lt;&gt;"",$K109="No",$N109&lt;&gt;"Completed",$F109&gt;=TODAY()),$F109+ROW()/100000,"")</x:f>
      </x:c>
      <x:c r="AH109" s="137" t="str">
        <x:f>IF(AND($A109&lt;&gt;"",$K109="Yes",$N109&lt;&gt;"Completed",$F109&gt;=TODAY()),$F109+ROW()/100000,"")</x:f>
      </x:c>
      <x:c r="AI109" s="137" t="str">
        <x:f>IF(AND($A109&lt;&gt;"",$K109="No",$N109&lt;&gt;"Completed",$G109&gt;=TODAY(),$G109&lt;=TODAY()+3),$G109+ROW()/100000,"")</x:f>
      </x:c>
      <x:c r="AJ109" s="137" t="str">
        <x:f>IF(AND($A109&lt;&gt;"",$K109="No",OR($N109="Delayed",$P109="Dependency conflict")),$G109+ROW()/100000,"")</x:f>
      </x:c>
      <x:c r="AK109" s="137" t="str">
        <x:f>IF(AG109="","",COUNTIFS($AG$7:$AG$206,"&gt;0",$AG$7:$AG$206,"&lt;"&amp;AG109)+1)</x:f>
      </x:c>
      <x:c r="AL109" s="137" t="str">
        <x:f>IF(AH109="","",COUNTIFS($AH$7:$AH$206,"&gt;0",$AH$7:$AH$206,"&lt;"&amp;AH109)+1)</x:f>
      </x:c>
      <x:c r="AM109" s="137" t="str">
        <x:f>IF(AI109="","",COUNTIFS($AI$7:$AI$206,"&gt;0",$AI$7:$AI$206,"&lt;"&amp;AI109)+1)</x:f>
      </x:c>
      <x:c r="AN109" s="137" t="str">
        <x:f>IF(AJ109="","",COUNTIFS($AJ$7:$AJ$206,"&gt;0",$AJ$7:$AJ$206,"&lt;"&amp;AJ109)+1)</x:f>
      </x:c>
    </x:row>
    <x:row r="110">
      <x:c r="T110" s="137" t="str">
        <x:f>IF($A110="","",TRIM(MID(SUBSTITUTE(SUBSTITUTE(TRIM($I110)," ",""),",",REPT(" ",100)),1,100)))</x:f>
      </x:c>
      <x:c r="U110" s="137" t="str">
        <x:f>IF($A110="","",TRIM(MID(SUBSTITUTE(SUBSTITUTE(TRIM($I110)," ",""),",",REPT(" ",100)),101,100)))</x:f>
      </x:c>
      <x:c r="V110" s="137" t="str">
        <x:f>IF($A110="","",TRIM(MID(SUBSTITUTE(SUBSTITUTE(TRIM($I110)," ",""),",",REPT(" ",100)),201,100)))</x:f>
      </x:c>
      <x:c r="W110" s="137" t="str">
        <x:f>IF($A110="","",TRIM(MID(SUBSTITUTE(SUBSTITUTE(TRIM($I110)," ",""),",",REPT(" ",100)),301,100)))</x:f>
      </x:c>
      <x:c r="X110" s="137" t="str">
        <x:f>IF($A110="","",TRIM(MID(SUBSTITUTE(SUBSTITUTE(TRIM($I110)," ",""),",",REPT(" ",100)),401,100)))</x:f>
      </x:c>
      <x:c r="Y110" s="137" t="str">
        <x:f>IF($A110="","",TRIM(MID(SUBSTITUTE(SUBSTITUTE(TRIM($I110)," ",""),",",REPT(" ",100)),501,100)))</x:f>
      </x:c>
      <x:c r="Z110" s="137" t="str">
        <x:f>IF($A110="","",TRIM(MID(SUBSTITUTE(SUBSTITUTE(TRIM($I110)," ",""),",",REPT(" ",100)),601,100)))</x:f>
      </x:c>
      <x:c r="AA110" s="137" t="str">
        <x:f>IF($A110="","",IF(SUBSTITUTE(TRIM($I110)," ","")="",0,1+LEN(SUBSTITUTE(TRIM($I110)," ",""))-LEN(SUBSTITUTE(SUBSTITUTE(TRIM($I110)," ",""),",",""))))</x:f>
      </x:c>
      <x:c r="AB110" s="137" t="str">
        <x:f>IF($A110="","",COUNTIF(TasksTable[Task ID],T110)+COUNTIF(TasksTable[Task ID],U110)+COUNTIF(TasksTable[Task ID],V110)+COUNTIF(TasksTable[Task ID],W110)+COUNTIF(TasksTable[Task ID],X110)+COUNTIF(TasksTable[Task ID],Y110)+COUNTIF(TasksTable[Task ID],Z110))</x:f>
      </x:c>
      <x:c r="AC110" s="137" t="b">
        <x:f>IF($A110="",FALSE,OR(T110=$A110,U110=$A110,V110=$A110,W110=$A110,X110=$A110,Y110=$A110,Z110=$A110))</x:f>
        <x:v>0</x:v>
      </x:c>
      <x:c r="AD110" s="144" t="n">
        <x:f>IF(AA110=0,0,MAX(IFERROR(INDEX(TasksTable[Start Date],MATCH(T110,TasksTable[Task ID],0)),0),IFERROR(INDEX(TasksTable[Start Date],MATCH(U110,TasksTable[Task ID],0)),0),IFERROR(INDEX(TasksTable[Start Date],MATCH(V110,TasksTable[Task ID],0)),0),IFERROR(INDEX(TasksTable[Start Date],MATCH(W110,TasksTable[Task ID],0)),0),IFERROR(INDEX(TasksTable[Start Date],MATCH(X110,TasksTable[Task ID],0)),0),IFERROR(INDEX(TasksTable[Start Date],MATCH(Y110,TasksTable[Task ID],0)),0),IFERROR(INDEX(TasksTable[Start Date],MATCH(Z110,TasksTable[Task ID],0)),0)))</x:f>
        <x:v>0</x:v>
      </x:c>
      <x:c r="AE110" s="144" t="n">
        <x:f>IF(AA110=0,0,MAX(IFERROR(INDEX(TasksTable[End Date],MATCH(T110,TasksTable[Task ID],0)),0),IFERROR(INDEX(TasksTable[End Date],MATCH(U110,TasksTable[Task ID],0)),0),IFERROR(INDEX(TasksTable[End Date],MATCH(V110,TasksTable[Task ID],0)),0),IFERROR(INDEX(TasksTable[End Date],MATCH(W110,TasksTable[Task ID],0)),0),IFERROR(INDEX(TasksTable[End Date],MATCH(X110,TasksTable[Task ID],0)),0),IFERROR(INDEX(TasksTable[End Date],MATCH(Y110,TasksTable[Task ID],0)),0),IFERROR(INDEX(TasksTable[End Date],MATCH(Z110,TasksTable[Task ID],0)),0)))</x:f>
        <x:v>0</x:v>
      </x:c>
      <x:c r="AF110" s="137" t="b">
        <x:f>IF(OR($A110="",AA110=0),FALSE,SWITCH($J110,"FS",$F110&lt;AE110,"SS",$F110&lt;AD110,"FF",$G110&lt;AE110,"SF",$G110&lt;AD110,TRUE))</x:f>
        <x:v>0</x:v>
      </x:c>
      <x:c r="AG110" s="137" t="str">
        <x:f>IF(AND($A110&lt;&gt;"",$K110="No",$N110&lt;&gt;"Completed",$F110&gt;=TODAY()),$F110+ROW()/100000,"")</x:f>
      </x:c>
      <x:c r="AH110" s="137" t="str">
        <x:f>IF(AND($A110&lt;&gt;"",$K110="Yes",$N110&lt;&gt;"Completed",$F110&gt;=TODAY()),$F110+ROW()/100000,"")</x:f>
      </x:c>
      <x:c r="AI110" s="137" t="str">
        <x:f>IF(AND($A110&lt;&gt;"",$K110="No",$N110&lt;&gt;"Completed",$G110&gt;=TODAY(),$G110&lt;=TODAY()+3),$G110+ROW()/100000,"")</x:f>
      </x:c>
      <x:c r="AJ110" s="137" t="str">
        <x:f>IF(AND($A110&lt;&gt;"",$K110="No",OR($N110="Delayed",$P110="Dependency conflict")),$G110+ROW()/100000,"")</x:f>
      </x:c>
      <x:c r="AK110" s="137" t="str">
        <x:f>IF(AG110="","",COUNTIFS($AG$7:$AG$206,"&gt;0",$AG$7:$AG$206,"&lt;"&amp;AG110)+1)</x:f>
      </x:c>
      <x:c r="AL110" s="137" t="str">
        <x:f>IF(AH110="","",COUNTIFS($AH$7:$AH$206,"&gt;0",$AH$7:$AH$206,"&lt;"&amp;AH110)+1)</x:f>
      </x:c>
      <x:c r="AM110" s="137" t="str">
        <x:f>IF(AI110="","",COUNTIFS($AI$7:$AI$206,"&gt;0",$AI$7:$AI$206,"&lt;"&amp;AI110)+1)</x:f>
      </x:c>
      <x:c r="AN110" s="137" t="str">
        <x:f>IF(AJ110="","",COUNTIFS($AJ$7:$AJ$206,"&gt;0",$AJ$7:$AJ$206,"&lt;"&amp;AJ110)+1)</x:f>
      </x:c>
    </x:row>
    <x:row r="111">
      <x:c r="T111" s="137" t="str">
        <x:f>IF($A111="","",TRIM(MID(SUBSTITUTE(SUBSTITUTE(TRIM($I111)," ",""),",",REPT(" ",100)),1,100)))</x:f>
      </x:c>
      <x:c r="U111" s="137" t="str">
        <x:f>IF($A111="","",TRIM(MID(SUBSTITUTE(SUBSTITUTE(TRIM($I111)," ",""),",",REPT(" ",100)),101,100)))</x:f>
      </x:c>
      <x:c r="V111" s="137" t="str">
        <x:f>IF($A111="","",TRIM(MID(SUBSTITUTE(SUBSTITUTE(TRIM($I111)," ",""),",",REPT(" ",100)),201,100)))</x:f>
      </x:c>
      <x:c r="W111" s="137" t="str">
        <x:f>IF($A111="","",TRIM(MID(SUBSTITUTE(SUBSTITUTE(TRIM($I111)," ",""),",",REPT(" ",100)),301,100)))</x:f>
      </x:c>
      <x:c r="X111" s="137" t="str">
        <x:f>IF($A111="","",TRIM(MID(SUBSTITUTE(SUBSTITUTE(TRIM($I111)," ",""),",",REPT(" ",100)),401,100)))</x:f>
      </x:c>
      <x:c r="Y111" s="137" t="str">
        <x:f>IF($A111="","",TRIM(MID(SUBSTITUTE(SUBSTITUTE(TRIM($I111)," ",""),",",REPT(" ",100)),501,100)))</x:f>
      </x:c>
      <x:c r="Z111" s="137" t="str">
        <x:f>IF($A111="","",TRIM(MID(SUBSTITUTE(SUBSTITUTE(TRIM($I111)," ",""),",",REPT(" ",100)),601,100)))</x:f>
      </x:c>
      <x:c r="AA111" s="137" t="str">
        <x:f>IF($A111="","",IF(SUBSTITUTE(TRIM($I111)," ","")="",0,1+LEN(SUBSTITUTE(TRIM($I111)," ",""))-LEN(SUBSTITUTE(SUBSTITUTE(TRIM($I111)," ",""),",",""))))</x:f>
      </x:c>
      <x:c r="AB111" s="137" t="str">
        <x:f>IF($A111="","",COUNTIF(TasksTable[Task ID],T111)+COUNTIF(TasksTable[Task ID],U111)+COUNTIF(TasksTable[Task ID],V111)+COUNTIF(TasksTable[Task ID],W111)+COUNTIF(TasksTable[Task ID],X111)+COUNTIF(TasksTable[Task ID],Y111)+COUNTIF(TasksTable[Task ID],Z111))</x:f>
      </x:c>
      <x:c r="AC111" s="137" t="b">
        <x:f>IF($A111="",FALSE,OR(T111=$A111,U111=$A111,V111=$A111,W111=$A111,X111=$A111,Y111=$A111,Z111=$A111))</x:f>
        <x:v>0</x:v>
      </x:c>
      <x:c r="AD111" s="144" t="n">
        <x:f>IF(AA111=0,0,MAX(IFERROR(INDEX(TasksTable[Start Date],MATCH(T111,TasksTable[Task ID],0)),0),IFERROR(INDEX(TasksTable[Start Date],MATCH(U111,TasksTable[Task ID],0)),0),IFERROR(INDEX(TasksTable[Start Date],MATCH(V111,TasksTable[Task ID],0)),0),IFERROR(INDEX(TasksTable[Start Date],MATCH(W111,TasksTable[Task ID],0)),0),IFERROR(INDEX(TasksTable[Start Date],MATCH(X111,TasksTable[Task ID],0)),0),IFERROR(INDEX(TasksTable[Start Date],MATCH(Y111,TasksTable[Task ID],0)),0),IFERROR(INDEX(TasksTable[Start Date],MATCH(Z111,TasksTable[Task ID],0)),0)))</x:f>
        <x:v>0</x:v>
      </x:c>
      <x:c r="AE111" s="144" t="n">
        <x:f>IF(AA111=0,0,MAX(IFERROR(INDEX(TasksTable[End Date],MATCH(T111,TasksTable[Task ID],0)),0),IFERROR(INDEX(TasksTable[End Date],MATCH(U111,TasksTable[Task ID],0)),0),IFERROR(INDEX(TasksTable[End Date],MATCH(V111,TasksTable[Task ID],0)),0),IFERROR(INDEX(TasksTable[End Date],MATCH(W111,TasksTable[Task ID],0)),0),IFERROR(INDEX(TasksTable[End Date],MATCH(X111,TasksTable[Task ID],0)),0),IFERROR(INDEX(TasksTable[End Date],MATCH(Y111,TasksTable[Task ID],0)),0),IFERROR(INDEX(TasksTable[End Date],MATCH(Z111,TasksTable[Task ID],0)),0)))</x:f>
        <x:v>0</x:v>
      </x:c>
      <x:c r="AF111" s="137" t="b">
        <x:f>IF(OR($A111="",AA111=0),FALSE,SWITCH($J111,"FS",$F111&lt;AE111,"SS",$F111&lt;AD111,"FF",$G111&lt;AE111,"SF",$G111&lt;AD111,TRUE))</x:f>
        <x:v>0</x:v>
      </x:c>
      <x:c r="AG111" s="137" t="str">
        <x:f>IF(AND($A111&lt;&gt;"",$K111="No",$N111&lt;&gt;"Completed",$F111&gt;=TODAY()),$F111+ROW()/100000,"")</x:f>
      </x:c>
      <x:c r="AH111" s="137" t="str">
        <x:f>IF(AND($A111&lt;&gt;"",$K111="Yes",$N111&lt;&gt;"Completed",$F111&gt;=TODAY()),$F111+ROW()/100000,"")</x:f>
      </x:c>
      <x:c r="AI111" s="137" t="str">
        <x:f>IF(AND($A111&lt;&gt;"",$K111="No",$N111&lt;&gt;"Completed",$G111&gt;=TODAY(),$G111&lt;=TODAY()+3),$G111+ROW()/100000,"")</x:f>
      </x:c>
      <x:c r="AJ111" s="137" t="str">
        <x:f>IF(AND($A111&lt;&gt;"",$K111="No",OR($N111="Delayed",$P111="Dependency conflict")),$G111+ROW()/100000,"")</x:f>
      </x:c>
      <x:c r="AK111" s="137" t="str">
        <x:f>IF(AG111="","",COUNTIFS($AG$7:$AG$206,"&gt;0",$AG$7:$AG$206,"&lt;"&amp;AG111)+1)</x:f>
      </x:c>
      <x:c r="AL111" s="137" t="str">
        <x:f>IF(AH111="","",COUNTIFS($AH$7:$AH$206,"&gt;0",$AH$7:$AH$206,"&lt;"&amp;AH111)+1)</x:f>
      </x:c>
      <x:c r="AM111" s="137" t="str">
        <x:f>IF(AI111="","",COUNTIFS($AI$7:$AI$206,"&gt;0",$AI$7:$AI$206,"&lt;"&amp;AI111)+1)</x:f>
      </x:c>
      <x:c r="AN111" s="137" t="str">
        <x:f>IF(AJ111="","",COUNTIFS($AJ$7:$AJ$206,"&gt;0",$AJ$7:$AJ$206,"&lt;"&amp;AJ111)+1)</x:f>
      </x:c>
    </x:row>
    <x:row r="112">
      <x:c r="T112" s="137" t="str">
        <x:f>IF($A112="","",TRIM(MID(SUBSTITUTE(SUBSTITUTE(TRIM($I112)," ",""),",",REPT(" ",100)),1,100)))</x:f>
      </x:c>
      <x:c r="U112" s="137" t="str">
        <x:f>IF($A112="","",TRIM(MID(SUBSTITUTE(SUBSTITUTE(TRIM($I112)," ",""),",",REPT(" ",100)),101,100)))</x:f>
      </x:c>
      <x:c r="V112" s="137" t="str">
        <x:f>IF($A112="","",TRIM(MID(SUBSTITUTE(SUBSTITUTE(TRIM($I112)," ",""),",",REPT(" ",100)),201,100)))</x:f>
      </x:c>
      <x:c r="W112" s="137" t="str">
        <x:f>IF($A112="","",TRIM(MID(SUBSTITUTE(SUBSTITUTE(TRIM($I112)," ",""),",",REPT(" ",100)),301,100)))</x:f>
      </x:c>
      <x:c r="X112" s="137" t="str">
        <x:f>IF($A112="","",TRIM(MID(SUBSTITUTE(SUBSTITUTE(TRIM($I112)," ",""),",",REPT(" ",100)),401,100)))</x:f>
      </x:c>
      <x:c r="Y112" s="137" t="str">
        <x:f>IF($A112="","",TRIM(MID(SUBSTITUTE(SUBSTITUTE(TRIM($I112)," ",""),",",REPT(" ",100)),501,100)))</x:f>
      </x:c>
      <x:c r="Z112" s="137" t="str">
        <x:f>IF($A112="","",TRIM(MID(SUBSTITUTE(SUBSTITUTE(TRIM($I112)," ",""),",",REPT(" ",100)),601,100)))</x:f>
      </x:c>
      <x:c r="AA112" s="137" t="str">
        <x:f>IF($A112="","",IF(SUBSTITUTE(TRIM($I112)," ","")="",0,1+LEN(SUBSTITUTE(TRIM($I112)," ",""))-LEN(SUBSTITUTE(SUBSTITUTE(TRIM($I112)," ",""),",",""))))</x:f>
      </x:c>
      <x:c r="AB112" s="137" t="str">
        <x:f>IF($A112="","",COUNTIF(TasksTable[Task ID],T112)+COUNTIF(TasksTable[Task ID],U112)+COUNTIF(TasksTable[Task ID],V112)+COUNTIF(TasksTable[Task ID],W112)+COUNTIF(TasksTable[Task ID],X112)+COUNTIF(TasksTable[Task ID],Y112)+COUNTIF(TasksTable[Task ID],Z112))</x:f>
      </x:c>
      <x:c r="AC112" s="137" t="b">
        <x:f>IF($A112="",FALSE,OR(T112=$A112,U112=$A112,V112=$A112,W112=$A112,X112=$A112,Y112=$A112,Z112=$A112))</x:f>
        <x:v>0</x:v>
      </x:c>
      <x:c r="AD112" s="144" t="n">
        <x:f>IF(AA112=0,0,MAX(IFERROR(INDEX(TasksTable[Start Date],MATCH(T112,TasksTable[Task ID],0)),0),IFERROR(INDEX(TasksTable[Start Date],MATCH(U112,TasksTable[Task ID],0)),0),IFERROR(INDEX(TasksTable[Start Date],MATCH(V112,TasksTable[Task ID],0)),0),IFERROR(INDEX(TasksTable[Start Date],MATCH(W112,TasksTable[Task ID],0)),0),IFERROR(INDEX(TasksTable[Start Date],MATCH(X112,TasksTable[Task ID],0)),0),IFERROR(INDEX(TasksTable[Start Date],MATCH(Y112,TasksTable[Task ID],0)),0),IFERROR(INDEX(TasksTable[Start Date],MATCH(Z112,TasksTable[Task ID],0)),0)))</x:f>
        <x:v>0</x:v>
      </x:c>
      <x:c r="AE112" s="144" t="n">
        <x:f>IF(AA112=0,0,MAX(IFERROR(INDEX(TasksTable[End Date],MATCH(T112,TasksTable[Task ID],0)),0),IFERROR(INDEX(TasksTable[End Date],MATCH(U112,TasksTable[Task ID],0)),0),IFERROR(INDEX(TasksTable[End Date],MATCH(V112,TasksTable[Task ID],0)),0),IFERROR(INDEX(TasksTable[End Date],MATCH(W112,TasksTable[Task ID],0)),0),IFERROR(INDEX(TasksTable[End Date],MATCH(X112,TasksTable[Task ID],0)),0),IFERROR(INDEX(TasksTable[End Date],MATCH(Y112,TasksTable[Task ID],0)),0),IFERROR(INDEX(TasksTable[End Date],MATCH(Z112,TasksTable[Task ID],0)),0)))</x:f>
        <x:v>0</x:v>
      </x:c>
      <x:c r="AF112" s="137" t="b">
        <x:f>IF(OR($A112="",AA112=0),FALSE,SWITCH($J112,"FS",$F112&lt;AE112,"SS",$F112&lt;AD112,"FF",$G112&lt;AE112,"SF",$G112&lt;AD112,TRUE))</x:f>
        <x:v>0</x:v>
      </x:c>
      <x:c r="AG112" s="137" t="str">
        <x:f>IF(AND($A112&lt;&gt;"",$K112="No",$N112&lt;&gt;"Completed",$F112&gt;=TODAY()),$F112+ROW()/100000,"")</x:f>
      </x:c>
      <x:c r="AH112" s="137" t="str">
        <x:f>IF(AND($A112&lt;&gt;"",$K112="Yes",$N112&lt;&gt;"Completed",$F112&gt;=TODAY()),$F112+ROW()/100000,"")</x:f>
      </x:c>
      <x:c r="AI112" s="137" t="str">
        <x:f>IF(AND($A112&lt;&gt;"",$K112="No",$N112&lt;&gt;"Completed",$G112&gt;=TODAY(),$G112&lt;=TODAY()+3),$G112+ROW()/100000,"")</x:f>
      </x:c>
      <x:c r="AJ112" s="137" t="str">
        <x:f>IF(AND($A112&lt;&gt;"",$K112="No",OR($N112="Delayed",$P112="Dependency conflict")),$G112+ROW()/100000,"")</x:f>
      </x:c>
      <x:c r="AK112" s="137" t="str">
        <x:f>IF(AG112="","",COUNTIFS($AG$7:$AG$206,"&gt;0",$AG$7:$AG$206,"&lt;"&amp;AG112)+1)</x:f>
      </x:c>
      <x:c r="AL112" s="137" t="str">
        <x:f>IF(AH112="","",COUNTIFS($AH$7:$AH$206,"&gt;0",$AH$7:$AH$206,"&lt;"&amp;AH112)+1)</x:f>
      </x:c>
      <x:c r="AM112" s="137" t="str">
        <x:f>IF(AI112="","",COUNTIFS($AI$7:$AI$206,"&gt;0",$AI$7:$AI$206,"&lt;"&amp;AI112)+1)</x:f>
      </x:c>
      <x:c r="AN112" s="137" t="str">
        <x:f>IF(AJ112="","",COUNTIFS($AJ$7:$AJ$206,"&gt;0",$AJ$7:$AJ$206,"&lt;"&amp;AJ112)+1)</x:f>
      </x:c>
    </x:row>
    <x:row r="113">
      <x:c r="T113" s="137" t="str">
        <x:f>IF($A113="","",TRIM(MID(SUBSTITUTE(SUBSTITUTE(TRIM($I113)," ",""),",",REPT(" ",100)),1,100)))</x:f>
      </x:c>
      <x:c r="U113" s="137" t="str">
        <x:f>IF($A113="","",TRIM(MID(SUBSTITUTE(SUBSTITUTE(TRIM($I113)," ",""),",",REPT(" ",100)),101,100)))</x:f>
      </x:c>
      <x:c r="V113" s="137" t="str">
        <x:f>IF($A113="","",TRIM(MID(SUBSTITUTE(SUBSTITUTE(TRIM($I113)," ",""),",",REPT(" ",100)),201,100)))</x:f>
      </x:c>
      <x:c r="W113" s="137" t="str">
        <x:f>IF($A113="","",TRIM(MID(SUBSTITUTE(SUBSTITUTE(TRIM($I113)," ",""),",",REPT(" ",100)),301,100)))</x:f>
      </x:c>
      <x:c r="X113" s="137" t="str">
        <x:f>IF($A113="","",TRIM(MID(SUBSTITUTE(SUBSTITUTE(TRIM($I113)," ",""),",",REPT(" ",100)),401,100)))</x:f>
      </x:c>
      <x:c r="Y113" s="137" t="str">
        <x:f>IF($A113="","",TRIM(MID(SUBSTITUTE(SUBSTITUTE(TRIM($I113)," ",""),",",REPT(" ",100)),501,100)))</x:f>
      </x:c>
      <x:c r="Z113" s="137" t="str">
        <x:f>IF($A113="","",TRIM(MID(SUBSTITUTE(SUBSTITUTE(TRIM($I113)," ",""),",",REPT(" ",100)),601,100)))</x:f>
      </x:c>
      <x:c r="AA113" s="137" t="str">
        <x:f>IF($A113="","",IF(SUBSTITUTE(TRIM($I113)," ","")="",0,1+LEN(SUBSTITUTE(TRIM($I113)," ",""))-LEN(SUBSTITUTE(SUBSTITUTE(TRIM($I113)," ",""),",",""))))</x:f>
      </x:c>
      <x:c r="AB113" s="137" t="str">
        <x:f>IF($A113="","",COUNTIF(TasksTable[Task ID],T113)+COUNTIF(TasksTable[Task ID],U113)+COUNTIF(TasksTable[Task ID],V113)+COUNTIF(TasksTable[Task ID],W113)+COUNTIF(TasksTable[Task ID],X113)+COUNTIF(TasksTable[Task ID],Y113)+COUNTIF(TasksTable[Task ID],Z113))</x:f>
      </x:c>
      <x:c r="AC113" s="137" t="b">
        <x:f>IF($A113="",FALSE,OR(T113=$A113,U113=$A113,V113=$A113,W113=$A113,X113=$A113,Y113=$A113,Z113=$A113))</x:f>
        <x:v>0</x:v>
      </x:c>
      <x:c r="AD113" s="144" t="n">
        <x:f>IF(AA113=0,0,MAX(IFERROR(INDEX(TasksTable[Start Date],MATCH(T113,TasksTable[Task ID],0)),0),IFERROR(INDEX(TasksTable[Start Date],MATCH(U113,TasksTable[Task ID],0)),0),IFERROR(INDEX(TasksTable[Start Date],MATCH(V113,TasksTable[Task ID],0)),0),IFERROR(INDEX(TasksTable[Start Date],MATCH(W113,TasksTable[Task ID],0)),0),IFERROR(INDEX(TasksTable[Start Date],MATCH(X113,TasksTable[Task ID],0)),0),IFERROR(INDEX(TasksTable[Start Date],MATCH(Y113,TasksTable[Task ID],0)),0),IFERROR(INDEX(TasksTable[Start Date],MATCH(Z113,TasksTable[Task ID],0)),0)))</x:f>
        <x:v>0</x:v>
      </x:c>
      <x:c r="AE113" s="144" t="n">
        <x:f>IF(AA113=0,0,MAX(IFERROR(INDEX(TasksTable[End Date],MATCH(T113,TasksTable[Task ID],0)),0),IFERROR(INDEX(TasksTable[End Date],MATCH(U113,TasksTable[Task ID],0)),0),IFERROR(INDEX(TasksTable[End Date],MATCH(V113,TasksTable[Task ID],0)),0),IFERROR(INDEX(TasksTable[End Date],MATCH(W113,TasksTable[Task ID],0)),0),IFERROR(INDEX(TasksTable[End Date],MATCH(X113,TasksTable[Task ID],0)),0),IFERROR(INDEX(TasksTable[End Date],MATCH(Y113,TasksTable[Task ID],0)),0),IFERROR(INDEX(TasksTable[End Date],MATCH(Z113,TasksTable[Task ID],0)),0)))</x:f>
        <x:v>0</x:v>
      </x:c>
      <x:c r="AF113" s="137" t="b">
        <x:f>IF(OR($A113="",AA113=0),FALSE,SWITCH($J113,"FS",$F113&lt;AE113,"SS",$F113&lt;AD113,"FF",$G113&lt;AE113,"SF",$G113&lt;AD113,TRUE))</x:f>
        <x:v>0</x:v>
      </x:c>
      <x:c r="AG113" s="137" t="str">
        <x:f>IF(AND($A113&lt;&gt;"",$K113="No",$N113&lt;&gt;"Completed",$F113&gt;=TODAY()),$F113+ROW()/100000,"")</x:f>
      </x:c>
      <x:c r="AH113" s="137" t="str">
        <x:f>IF(AND($A113&lt;&gt;"",$K113="Yes",$N113&lt;&gt;"Completed",$F113&gt;=TODAY()),$F113+ROW()/100000,"")</x:f>
      </x:c>
      <x:c r="AI113" s="137" t="str">
        <x:f>IF(AND($A113&lt;&gt;"",$K113="No",$N113&lt;&gt;"Completed",$G113&gt;=TODAY(),$G113&lt;=TODAY()+3),$G113+ROW()/100000,"")</x:f>
      </x:c>
      <x:c r="AJ113" s="137" t="str">
        <x:f>IF(AND($A113&lt;&gt;"",$K113="No",OR($N113="Delayed",$P113="Dependency conflict")),$G113+ROW()/100000,"")</x:f>
      </x:c>
      <x:c r="AK113" s="137" t="str">
        <x:f>IF(AG113="","",COUNTIFS($AG$7:$AG$206,"&gt;0",$AG$7:$AG$206,"&lt;"&amp;AG113)+1)</x:f>
      </x:c>
      <x:c r="AL113" s="137" t="str">
        <x:f>IF(AH113="","",COUNTIFS($AH$7:$AH$206,"&gt;0",$AH$7:$AH$206,"&lt;"&amp;AH113)+1)</x:f>
      </x:c>
      <x:c r="AM113" s="137" t="str">
        <x:f>IF(AI113="","",COUNTIFS($AI$7:$AI$206,"&gt;0",$AI$7:$AI$206,"&lt;"&amp;AI113)+1)</x:f>
      </x:c>
      <x:c r="AN113" s="137" t="str">
        <x:f>IF(AJ113="","",COUNTIFS($AJ$7:$AJ$206,"&gt;0",$AJ$7:$AJ$206,"&lt;"&amp;AJ113)+1)</x:f>
      </x:c>
    </x:row>
    <x:row r="114">
      <x:c r="T114" s="137" t="str">
        <x:f>IF($A114="","",TRIM(MID(SUBSTITUTE(SUBSTITUTE(TRIM($I114)," ",""),",",REPT(" ",100)),1,100)))</x:f>
      </x:c>
      <x:c r="U114" s="137" t="str">
        <x:f>IF($A114="","",TRIM(MID(SUBSTITUTE(SUBSTITUTE(TRIM($I114)," ",""),",",REPT(" ",100)),101,100)))</x:f>
      </x:c>
      <x:c r="V114" s="137" t="str">
        <x:f>IF($A114="","",TRIM(MID(SUBSTITUTE(SUBSTITUTE(TRIM($I114)," ",""),",",REPT(" ",100)),201,100)))</x:f>
      </x:c>
      <x:c r="W114" s="137" t="str">
        <x:f>IF($A114="","",TRIM(MID(SUBSTITUTE(SUBSTITUTE(TRIM($I114)," ",""),",",REPT(" ",100)),301,100)))</x:f>
      </x:c>
      <x:c r="X114" s="137" t="str">
        <x:f>IF($A114="","",TRIM(MID(SUBSTITUTE(SUBSTITUTE(TRIM($I114)," ",""),",",REPT(" ",100)),401,100)))</x:f>
      </x:c>
      <x:c r="Y114" s="137" t="str">
        <x:f>IF($A114="","",TRIM(MID(SUBSTITUTE(SUBSTITUTE(TRIM($I114)," ",""),",",REPT(" ",100)),501,100)))</x:f>
      </x:c>
      <x:c r="Z114" s="137" t="str">
        <x:f>IF($A114="","",TRIM(MID(SUBSTITUTE(SUBSTITUTE(TRIM($I114)," ",""),",",REPT(" ",100)),601,100)))</x:f>
      </x:c>
      <x:c r="AA114" s="137" t="str">
        <x:f>IF($A114="","",IF(SUBSTITUTE(TRIM($I114)," ","")="",0,1+LEN(SUBSTITUTE(TRIM($I114)," ",""))-LEN(SUBSTITUTE(SUBSTITUTE(TRIM($I114)," ",""),",",""))))</x:f>
      </x:c>
      <x:c r="AB114" s="137" t="str">
        <x:f>IF($A114="","",COUNTIF(TasksTable[Task ID],T114)+COUNTIF(TasksTable[Task ID],U114)+COUNTIF(TasksTable[Task ID],V114)+COUNTIF(TasksTable[Task ID],W114)+COUNTIF(TasksTable[Task ID],X114)+COUNTIF(TasksTable[Task ID],Y114)+COUNTIF(TasksTable[Task ID],Z114))</x:f>
      </x:c>
      <x:c r="AC114" s="137" t="b">
        <x:f>IF($A114="",FALSE,OR(T114=$A114,U114=$A114,V114=$A114,W114=$A114,X114=$A114,Y114=$A114,Z114=$A114))</x:f>
        <x:v>0</x:v>
      </x:c>
      <x:c r="AD114" s="144" t="n">
        <x:f>IF(AA114=0,0,MAX(IFERROR(INDEX(TasksTable[Start Date],MATCH(T114,TasksTable[Task ID],0)),0),IFERROR(INDEX(TasksTable[Start Date],MATCH(U114,TasksTable[Task ID],0)),0),IFERROR(INDEX(TasksTable[Start Date],MATCH(V114,TasksTable[Task ID],0)),0),IFERROR(INDEX(TasksTable[Start Date],MATCH(W114,TasksTable[Task ID],0)),0),IFERROR(INDEX(TasksTable[Start Date],MATCH(X114,TasksTable[Task ID],0)),0),IFERROR(INDEX(TasksTable[Start Date],MATCH(Y114,TasksTable[Task ID],0)),0),IFERROR(INDEX(TasksTable[Start Date],MATCH(Z114,TasksTable[Task ID],0)),0)))</x:f>
        <x:v>0</x:v>
      </x:c>
      <x:c r="AE114" s="144" t="n">
        <x:f>IF(AA114=0,0,MAX(IFERROR(INDEX(TasksTable[End Date],MATCH(T114,TasksTable[Task ID],0)),0),IFERROR(INDEX(TasksTable[End Date],MATCH(U114,TasksTable[Task ID],0)),0),IFERROR(INDEX(TasksTable[End Date],MATCH(V114,TasksTable[Task ID],0)),0),IFERROR(INDEX(TasksTable[End Date],MATCH(W114,TasksTable[Task ID],0)),0),IFERROR(INDEX(TasksTable[End Date],MATCH(X114,TasksTable[Task ID],0)),0),IFERROR(INDEX(TasksTable[End Date],MATCH(Y114,TasksTable[Task ID],0)),0),IFERROR(INDEX(TasksTable[End Date],MATCH(Z114,TasksTable[Task ID],0)),0)))</x:f>
        <x:v>0</x:v>
      </x:c>
      <x:c r="AF114" s="137" t="b">
        <x:f>IF(OR($A114="",AA114=0),FALSE,SWITCH($J114,"FS",$F114&lt;AE114,"SS",$F114&lt;AD114,"FF",$G114&lt;AE114,"SF",$G114&lt;AD114,TRUE))</x:f>
        <x:v>0</x:v>
      </x:c>
      <x:c r="AG114" s="137" t="str">
        <x:f>IF(AND($A114&lt;&gt;"",$K114="No",$N114&lt;&gt;"Completed",$F114&gt;=TODAY()),$F114+ROW()/100000,"")</x:f>
      </x:c>
      <x:c r="AH114" s="137" t="str">
        <x:f>IF(AND($A114&lt;&gt;"",$K114="Yes",$N114&lt;&gt;"Completed",$F114&gt;=TODAY()),$F114+ROW()/100000,"")</x:f>
      </x:c>
      <x:c r="AI114" s="137" t="str">
        <x:f>IF(AND($A114&lt;&gt;"",$K114="No",$N114&lt;&gt;"Completed",$G114&gt;=TODAY(),$G114&lt;=TODAY()+3),$G114+ROW()/100000,"")</x:f>
      </x:c>
      <x:c r="AJ114" s="137" t="str">
        <x:f>IF(AND($A114&lt;&gt;"",$K114="No",OR($N114="Delayed",$P114="Dependency conflict")),$G114+ROW()/100000,"")</x:f>
      </x:c>
      <x:c r="AK114" s="137" t="str">
        <x:f>IF(AG114="","",COUNTIFS($AG$7:$AG$206,"&gt;0",$AG$7:$AG$206,"&lt;"&amp;AG114)+1)</x:f>
      </x:c>
      <x:c r="AL114" s="137" t="str">
        <x:f>IF(AH114="","",COUNTIFS($AH$7:$AH$206,"&gt;0",$AH$7:$AH$206,"&lt;"&amp;AH114)+1)</x:f>
      </x:c>
      <x:c r="AM114" s="137" t="str">
        <x:f>IF(AI114="","",COUNTIFS($AI$7:$AI$206,"&gt;0",$AI$7:$AI$206,"&lt;"&amp;AI114)+1)</x:f>
      </x:c>
      <x:c r="AN114" s="137" t="str">
        <x:f>IF(AJ114="","",COUNTIFS($AJ$7:$AJ$206,"&gt;0",$AJ$7:$AJ$206,"&lt;"&amp;AJ114)+1)</x:f>
      </x:c>
    </x:row>
    <x:row r="115">
      <x:c r="T115" s="137" t="str">
        <x:f>IF($A115="","",TRIM(MID(SUBSTITUTE(SUBSTITUTE(TRIM($I115)," ",""),",",REPT(" ",100)),1,100)))</x:f>
      </x:c>
      <x:c r="U115" s="137" t="str">
        <x:f>IF($A115="","",TRIM(MID(SUBSTITUTE(SUBSTITUTE(TRIM($I115)," ",""),",",REPT(" ",100)),101,100)))</x:f>
      </x:c>
      <x:c r="V115" s="137" t="str">
        <x:f>IF($A115="","",TRIM(MID(SUBSTITUTE(SUBSTITUTE(TRIM($I115)," ",""),",",REPT(" ",100)),201,100)))</x:f>
      </x:c>
      <x:c r="W115" s="137" t="str">
        <x:f>IF($A115="","",TRIM(MID(SUBSTITUTE(SUBSTITUTE(TRIM($I115)," ",""),",",REPT(" ",100)),301,100)))</x:f>
      </x:c>
      <x:c r="X115" s="137" t="str">
        <x:f>IF($A115="","",TRIM(MID(SUBSTITUTE(SUBSTITUTE(TRIM($I115)," ",""),",",REPT(" ",100)),401,100)))</x:f>
      </x:c>
      <x:c r="Y115" s="137" t="str">
        <x:f>IF($A115="","",TRIM(MID(SUBSTITUTE(SUBSTITUTE(TRIM($I115)," ",""),",",REPT(" ",100)),501,100)))</x:f>
      </x:c>
      <x:c r="Z115" s="137" t="str">
        <x:f>IF($A115="","",TRIM(MID(SUBSTITUTE(SUBSTITUTE(TRIM($I115)," ",""),",",REPT(" ",100)),601,100)))</x:f>
      </x:c>
      <x:c r="AA115" s="137" t="str">
        <x:f>IF($A115="","",IF(SUBSTITUTE(TRIM($I115)," ","")="",0,1+LEN(SUBSTITUTE(TRIM($I115)," ",""))-LEN(SUBSTITUTE(SUBSTITUTE(TRIM($I115)," ",""),",",""))))</x:f>
      </x:c>
      <x:c r="AB115" s="137" t="str">
        <x:f>IF($A115="","",COUNTIF(TasksTable[Task ID],T115)+COUNTIF(TasksTable[Task ID],U115)+COUNTIF(TasksTable[Task ID],V115)+COUNTIF(TasksTable[Task ID],W115)+COUNTIF(TasksTable[Task ID],X115)+COUNTIF(TasksTable[Task ID],Y115)+COUNTIF(TasksTable[Task ID],Z115))</x:f>
      </x:c>
      <x:c r="AC115" s="137" t="b">
        <x:f>IF($A115="",FALSE,OR(T115=$A115,U115=$A115,V115=$A115,W115=$A115,X115=$A115,Y115=$A115,Z115=$A115))</x:f>
        <x:v>0</x:v>
      </x:c>
      <x:c r="AD115" s="144" t="n">
        <x:f>IF(AA115=0,0,MAX(IFERROR(INDEX(TasksTable[Start Date],MATCH(T115,TasksTable[Task ID],0)),0),IFERROR(INDEX(TasksTable[Start Date],MATCH(U115,TasksTable[Task ID],0)),0),IFERROR(INDEX(TasksTable[Start Date],MATCH(V115,TasksTable[Task ID],0)),0),IFERROR(INDEX(TasksTable[Start Date],MATCH(W115,TasksTable[Task ID],0)),0),IFERROR(INDEX(TasksTable[Start Date],MATCH(X115,TasksTable[Task ID],0)),0),IFERROR(INDEX(TasksTable[Start Date],MATCH(Y115,TasksTable[Task ID],0)),0),IFERROR(INDEX(TasksTable[Start Date],MATCH(Z115,TasksTable[Task ID],0)),0)))</x:f>
        <x:v>0</x:v>
      </x:c>
      <x:c r="AE115" s="144" t="n">
        <x:f>IF(AA115=0,0,MAX(IFERROR(INDEX(TasksTable[End Date],MATCH(T115,TasksTable[Task ID],0)),0),IFERROR(INDEX(TasksTable[End Date],MATCH(U115,TasksTable[Task ID],0)),0),IFERROR(INDEX(TasksTable[End Date],MATCH(V115,TasksTable[Task ID],0)),0),IFERROR(INDEX(TasksTable[End Date],MATCH(W115,TasksTable[Task ID],0)),0),IFERROR(INDEX(TasksTable[End Date],MATCH(X115,TasksTable[Task ID],0)),0),IFERROR(INDEX(TasksTable[End Date],MATCH(Y115,TasksTable[Task ID],0)),0),IFERROR(INDEX(TasksTable[End Date],MATCH(Z115,TasksTable[Task ID],0)),0)))</x:f>
        <x:v>0</x:v>
      </x:c>
      <x:c r="AF115" s="137" t="b">
        <x:f>IF(OR($A115="",AA115=0),FALSE,SWITCH($J115,"FS",$F115&lt;AE115,"SS",$F115&lt;AD115,"FF",$G115&lt;AE115,"SF",$G115&lt;AD115,TRUE))</x:f>
        <x:v>0</x:v>
      </x:c>
      <x:c r="AG115" s="137" t="str">
        <x:f>IF(AND($A115&lt;&gt;"",$K115="No",$N115&lt;&gt;"Completed",$F115&gt;=TODAY()),$F115+ROW()/100000,"")</x:f>
      </x:c>
      <x:c r="AH115" s="137" t="str">
        <x:f>IF(AND($A115&lt;&gt;"",$K115="Yes",$N115&lt;&gt;"Completed",$F115&gt;=TODAY()),$F115+ROW()/100000,"")</x:f>
      </x:c>
      <x:c r="AI115" s="137" t="str">
        <x:f>IF(AND($A115&lt;&gt;"",$K115="No",$N115&lt;&gt;"Completed",$G115&gt;=TODAY(),$G115&lt;=TODAY()+3),$G115+ROW()/100000,"")</x:f>
      </x:c>
      <x:c r="AJ115" s="137" t="str">
        <x:f>IF(AND($A115&lt;&gt;"",$K115="No",OR($N115="Delayed",$P115="Dependency conflict")),$G115+ROW()/100000,"")</x:f>
      </x:c>
      <x:c r="AK115" s="137" t="str">
        <x:f>IF(AG115="","",COUNTIFS($AG$7:$AG$206,"&gt;0",$AG$7:$AG$206,"&lt;"&amp;AG115)+1)</x:f>
      </x:c>
      <x:c r="AL115" s="137" t="str">
        <x:f>IF(AH115="","",COUNTIFS($AH$7:$AH$206,"&gt;0",$AH$7:$AH$206,"&lt;"&amp;AH115)+1)</x:f>
      </x:c>
      <x:c r="AM115" s="137" t="str">
        <x:f>IF(AI115="","",COUNTIFS($AI$7:$AI$206,"&gt;0",$AI$7:$AI$206,"&lt;"&amp;AI115)+1)</x:f>
      </x:c>
      <x:c r="AN115" s="137" t="str">
        <x:f>IF(AJ115="","",COUNTIFS($AJ$7:$AJ$206,"&gt;0",$AJ$7:$AJ$206,"&lt;"&amp;AJ115)+1)</x:f>
      </x:c>
    </x:row>
    <x:row r="116">
      <x:c r="T116" s="137" t="str">
        <x:f>IF($A116="","",TRIM(MID(SUBSTITUTE(SUBSTITUTE(TRIM($I116)," ",""),",",REPT(" ",100)),1,100)))</x:f>
      </x:c>
      <x:c r="U116" s="137" t="str">
        <x:f>IF($A116="","",TRIM(MID(SUBSTITUTE(SUBSTITUTE(TRIM($I116)," ",""),",",REPT(" ",100)),101,100)))</x:f>
      </x:c>
      <x:c r="V116" s="137" t="str">
        <x:f>IF($A116="","",TRIM(MID(SUBSTITUTE(SUBSTITUTE(TRIM($I116)," ",""),",",REPT(" ",100)),201,100)))</x:f>
      </x:c>
      <x:c r="W116" s="137" t="str">
        <x:f>IF($A116="","",TRIM(MID(SUBSTITUTE(SUBSTITUTE(TRIM($I116)," ",""),",",REPT(" ",100)),301,100)))</x:f>
      </x:c>
      <x:c r="X116" s="137" t="str">
        <x:f>IF($A116="","",TRIM(MID(SUBSTITUTE(SUBSTITUTE(TRIM($I116)," ",""),",",REPT(" ",100)),401,100)))</x:f>
      </x:c>
      <x:c r="Y116" s="137" t="str">
        <x:f>IF($A116="","",TRIM(MID(SUBSTITUTE(SUBSTITUTE(TRIM($I116)," ",""),",",REPT(" ",100)),501,100)))</x:f>
      </x:c>
      <x:c r="Z116" s="137" t="str">
        <x:f>IF($A116="","",TRIM(MID(SUBSTITUTE(SUBSTITUTE(TRIM($I116)," ",""),",",REPT(" ",100)),601,100)))</x:f>
      </x:c>
      <x:c r="AA116" s="137" t="str">
        <x:f>IF($A116="","",IF(SUBSTITUTE(TRIM($I116)," ","")="",0,1+LEN(SUBSTITUTE(TRIM($I116)," ",""))-LEN(SUBSTITUTE(SUBSTITUTE(TRIM($I116)," ",""),",",""))))</x:f>
      </x:c>
      <x:c r="AB116" s="137" t="str">
        <x:f>IF($A116="","",COUNTIF(TasksTable[Task ID],T116)+COUNTIF(TasksTable[Task ID],U116)+COUNTIF(TasksTable[Task ID],V116)+COUNTIF(TasksTable[Task ID],W116)+COUNTIF(TasksTable[Task ID],X116)+COUNTIF(TasksTable[Task ID],Y116)+COUNTIF(TasksTable[Task ID],Z116))</x:f>
      </x:c>
      <x:c r="AC116" s="137" t="b">
        <x:f>IF($A116="",FALSE,OR(T116=$A116,U116=$A116,V116=$A116,W116=$A116,X116=$A116,Y116=$A116,Z116=$A116))</x:f>
        <x:v>0</x:v>
      </x:c>
      <x:c r="AD116" s="144" t="n">
        <x:f>IF(AA116=0,0,MAX(IFERROR(INDEX(TasksTable[Start Date],MATCH(T116,TasksTable[Task ID],0)),0),IFERROR(INDEX(TasksTable[Start Date],MATCH(U116,TasksTable[Task ID],0)),0),IFERROR(INDEX(TasksTable[Start Date],MATCH(V116,TasksTable[Task ID],0)),0),IFERROR(INDEX(TasksTable[Start Date],MATCH(W116,TasksTable[Task ID],0)),0),IFERROR(INDEX(TasksTable[Start Date],MATCH(X116,TasksTable[Task ID],0)),0),IFERROR(INDEX(TasksTable[Start Date],MATCH(Y116,TasksTable[Task ID],0)),0),IFERROR(INDEX(TasksTable[Start Date],MATCH(Z116,TasksTable[Task ID],0)),0)))</x:f>
        <x:v>0</x:v>
      </x:c>
      <x:c r="AE116" s="144" t="n">
        <x:f>IF(AA116=0,0,MAX(IFERROR(INDEX(TasksTable[End Date],MATCH(T116,TasksTable[Task ID],0)),0),IFERROR(INDEX(TasksTable[End Date],MATCH(U116,TasksTable[Task ID],0)),0),IFERROR(INDEX(TasksTable[End Date],MATCH(V116,TasksTable[Task ID],0)),0),IFERROR(INDEX(TasksTable[End Date],MATCH(W116,TasksTable[Task ID],0)),0),IFERROR(INDEX(TasksTable[End Date],MATCH(X116,TasksTable[Task ID],0)),0),IFERROR(INDEX(TasksTable[End Date],MATCH(Y116,TasksTable[Task ID],0)),0),IFERROR(INDEX(TasksTable[End Date],MATCH(Z116,TasksTable[Task ID],0)),0)))</x:f>
        <x:v>0</x:v>
      </x:c>
      <x:c r="AF116" s="137" t="b">
        <x:f>IF(OR($A116="",AA116=0),FALSE,SWITCH($J116,"FS",$F116&lt;AE116,"SS",$F116&lt;AD116,"FF",$G116&lt;AE116,"SF",$G116&lt;AD116,TRUE))</x:f>
        <x:v>0</x:v>
      </x:c>
      <x:c r="AG116" s="137" t="str">
        <x:f>IF(AND($A116&lt;&gt;"",$K116="No",$N116&lt;&gt;"Completed",$F116&gt;=TODAY()),$F116+ROW()/100000,"")</x:f>
      </x:c>
      <x:c r="AH116" s="137" t="str">
        <x:f>IF(AND($A116&lt;&gt;"",$K116="Yes",$N116&lt;&gt;"Completed",$F116&gt;=TODAY()),$F116+ROW()/100000,"")</x:f>
      </x:c>
      <x:c r="AI116" s="137" t="str">
        <x:f>IF(AND($A116&lt;&gt;"",$K116="No",$N116&lt;&gt;"Completed",$G116&gt;=TODAY(),$G116&lt;=TODAY()+3),$G116+ROW()/100000,"")</x:f>
      </x:c>
      <x:c r="AJ116" s="137" t="str">
        <x:f>IF(AND($A116&lt;&gt;"",$K116="No",OR($N116="Delayed",$P116="Dependency conflict")),$G116+ROW()/100000,"")</x:f>
      </x:c>
      <x:c r="AK116" s="137" t="str">
        <x:f>IF(AG116="","",COUNTIFS($AG$7:$AG$206,"&gt;0",$AG$7:$AG$206,"&lt;"&amp;AG116)+1)</x:f>
      </x:c>
      <x:c r="AL116" s="137" t="str">
        <x:f>IF(AH116="","",COUNTIFS($AH$7:$AH$206,"&gt;0",$AH$7:$AH$206,"&lt;"&amp;AH116)+1)</x:f>
      </x:c>
      <x:c r="AM116" s="137" t="str">
        <x:f>IF(AI116="","",COUNTIFS($AI$7:$AI$206,"&gt;0",$AI$7:$AI$206,"&lt;"&amp;AI116)+1)</x:f>
      </x:c>
      <x:c r="AN116" s="137" t="str">
        <x:f>IF(AJ116="","",COUNTIFS($AJ$7:$AJ$206,"&gt;0",$AJ$7:$AJ$206,"&lt;"&amp;AJ116)+1)</x:f>
      </x:c>
    </x:row>
    <x:row r="117">
      <x:c r="T117" s="137" t="str">
        <x:f>IF($A117="","",TRIM(MID(SUBSTITUTE(SUBSTITUTE(TRIM($I117)," ",""),",",REPT(" ",100)),1,100)))</x:f>
      </x:c>
      <x:c r="U117" s="137" t="str">
        <x:f>IF($A117="","",TRIM(MID(SUBSTITUTE(SUBSTITUTE(TRIM($I117)," ",""),",",REPT(" ",100)),101,100)))</x:f>
      </x:c>
      <x:c r="V117" s="137" t="str">
        <x:f>IF($A117="","",TRIM(MID(SUBSTITUTE(SUBSTITUTE(TRIM($I117)," ",""),",",REPT(" ",100)),201,100)))</x:f>
      </x:c>
      <x:c r="W117" s="137" t="str">
        <x:f>IF($A117="","",TRIM(MID(SUBSTITUTE(SUBSTITUTE(TRIM($I117)," ",""),",",REPT(" ",100)),301,100)))</x:f>
      </x:c>
      <x:c r="X117" s="137" t="str">
        <x:f>IF($A117="","",TRIM(MID(SUBSTITUTE(SUBSTITUTE(TRIM($I117)," ",""),",",REPT(" ",100)),401,100)))</x:f>
      </x:c>
      <x:c r="Y117" s="137" t="str">
        <x:f>IF($A117="","",TRIM(MID(SUBSTITUTE(SUBSTITUTE(TRIM($I117)," ",""),",",REPT(" ",100)),501,100)))</x:f>
      </x:c>
      <x:c r="Z117" s="137" t="str">
        <x:f>IF($A117="","",TRIM(MID(SUBSTITUTE(SUBSTITUTE(TRIM($I117)," ",""),",",REPT(" ",100)),601,100)))</x:f>
      </x:c>
      <x:c r="AA117" s="137" t="str">
        <x:f>IF($A117="","",IF(SUBSTITUTE(TRIM($I117)," ","")="",0,1+LEN(SUBSTITUTE(TRIM($I117)," ",""))-LEN(SUBSTITUTE(SUBSTITUTE(TRIM($I117)," ",""),",",""))))</x:f>
      </x:c>
      <x:c r="AB117" s="137" t="str">
        <x:f>IF($A117="","",COUNTIF(TasksTable[Task ID],T117)+COUNTIF(TasksTable[Task ID],U117)+COUNTIF(TasksTable[Task ID],V117)+COUNTIF(TasksTable[Task ID],W117)+COUNTIF(TasksTable[Task ID],X117)+COUNTIF(TasksTable[Task ID],Y117)+COUNTIF(TasksTable[Task ID],Z117))</x:f>
      </x:c>
      <x:c r="AC117" s="137" t="b">
        <x:f>IF($A117="",FALSE,OR(T117=$A117,U117=$A117,V117=$A117,W117=$A117,X117=$A117,Y117=$A117,Z117=$A117))</x:f>
        <x:v>0</x:v>
      </x:c>
      <x:c r="AD117" s="144" t="n">
        <x:f>IF(AA117=0,0,MAX(IFERROR(INDEX(TasksTable[Start Date],MATCH(T117,TasksTable[Task ID],0)),0),IFERROR(INDEX(TasksTable[Start Date],MATCH(U117,TasksTable[Task ID],0)),0),IFERROR(INDEX(TasksTable[Start Date],MATCH(V117,TasksTable[Task ID],0)),0),IFERROR(INDEX(TasksTable[Start Date],MATCH(W117,TasksTable[Task ID],0)),0),IFERROR(INDEX(TasksTable[Start Date],MATCH(X117,TasksTable[Task ID],0)),0),IFERROR(INDEX(TasksTable[Start Date],MATCH(Y117,TasksTable[Task ID],0)),0),IFERROR(INDEX(TasksTable[Start Date],MATCH(Z117,TasksTable[Task ID],0)),0)))</x:f>
        <x:v>0</x:v>
      </x:c>
      <x:c r="AE117" s="144" t="n">
        <x:f>IF(AA117=0,0,MAX(IFERROR(INDEX(TasksTable[End Date],MATCH(T117,TasksTable[Task ID],0)),0),IFERROR(INDEX(TasksTable[End Date],MATCH(U117,TasksTable[Task ID],0)),0),IFERROR(INDEX(TasksTable[End Date],MATCH(V117,TasksTable[Task ID],0)),0),IFERROR(INDEX(TasksTable[End Date],MATCH(W117,TasksTable[Task ID],0)),0),IFERROR(INDEX(TasksTable[End Date],MATCH(X117,TasksTable[Task ID],0)),0),IFERROR(INDEX(TasksTable[End Date],MATCH(Y117,TasksTable[Task ID],0)),0),IFERROR(INDEX(TasksTable[End Date],MATCH(Z117,TasksTable[Task ID],0)),0)))</x:f>
        <x:v>0</x:v>
      </x:c>
      <x:c r="AF117" s="137" t="b">
        <x:f>IF(OR($A117="",AA117=0),FALSE,SWITCH($J117,"FS",$F117&lt;AE117,"SS",$F117&lt;AD117,"FF",$G117&lt;AE117,"SF",$G117&lt;AD117,TRUE))</x:f>
        <x:v>0</x:v>
      </x:c>
      <x:c r="AG117" s="137" t="str">
        <x:f>IF(AND($A117&lt;&gt;"",$K117="No",$N117&lt;&gt;"Completed",$F117&gt;=TODAY()),$F117+ROW()/100000,"")</x:f>
      </x:c>
      <x:c r="AH117" s="137" t="str">
        <x:f>IF(AND($A117&lt;&gt;"",$K117="Yes",$N117&lt;&gt;"Completed",$F117&gt;=TODAY()),$F117+ROW()/100000,"")</x:f>
      </x:c>
      <x:c r="AI117" s="137" t="str">
        <x:f>IF(AND($A117&lt;&gt;"",$K117="No",$N117&lt;&gt;"Completed",$G117&gt;=TODAY(),$G117&lt;=TODAY()+3),$G117+ROW()/100000,"")</x:f>
      </x:c>
      <x:c r="AJ117" s="137" t="str">
        <x:f>IF(AND($A117&lt;&gt;"",$K117="No",OR($N117="Delayed",$P117="Dependency conflict")),$G117+ROW()/100000,"")</x:f>
      </x:c>
      <x:c r="AK117" s="137" t="str">
        <x:f>IF(AG117="","",COUNTIFS($AG$7:$AG$206,"&gt;0",$AG$7:$AG$206,"&lt;"&amp;AG117)+1)</x:f>
      </x:c>
      <x:c r="AL117" s="137" t="str">
        <x:f>IF(AH117="","",COUNTIFS($AH$7:$AH$206,"&gt;0",$AH$7:$AH$206,"&lt;"&amp;AH117)+1)</x:f>
      </x:c>
      <x:c r="AM117" s="137" t="str">
        <x:f>IF(AI117="","",COUNTIFS($AI$7:$AI$206,"&gt;0",$AI$7:$AI$206,"&lt;"&amp;AI117)+1)</x:f>
      </x:c>
      <x:c r="AN117" s="137" t="str">
        <x:f>IF(AJ117="","",COUNTIFS($AJ$7:$AJ$206,"&gt;0",$AJ$7:$AJ$206,"&lt;"&amp;AJ117)+1)</x:f>
      </x:c>
    </x:row>
    <x:row r="118">
      <x:c r="T118" s="137" t="str">
        <x:f>IF($A118="","",TRIM(MID(SUBSTITUTE(SUBSTITUTE(TRIM($I118)," ",""),",",REPT(" ",100)),1,100)))</x:f>
      </x:c>
      <x:c r="U118" s="137" t="str">
        <x:f>IF($A118="","",TRIM(MID(SUBSTITUTE(SUBSTITUTE(TRIM($I118)," ",""),",",REPT(" ",100)),101,100)))</x:f>
      </x:c>
      <x:c r="V118" s="137" t="str">
        <x:f>IF($A118="","",TRIM(MID(SUBSTITUTE(SUBSTITUTE(TRIM($I118)," ",""),",",REPT(" ",100)),201,100)))</x:f>
      </x:c>
      <x:c r="W118" s="137" t="str">
        <x:f>IF($A118="","",TRIM(MID(SUBSTITUTE(SUBSTITUTE(TRIM($I118)," ",""),",",REPT(" ",100)),301,100)))</x:f>
      </x:c>
      <x:c r="X118" s="137" t="str">
        <x:f>IF($A118="","",TRIM(MID(SUBSTITUTE(SUBSTITUTE(TRIM($I118)," ",""),",",REPT(" ",100)),401,100)))</x:f>
      </x:c>
      <x:c r="Y118" s="137" t="str">
        <x:f>IF($A118="","",TRIM(MID(SUBSTITUTE(SUBSTITUTE(TRIM($I118)," ",""),",",REPT(" ",100)),501,100)))</x:f>
      </x:c>
      <x:c r="Z118" s="137" t="str">
        <x:f>IF($A118="","",TRIM(MID(SUBSTITUTE(SUBSTITUTE(TRIM($I118)," ",""),",",REPT(" ",100)),601,100)))</x:f>
      </x:c>
      <x:c r="AA118" s="137" t="str">
        <x:f>IF($A118="","",IF(SUBSTITUTE(TRIM($I118)," ","")="",0,1+LEN(SUBSTITUTE(TRIM($I118)," ",""))-LEN(SUBSTITUTE(SUBSTITUTE(TRIM($I118)," ",""),",",""))))</x:f>
      </x:c>
      <x:c r="AB118" s="137" t="str">
        <x:f>IF($A118="","",COUNTIF(TasksTable[Task ID],T118)+COUNTIF(TasksTable[Task ID],U118)+COUNTIF(TasksTable[Task ID],V118)+COUNTIF(TasksTable[Task ID],W118)+COUNTIF(TasksTable[Task ID],X118)+COUNTIF(TasksTable[Task ID],Y118)+COUNTIF(TasksTable[Task ID],Z118))</x:f>
      </x:c>
      <x:c r="AC118" s="137" t="b">
        <x:f>IF($A118="",FALSE,OR(T118=$A118,U118=$A118,V118=$A118,W118=$A118,X118=$A118,Y118=$A118,Z118=$A118))</x:f>
        <x:v>0</x:v>
      </x:c>
      <x:c r="AD118" s="144" t="n">
        <x:f>IF(AA118=0,0,MAX(IFERROR(INDEX(TasksTable[Start Date],MATCH(T118,TasksTable[Task ID],0)),0),IFERROR(INDEX(TasksTable[Start Date],MATCH(U118,TasksTable[Task ID],0)),0),IFERROR(INDEX(TasksTable[Start Date],MATCH(V118,TasksTable[Task ID],0)),0),IFERROR(INDEX(TasksTable[Start Date],MATCH(W118,TasksTable[Task ID],0)),0),IFERROR(INDEX(TasksTable[Start Date],MATCH(X118,TasksTable[Task ID],0)),0),IFERROR(INDEX(TasksTable[Start Date],MATCH(Y118,TasksTable[Task ID],0)),0),IFERROR(INDEX(TasksTable[Start Date],MATCH(Z118,TasksTable[Task ID],0)),0)))</x:f>
        <x:v>0</x:v>
      </x:c>
      <x:c r="AE118" s="144" t="n">
        <x:f>IF(AA118=0,0,MAX(IFERROR(INDEX(TasksTable[End Date],MATCH(T118,TasksTable[Task ID],0)),0),IFERROR(INDEX(TasksTable[End Date],MATCH(U118,TasksTable[Task ID],0)),0),IFERROR(INDEX(TasksTable[End Date],MATCH(V118,TasksTable[Task ID],0)),0),IFERROR(INDEX(TasksTable[End Date],MATCH(W118,TasksTable[Task ID],0)),0),IFERROR(INDEX(TasksTable[End Date],MATCH(X118,TasksTable[Task ID],0)),0),IFERROR(INDEX(TasksTable[End Date],MATCH(Y118,TasksTable[Task ID],0)),0),IFERROR(INDEX(TasksTable[End Date],MATCH(Z118,TasksTable[Task ID],0)),0)))</x:f>
        <x:v>0</x:v>
      </x:c>
      <x:c r="AF118" s="137" t="b">
        <x:f>IF(OR($A118="",AA118=0),FALSE,SWITCH($J118,"FS",$F118&lt;AE118,"SS",$F118&lt;AD118,"FF",$G118&lt;AE118,"SF",$G118&lt;AD118,TRUE))</x:f>
        <x:v>0</x:v>
      </x:c>
      <x:c r="AG118" s="137" t="str">
        <x:f>IF(AND($A118&lt;&gt;"",$K118="No",$N118&lt;&gt;"Completed",$F118&gt;=TODAY()),$F118+ROW()/100000,"")</x:f>
      </x:c>
      <x:c r="AH118" s="137" t="str">
        <x:f>IF(AND($A118&lt;&gt;"",$K118="Yes",$N118&lt;&gt;"Completed",$F118&gt;=TODAY()),$F118+ROW()/100000,"")</x:f>
      </x:c>
      <x:c r="AI118" s="137" t="str">
        <x:f>IF(AND($A118&lt;&gt;"",$K118="No",$N118&lt;&gt;"Completed",$G118&gt;=TODAY(),$G118&lt;=TODAY()+3),$G118+ROW()/100000,"")</x:f>
      </x:c>
      <x:c r="AJ118" s="137" t="str">
        <x:f>IF(AND($A118&lt;&gt;"",$K118="No",OR($N118="Delayed",$P118="Dependency conflict")),$G118+ROW()/100000,"")</x:f>
      </x:c>
      <x:c r="AK118" s="137" t="str">
        <x:f>IF(AG118="","",COUNTIFS($AG$7:$AG$206,"&gt;0",$AG$7:$AG$206,"&lt;"&amp;AG118)+1)</x:f>
      </x:c>
      <x:c r="AL118" s="137" t="str">
        <x:f>IF(AH118="","",COUNTIFS($AH$7:$AH$206,"&gt;0",$AH$7:$AH$206,"&lt;"&amp;AH118)+1)</x:f>
      </x:c>
      <x:c r="AM118" s="137" t="str">
        <x:f>IF(AI118="","",COUNTIFS($AI$7:$AI$206,"&gt;0",$AI$7:$AI$206,"&lt;"&amp;AI118)+1)</x:f>
      </x:c>
      <x:c r="AN118" s="137" t="str">
        <x:f>IF(AJ118="","",COUNTIFS($AJ$7:$AJ$206,"&gt;0",$AJ$7:$AJ$206,"&lt;"&amp;AJ118)+1)</x:f>
      </x:c>
    </x:row>
    <x:row r="119">
      <x:c r="T119" s="137" t="str">
        <x:f>IF($A119="","",TRIM(MID(SUBSTITUTE(SUBSTITUTE(TRIM($I119)," ",""),",",REPT(" ",100)),1,100)))</x:f>
      </x:c>
      <x:c r="U119" s="137" t="str">
        <x:f>IF($A119="","",TRIM(MID(SUBSTITUTE(SUBSTITUTE(TRIM($I119)," ",""),",",REPT(" ",100)),101,100)))</x:f>
      </x:c>
      <x:c r="V119" s="137" t="str">
        <x:f>IF($A119="","",TRIM(MID(SUBSTITUTE(SUBSTITUTE(TRIM($I119)," ",""),",",REPT(" ",100)),201,100)))</x:f>
      </x:c>
      <x:c r="W119" s="137" t="str">
        <x:f>IF($A119="","",TRIM(MID(SUBSTITUTE(SUBSTITUTE(TRIM($I119)," ",""),",",REPT(" ",100)),301,100)))</x:f>
      </x:c>
      <x:c r="X119" s="137" t="str">
        <x:f>IF($A119="","",TRIM(MID(SUBSTITUTE(SUBSTITUTE(TRIM($I119)," ",""),",",REPT(" ",100)),401,100)))</x:f>
      </x:c>
      <x:c r="Y119" s="137" t="str">
        <x:f>IF($A119="","",TRIM(MID(SUBSTITUTE(SUBSTITUTE(TRIM($I119)," ",""),",",REPT(" ",100)),501,100)))</x:f>
      </x:c>
      <x:c r="Z119" s="137" t="str">
        <x:f>IF($A119="","",TRIM(MID(SUBSTITUTE(SUBSTITUTE(TRIM($I119)," ",""),",",REPT(" ",100)),601,100)))</x:f>
      </x:c>
      <x:c r="AA119" s="137" t="str">
        <x:f>IF($A119="","",IF(SUBSTITUTE(TRIM($I119)," ","")="",0,1+LEN(SUBSTITUTE(TRIM($I119)," ",""))-LEN(SUBSTITUTE(SUBSTITUTE(TRIM($I119)," ",""),",",""))))</x:f>
      </x:c>
      <x:c r="AB119" s="137" t="str">
        <x:f>IF($A119="","",COUNTIF(TasksTable[Task ID],T119)+COUNTIF(TasksTable[Task ID],U119)+COUNTIF(TasksTable[Task ID],V119)+COUNTIF(TasksTable[Task ID],W119)+COUNTIF(TasksTable[Task ID],X119)+COUNTIF(TasksTable[Task ID],Y119)+COUNTIF(TasksTable[Task ID],Z119))</x:f>
      </x:c>
      <x:c r="AC119" s="137" t="b">
        <x:f>IF($A119="",FALSE,OR(T119=$A119,U119=$A119,V119=$A119,W119=$A119,X119=$A119,Y119=$A119,Z119=$A119))</x:f>
        <x:v>0</x:v>
      </x:c>
      <x:c r="AD119" s="144" t="n">
        <x:f>IF(AA119=0,0,MAX(IFERROR(INDEX(TasksTable[Start Date],MATCH(T119,TasksTable[Task ID],0)),0),IFERROR(INDEX(TasksTable[Start Date],MATCH(U119,TasksTable[Task ID],0)),0),IFERROR(INDEX(TasksTable[Start Date],MATCH(V119,TasksTable[Task ID],0)),0),IFERROR(INDEX(TasksTable[Start Date],MATCH(W119,TasksTable[Task ID],0)),0),IFERROR(INDEX(TasksTable[Start Date],MATCH(X119,TasksTable[Task ID],0)),0),IFERROR(INDEX(TasksTable[Start Date],MATCH(Y119,TasksTable[Task ID],0)),0),IFERROR(INDEX(TasksTable[Start Date],MATCH(Z119,TasksTable[Task ID],0)),0)))</x:f>
        <x:v>0</x:v>
      </x:c>
      <x:c r="AE119" s="144" t="n">
        <x:f>IF(AA119=0,0,MAX(IFERROR(INDEX(TasksTable[End Date],MATCH(T119,TasksTable[Task ID],0)),0),IFERROR(INDEX(TasksTable[End Date],MATCH(U119,TasksTable[Task ID],0)),0),IFERROR(INDEX(TasksTable[End Date],MATCH(V119,TasksTable[Task ID],0)),0),IFERROR(INDEX(TasksTable[End Date],MATCH(W119,TasksTable[Task ID],0)),0),IFERROR(INDEX(TasksTable[End Date],MATCH(X119,TasksTable[Task ID],0)),0),IFERROR(INDEX(TasksTable[End Date],MATCH(Y119,TasksTable[Task ID],0)),0),IFERROR(INDEX(TasksTable[End Date],MATCH(Z119,TasksTable[Task ID],0)),0)))</x:f>
        <x:v>0</x:v>
      </x:c>
      <x:c r="AF119" s="137" t="b">
        <x:f>IF(OR($A119="",AA119=0),FALSE,SWITCH($J119,"FS",$F119&lt;AE119,"SS",$F119&lt;AD119,"FF",$G119&lt;AE119,"SF",$G119&lt;AD119,TRUE))</x:f>
        <x:v>0</x:v>
      </x:c>
      <x:c r="AG119" s="137" t="str">
        <x:f>IF(AND($A119&lt;&gt;"",$K119="No",$N119&lt;&gt;"Completed",$F119&gt;=TODAY()),$F119+ROW()/100000,"")</x:f>
      </x:c>
      <x:c r="AH119" s="137" t="str">
        <x:f>IF(AND($A119&lt;&gt;"",$K119="Yes",$N119&lt;&gt;"Completed",$F119&gt;=TODAY()),$F119+ROW()/100000,"")</x:f>
      </x:c>
      <x:c r="AI119" s="137" t="str">
        <x:f>IF(AND($A119&lt;&gt;"",$K119="No",$N119&lt;&gt;"Completed",$G119&gt;=TODAY(),$G119&lt;=TODAY()+3),$G119+ROW()/100000,"")</x:f>
      </x:c>
      <x:c r="AJ119" s="137" t="str">
        <x:f>IF(AND($A119&lt;&gt;"",$K119="No",OR($N119="Delayed",$P119="Dependency conflict")),$G119+ROW()/100000,"")</x:f>
      </x:c>
      <x:c r="AK119" s="137" t="str">
        <x:f>IF(AG119="","",COUNTIFS($AG$7:$AG$206,"&gt;0",$AG$7:$AG$206,"&lt;"&amp;AG119)+1)</x:f>
      </x:c>
      <x:c r="AL119" s="137" t="str">
        <x:f>IF(AH119="","",COUNTIFS($AH$7:$AH$206,"&gt;0",$AH$7:$AH$206,"&lt;"&amp;AH119)+1)</x:f>
      </x:c>
      <x:c r="AM119" s="137" t="str">
        <x:f>IF(AI119="","",COUNTIFS($AI$7:$AI$206,"&gt;0",$AI$7:$AI$206,"&lt;"&amp;AI119)+1)</x:f>
      </x:c>
      <x:c r="AN119" s="137" t="str">
        <x:f>IF(AJ119="","",COUNTIFS($AJ$7:$AJ$206,"&gt;0",$AJ$7:$AJ$206,"&lt;"&amp;AJ119)+1)</x:f>
      </x:c>
    </x:row>
    <x:row r="120">
      <x:c r="T120" s="137" t="str">
        <x:f>IF($A120="","",TRIM(MID(SUBSTITUTE(SUBSTITUTE(TRIM($I120)," ",""),",",REPT(" ",100)),1,100)))</x:f>
      </x:c>
      <x:c r="U120" s="137" t="str">
        <x:f>IF($A120="","",TRIM(MID(SUBSTITUTE(SUBSTITUTE(TRIM($I120)," ",""),",",REPT(" ",100)),101,100)))</x:f>
      </x:c>
      <x:c r="V120" s="137" t="str">
        <x:f>IF($A120="","",TRIM(MID(SUBSTITUTE(SUBSTITUTE(TRIM($I120)," ",""),",",REPT(" ",100)),201,100)))</x:f>
      </x:c>
      <x:c r="W120" s="137" t="str">
        <x:f>IF($A120="","",TRIM(MID(SUBSTITUTE(SUBSTITUTE(TRIM($I120)," ",""),",",REPT(" ",100)),301,100)))</x:f>
      </x:c>
      <x:c r="X120" s="137" t="str">
        <x:f>IF($A120="","",TRIM(MID(SUBSTITUTE(SUBSTITUTE(TRIM($I120)," ",""),",",REPT(" ",100)),401,100)))</x:f>
      </x:c>
      <x:c r="Y120" s="137" t="str">
        <x:f>IF($A120="","",TRIM(MID(SUBSTITUTE(SUBSTITUTE(TRIM($I120)," ",""),",",REPT(" ",100)),501,100)))</x:f>
      </x:c>
      <x:c r="Z120" s="137" t="str">
        <x:f>IF($A120="","",TRIM(MID(SUBSTITUTE(SUBSTITUTE(TRIM($I120)," ",""),",",REPT(" ",100)),601,100)))</x:f>
      </x:c>
      <x:c r="AA120" s="137" t="str">
        <x:f>IF($A120="","",IF(SUBSTITUTE(TRIM($I120)," ","")="",0,1+LEN(SUBSTITUTE(TRIM($I120)," ",""))-LEN(SUBSTITUTE(SUBSTITUTE(TRIM($I120)," ",""),",",""))))</x:f>
      </x:c>
      <x:c r="AB120" s="137" t="str">
        <x:f>IF($A120="","",COUNTIF(TasksTable[Task ID],T120)+COUNTIF(TasksTable[Task ID],U120)+COUNTIF(TasksTable[Task ID],V120)+COUNTIF(TasksTable[Task ID],W120)+COUNTIF(TasksTable[Task ID],X120)+COUNTIF(TasksTable[Task ID],Y120)+COUNTIF(TasksTable[Task ID],Z120))</x:f>
      </x:c>
      <x:c r="AC120" s="137" t="b">
        <x:f>IF($A120="",FALSE,OR(T120=$A120,U120=$A120,V120=$A120,W120=$A120,X120=$A120,Y120=$A120,Z120=$A120))</x:f>
        <x:v>0</x:v>
      </x:c>
      <x:c r="AD120" s="144" t="n">
        <x:f>IF(AA120=0,0,MAX(IFERROR(INDEX(TasksTable[Start Date],MATCH(T120,TasksTable[Task ID],0)),0),IFERROR(INDEX(TasksTable[Start Date],MATCH(U120,TasksTable[Task ID],0)),0),IFERROR(INDEX(TasksTable[Start Date],MATCH(V120,TasksTable[Task ID],0)),0),IFERROR(INDEX(TasksTable[Start Date],MATCH(W120,TasksTable[Task ID],0)),0),IFERROR(INDEX(TasksTable[Start Date],MATCH(X120,TasksTable[Task ID],0)),0),IFERROR(INDEX(TasksTable[Start Date],MATCH(Y120,TasksTable[Task ID],0)),0),IFERROR(INDEX(TasksTable[Start Date],MATCH(Z120,TasksTable[Task ID],0)),0)))</x:f>
        <x:v>0</x:v>
      </x:c>
      <x:c r="AE120" s="144" t="n">
        <x:f>IF(AA120=0,0,MAX(IFERROR(INDEX(TasksTable[End Date],MATCH(T120,TasksTable[Task ID],0)),0),IFERROR(INDEX(TasksTable[End Date],MATCH(U120,TasksTable[Task ID],0)),0),IFERROR(INDEX(TasksTable[End Date],MATCH(V120,TasksTable[Task ID],0)),0),IFERROR(INDEX(TasksTable[End Date],MATCH(W120,TasksTable[Task ID],0)),0),IFERROR(INDEX(TasksTable[End Date],MATCH(X120,TasksTable[Task ID],0)),0),IFERROR(INDEX(TasksTable[End Date],MATCH(Y120,TasksTable[Task ID],0)),0),IFERROR(INDEX(TasksTable[End Date],MATCH(Z120,TasksTable[Task ID],0)),0)))</x:f>
        <x:v>0</x:v>
      </x:c>
      <x:c r="AF120" s="137" t="b">
        <x:f>IF(OR($A120="",AA120=0),FALSE,SWITCH($J120,"FS",$F120&lt;AE120,"SS",$F120&lt;AD120,"FF",$G120&lt;AE120,"SF",$G120&lt;AD120,TRUE))</x:f>
        <x:v>0</x:v>
      </x:c>
      <x:c r="AG120" s="137" t="str">
        <x:f>IF(AND($A120&lt;&gt;"",$K120="No",$N120&lt;&gt;"Completed",$F120&gt;=TODAY()),$F120+ROW()/100000,"")</x:f>
      </x:c>
      <x:c r="AH120" s="137" t="str">
        <x:f>IF(AND($A120&lt;&gt;"",$K120="Yes",$N120&lt;&gt;"Completed",$F120&gt;=TODAY()),$F120+ROW()/100000,"")</x:f>
      </x:c>
      <x:c r="AI120" s="137" t="str">
        <x:f>IF(AND($A120&lt;&gt;"",$K120="No",$N120&lt;&gt;"Completed",$G120&gt;=TODAY(),$G120&lt;=TODAY()+3),$G120+ROW()/100000,"")</x:f>
      </x:c>
      <x:c r="AJ120" s="137" t="str">
        <x:f>IF(AND($A120&lt;&gt;"",$K120="No",OR($N120="Delayed",$P120="Dependency conflict")),$G120+ROW()/100000,"")</x:f>
      </x:c>
      <x:c r="AK120" s="137" t="str">
        <x:f>IF(AG120="","",COUNTIFS($AG$7:$AG$206,"&gt;0",$AG$7:$AG$206,"&lt;"&amp;AG120)+1)</x:f>
      </x:c>
      <x:c r="AL120" s="137" t="str">
        <x:f>IF(AH120="","",COUNTIFS($AH$7:$AH$206,"&gt;0",$AH$7:$AH$206,"&lt;"&amp;AH120)+1)</x:f>
      </x:c>
      <x:c r="AM120" s="137" t="str">
        <x:f>IF(AI120="","",COUNTIFS($AI$7:$AI$206,"&gt;0",$AI$7:$AI$206,"&lt;"&amp;AI120)+1)</x:f>
      </x:c>
      <x:c r="AN120" s="137" t="str">
        <x:f>IF(AJ120="","",COUNTIFS($AJ$7:$AJ$206,"&gt;0",$AJ$7:$AJ$206,"&lt;"&amp;AJ120)+1)</x:f>
      </x:c>
    </x:row>
    <x:row r="121">
      <x:c r="T121" s="137" t="str">
        <x:f>IF($A121="","",TRIM(MID(SUBSTITUTE(SUBSTITUTE(TRIM($I121)," ",""),",",REPT(" ",100)),1,100)))</x:f>
      </x:c>
      <x:c r="U121" s="137" t="str">
        <x:f>IF($A121="","",TRIM(MID(SUBSTITUTE(SUBSTITUTE(TRIM($I121)," ",""),",",REPT(" ",100)),101,100)))</x:f>
      </x:c>
      <x:c r="V121" s="137" t="str">
        <x:f>IF($A121="","",TRIM(MID(SUBSTITUTE(SUBSTITUTE(TRIM($I121)," ",""),",",REPT(" ",100)),201,100)))</x:f>
      </x:c>
      <x:c r="W121" s="137" t="str">
        <x:f>IF($A121="","",TRIM(MID(SUBSTITUTE(SUBSTITUTE(TRIM($I121)," ",""),",",REPT(" ",100)),301,100)))</x:f>
      </x:c>
      <x:c r="X121" s="137" t="str">
        <x:f>IF($A121="","",TRIM(MID(SUBSTITUTE(SUBSTITUTE(TRIM($I121)," ",""),",",REPT(" ",100)),401,100)))</x:f>
      </x:c>
      <x:c r="Y121" s="137" t="str">
        <x:f>IF($A121="","",TRIM(MID(SUBSTITUTE(SUBSTITUTE(TRIM($I121)," ",""),",",REPT(" ",100)),501,100)))</x:f>
      </x:c>
      <x:c r="Z121" s="137" t="str">
        <x:f>IF($A121="","",TRIM(MID(SUBSTITUTE(SUBSTITUTE(TRIM($I121)," ",""),",",REPT(" ",100)),601,100)))</x:f>
      </x:c>
      <x:c r="AA121" s="137" t="str">
        <x:f>IF($A121="","",IF(SUBSTITUTE(TRIM($I121)," ","")="",0,1+LEN(SUBSTITUTE(TRIM($I121)," ",""))-LEN(SUBSTITUTE(SUBSTITUTE(TRIM($I121)," ",""),",",""))))</x:f>
      </x:c>
      <x:c r="AB121" s="137" t="str">
        <x:f>IF($A121="","",COUNTIF(TasksTable[Task ID],T121)+COUNTIF(TasksTable[Task ID],U121)+COUNTIF(TasksTable[Task ID],V121)+COUNTIF(TasksTable[Task ID],W121)+COUNTIF(TasksTable[Task ID],X121)+COUNTIF(TasksTable[Task ID],Y121)+COUNTIF(TasksTable[Task ID],Z121))</x:f>
      </x:c>
      <x:c r="AC121" s="137" t="b">
        <x:f>IF($A121="",FALSE,OR(T121=$A121,U121=$A121,V121=$A121,W121=$A121,X121=$A121,Y121=$A121,Z121=$A121))</x:f>
        <x:v>0</x:v>
      </x:c>
      <x:c r="AD121" s="144" t="n">
        <x:f>IF(AA121=0,0,MAX(IFERROR(INDEX(TasksTable[Start Date],MATCH(T121,TasksTable[Task ID],0)),0),IFERROR(INDEX(TasksTable[Start Date],MATCH(U121,TasksTable[Task ID],0)),0),IFERROR(INDEX(TasksTable[Start Date],MATCH(V121,TasksTable[Task ID],0)),0),IFERROR(INDEX(TasksTable[Start Date],MATCH(W121,TasksTable[Task ID],0)),0),IFERROR(INDEX(TasksTable[Start Date],MATCH(X121,TasksTable[Task ID],0)),0),IFERROR(INDEX(TasksTable[Start Date],MATCH(Y121,TasksTable[Task ID],0)),0),IFERROR(INDEX(TasksTable[Start Date],MATCH(Z121,TasksTable[Task ID],0)),0)))</x:f>
        <x:v>0</x:v>
      </x:c>
      <x:c r="AE121" s="144" t="n">
        <x:f>IF(AA121=0,0,MAX(IFERROR(INDEX(TasksTable[End Date],MATCH(T121,TasksTable[Task ID],0)),0),IFERROR(INDEX(TasksTable[End Date],MATCH(U121,TasksTable[Task ID],0)),0),IFERROR(INDEX(TasksTable[End Date],MATCH(V121,TasksTable[Task ID],0)),0),IFERROR(INDEX(TasksTable[End Date],MATCH(W121,TasksTable[Task ID],0)),0),IFERROR(INDEX(TasksTable[End Date],MATCH(X121,TasksTable[Task ID],0)),0),IFERROR(INDEX(TasksTable[End Date],MATCH(Y121,TasksTable[Task ID],0)),0),IFERROR(INDEX(TasksTable[End Date],MATCH(Z121,TasksTable[Task ID],0)),0)))</x:f>
        <x:v>0</x:v>
      </x:c>
      <x:c r="AF121" s="137" t="b">
        <x:f>IF(OR($A121="",AA121=0),FALSE,SWITCH($J121,"FS",$F121&lt;AE121,"SS",$F121&lt;AD121,"FF",$G121&lt;AE121,"SF",$G121&lt;AD121,TRUE))</x:f>
        <x:v>0</x:v>
      </x:c>
      <x:c r="AG121" s="137" t="str">
        <x:f>IF(AND($A121&lt;&gt;"",$K121="No",$N121&lt;&gt;"Completed",$F121&gt;=TODAY()),$F121+ROW()/100000,"")</x:f>
      </x:c>
      <x:c r="AH121" s="137" t="str">
        <x:f>IF(AND($A121&lt;&gt;"",$K121="Yes",$N121&lt;&gt;"Completed",$F121&gt;=TODAY()),$F121+ROW()/100000,"")</x:f>
      </x:c>
      <x:c r="AI121" s="137" t="str">
        <x:f>IF(AND($A121&lt;&gt;"",$K121="No",$N121&lt;&gt;"Completed",$G121&gt;=TODAY(),$G121&lt;=TODAY()+3),$G121+ROW()/100000,"")</x:f>
      </x:c>
      <x:c r="AJ121" s="137" t="str">
        <x:f>IF(AND($A121&lt;&gt;"",$K121="No",OR($N121="Delayed",$P121="Dependency conflict")),$G121+ROW()/100000,"")</x:f>
      </x:c>
      <x:c r="AK121" s="137" t="str">
        <x:f>IF(AG121="","",COUNTIFS($AG$7:$AG$206,"&gt;0",$AG$7:$AG$206,"&lt;"&amp;AG121)+1)</x:f>
      </x:c>
      <x:c r="AL121" s="137" t="str">
        <x:f>IF(AH121="","",COUNTIFS($AH$7:$AH$206,"&gt;0",$AH$7:$AH$206,"&lt;"&amp;AH121)+1)</x:f>
      </x:c>
      <x:c r="AM121" s="137" t="str">
        <x:f>IF(AI121="","",COUNTIFS($AI$7:$AI$206,"&gt;0",$AI$7:$AI$206,"&lt;"&amp;AI121)+1)</x:f>
      </x:c>
      <x:c r="AN121" s="137" t="str">
        <x:f>IF(AJ121="","",COUNTIFS($AJ$7:$AJ$206,"&gt;0",$AJ$7:$AJ$206,"&lt;"&amp;AJ121)+1)</x:f>
      </x:c>
    </x:row>
    <x:row r="122">
      <x:c r="T122" s="137" t="str">
        <x:f>IF($A122="","",TRIM(MID(SUBSTITUTE(SUBSTITUTE(TRIM($I122)," ",""),",",REPT(" ",100)),1,100)))</x:f>
      </x:c>
      <x:c r="U122" s="137" t="str">
        <x:f>IF($A122="","",TRIM(MID(SUBSTITUTE(SUBSTITUTE(TRIM($I122)," ",""),",",REPT(" ",100)),101,100)))</x:f>
      </x:c>
      <x:c r="V122" s="137" t="str">
        <x:f>IF($A122="","",TRIM(MID(SUBSTITUTE(SUBSTITUTE(TRIM($I122)," ",""),",",REPT(" ",100)),201,100)))</x:f>
      </x:c>
      <x:c r="W122" s="137" t="str">
        <x:f>IF($A122="","",TRIM(MID(SUBSTITUTE(SUBSTITUTE(TRIM($I122)," ",""),",",REPT(" ",100)),301,100)))</x:f>
      </x:c>
      <x:c r="X122" s="137" t="str">
        <x:f>IF($A122="","",TRIM(MID(SUBSTITUTE(SUBSTITUTE(TRIM($I122)," ",""),",",REPT(" ",100)),401,100)))</x:f>
      </x:c>
      <x:c r="Y122" s="137" t="str">
        <x:f>IF($A122="","",TRIM(MID(SUBSTITUTE(SUBSTITUTE(TRIM($I122)," ",""),",",REPT(" ",100)),501,100)))</x:f>
      </x:c>
      <x:c r="Z122" s="137" t="str">
        <x:f>IF($A122="","",TRIM(MID(SUBSTITUTE(SUBSTITUTE(TRIM($I122)," ",""),",",REPT(" ",100)),601,100)))</x:f>
      </x:c>
      <x:c r="AA122" s="137" t="str">
        <x:f>IF($A122="","",IF(SUBSTITUTE(TRIM($I122)," ","")="",0,1+LEN(SUBSTITUTE(TRIM($I122)," ",""))-LEN(SUBSTITUTE(SUBSTITUTE(TRIM($I122)," ",""),",",""))))</x:f>
      </x:c>
      <x:c r="AB122" s="137" t="str">
        <x:f>IF($A122="","",COUNTIF(TasksTable[Task ID],T122)+COUNTIF(TasksTable[Task ID],U122)+COUNTIF(TasksTable[Task ID],V122)+COUNTIF(TasksTable[Task ID],W122)+COUNTIF(TasksTable[Task ID],X122)+COUNTIF(TasksTable[Task ID],Y122)+COUNTIF(TasksTable[Task ID],Z122))</x:f>
      </x:c>
      <x:c r="AC122" s="137" t="b">
        <x:f>IF($A122="",FALSE,OR(T122=$A122,U122=$A122,V122=$A122,W122=$A122,X122=$A122,Y122=$A122,Z122=$A122))</x:f>
        <x:v>0</x:v>
      </x:c>
      <x:c r="AD122" s="144" t="n">
        <x:f>IF(AA122=0,0,MAX(IFERROR(INDEX(TasksTable[Start Date],MATCH(T122,TasksTable[Task ID],0)),0),IFERROR(INDEX(TasksTable[Start Date],MATCH(U122,TasksTable[Task ID],0)),0),IFERROR(INDEX(TasksTable[Start Date],MATCH(V122,TasksTable[Task ID],0)),0),IFERROR(INDEX(TasksTable[Start Date],MATCH(W122,TasksTable[Task ID],0)),0),IFERROR(INDEX(TasksTable[Start Date],MATCH(X122,TasksTable[Task ID],0)),0),IFERROR(INDEX(TasksTable[Start Date],MATCH(Y122,TasksTable[Task ID],0)),0),IFERROR(INDEX(TasksTable[Start Date],MATCH(Z122,TasksTable[Task ID],0)),0)))</x:f>
        <x:v>0</x:v>
      </x:c>
      <x:c r="AE122" s="144" t="n">
        <x:f>IF(AA122=0,0,MAX(IFERROR(INDEX(TasksTable[End Date],MATCH(T122,TasksTable[Task ID],0)),0),IFERROR(INDEX(TasksTable[End Date],MATCH(U122,TasksTable[Task ID],0)),0),IFERROR(INDEX(TasksTable[End Date],MATCH(V122,TasksTable[Task ID],0)),0),IFERROR(INDEX(TasksTable[End Date],MATCH(W122,TasksTable[Task ID],0)),0),IFERROR(INDEX(TasksTable[End Date],MATCH(X122,TasksTable[Task ID],0)),0),IFERROR(INDEX(TasksTable[End Date],MATCH(Y122,TasksTable[Task ID],0)),0),IFERROR(INDEX(TasksTable[End Date],MATCH(Z122,TasksTable[Task ID],0)),0)))</x:f>
        <x:v>0</x:v>
      </x:c>
      <x:c r="AF122" s="137" t="b">
        <x:f>IF(OR($A122="",AA122=0),FALSE,SWITCH($J122,"FS",$F122&lt;AE122,"SS",$F122&lt;AD122,"FF",$G122&lt;AE122,"SF",$G122&lt;AD122,TRUE))</x:f>
        <x:v>0</x:v>
      </x:c>
      <x:c r="AG122" s="137" t="str">
        <x:f>IF(AND($A122&lt;&gt;"",$K122="No",$N122&lt;&gt;"Completed",$F122&gt;=TODAY()),$F122+ROW()/100000,"")</x:f>
      </x:c>
      <x:c r="AH122" s="137" t="str">
        <x:f>IF(AND($A122&lt;&gt;"",$K122="Yes",$N122&lt;&gt;"Completed",$F122&gt;=TODAY()),$F122+ROW()/100000,"")</x:f>
      </x:c>
      <x:c r="AI122" s="137" t="str">
        <x:f>IF(AND($A122&lt;&gt;"",$K122="No",$N122&lt;&gt;"Completed",$G122&gt;=TODAY(),$G122&lt;=TODAY()+3),$G122+ROW()/100000,"")</x:f>
      </x:c>
      <x:c r="AJ122" s="137" t="str">
        <x:f>IF(AND($A122&lt;&gt;"",$K122="No",OR($N122="Delayed",$P122="Dependency conflict")),$G122+ROW()/100000,"")</x:f>
      </x:c>
      <x:c r="AK122" s="137" t="str">
        <x:f>IF(AG122="","",COUNTIFS($AG$7:$AG$206,"&gt;0",$AG$7:$AG$206,"&lt;"&amp;AG122)+1)</x:f>
      </x:c>
      <x:c r="AL122" s="137" t="str">
        <x:f>IF(AH122="","",COUNTIFS($AH$7:$AH$206,"&gt;0",$AH$7:$AH$206,"&lt;"&amp;AH122)+1)</x:f>
      </x:c>
      <x:c r="AM122" s="137" t="str">
        <x:f>IF(AI122="","",COUNTIFS($AI$7:$AI$206,"&gt;0",$AI$7:$AI$206,"&lt;"&amp;AI122)+1)</x:f>
      </x:c>
      <x:c r="AN122" s="137" t="str">
        <x:f>IF(AJ122="","",COUNTIFS($AJ$7:$AJ$206,"&gt;0",$AJ$7:$AJ$206,"&lt;"&amp;AJ122)+1)</x:f>
      </x:c>
    </x:row>
    <x:row r="123">
      <x:c r="T123" s="137" t="str">
        <x:f>IF($A123="","",TRIM(MID(SUBSTITUTE(SUBSTITUTE(TRIM($I123)," ",""),",",REPT(" ",100)),1,100)))</x:f>
      </x:c>
      <x:c r="U123" s="137" t="str">
        <x:f>IF($A123="","",TRIM(MID(SUBSTITUTE(SUBSTITUTE(TRIM($I123)," ",""),",",REPT(" ",100)),101,100)))</x:f>
      </x:c>
      <x:c r="V123" s="137" t="str">
        <x:f>IF($A123="","",TRIM(MID(SUBSTITUTE(SUBSTITUTE(TRIM($I123)," ",""),",",REPT(" ",100)),201,100)))</x:f>
      </x:c>
      <x:c r="W123" s="137" t="str">
        <x:f>IF($A123="","",TRIM(MID(SUBSTITUTE(SUBSTITUTE(TRIM($I123)," ",""),",",REPT(" ",100)),301,100)))</x:f>
      </x:c>
      <x:c r="X123" s="137" t="str">
        <x:f>IF($A123="","",TRIM(MID(SUBSTITUTE(SUBSTITUTE(TRIM($I123)," ",""),",",REPT(" ",100)),401,100)))</x:f>
      </x:c>
      <x:c r="Y123" s="137" t="str">
        <x:f>IF($A123="","",TRIM(MID(SUBSTITUTE(SUBSTITUTE(TRIM($I123)," ",""),",",REPT(" ",100)),501,100)))</x:f>
      </x:c>
      <x:c r="Z123" s="137" t="str">
        <x:f>IF($A123="","",TRIM(MID(SUBSTITUTE(SUBSTITUTE(TRIM($I123)," ",""),",",REPT(" ",100)),601,100)))</x:f>
      </x:c>
      <x:c r="AA123" s="137" t="str">
        <x:f>IF($A123="","",IF(SUBSTITUTE(TRIM($I123)," ","")="",0,1+LEN(SUBSTITUTE(TRIM($I123)," ",""))-LEN(SUBSTITUTE(SUBSTITUTE(TRIM($I123)," ",""),",",""))))</x:f>
      </x:c>
      <x:c r="AB123" s="137" t="str">
        <x:f>IF($A123="","",COUNTIF(TasksTable[Task ID],T123)+COUNTIF(TasksTable[Task ID],U123)+COUNTIF(TasksTable[Task ID],V123)+COUNTIF(TasksTable[Task ID],W123)+COUNTIF(TasksTable[Task ID],X123)+COUNTIF(TasksTable[Task ID],Y123)+COUNTIF(TasksTable[Task ID],Z123))</x:f>
      </x:c>
      <x:c r="AC123" s="137" t="b">
        <x:f>IF($A123="",FALSE,OR(T123=$A123,U123=$A123,V123=$A123,W123=$A123,X123=$A123,Y123=$A123,Z123=$A123))</x:f>
        <x:v>0</x:v>
      </x:c>
      <x:c r="AD123" s="144" t="n">
        <x:f>IF(AA123=0,0,MAX(IFERROR(INDEX(TasksTable[Start Date],MATCH(T123,TasksTable[Task ID],0)),0),IFERROR(INDEX(TasksTable[Start Date],MATCH(U123,TasksTable[Task ID],0)),0),IFERROR(INDEX(TasksTable[Start Date],MATCH(V123,TasksTable[Task ID],0)),0),IFERROR(INDEX(TasksTable[Start Date],MATCH(W123,TasksTable[Task ID],0)),0),IFERROR(INDEX(TasksTable[Start Date],MATCH(X123,TasksTable[Task ID],0)),0),IFERROR(INDEX(TasksTable[Start Date],MATCH(Y123,TasksTable[Task ID],0)),0),IFERROR(INDEX(TasksTable[Start Date],MATCH(Z123,TasksTable[Task ID],0)),0)))</x:f>
        <x:v>0</x:v>
      </x:c>
      <x:c r="AE123" s="144" t="n">
        <x:f>IF(AA123=0,0,MAX(IFERROR(INDEX(TasksTable[End Date],MATCH(T123,TasksTable[Task ID],0)),0),IFERROR(INDEX(TasksTable[End Date],MATCH(U123,TasksTable[Task ID],0)),0),IFERROR(INDEX(TasksTable[End Date],MATCH(V123,TasksTable[Task ID],0)),0),IFERROR(INDEX(TasksTable[End Date],MATCH(W123,TasksTable[Task ID],0)),0),IFERROR(INDEX(TasksTable[End Date],MATCH(X123,TasksTable[Task ID],0)),0),IFERROR(INDEX(TasksTable[End Date],MATCH(Y123,TasksTable[Task ID],0)),0),IFERROR(INDEX(TasksTable[End Date],MATCH(Z123,TasksTable[Task ID],0)),0)))</x:f>
        <x:v>0</x:v>
      </x:c>
      <x:c r="AF123" s="137" t="b">
        <x:f>IF(OR($A123="",AA123=0),FALSE,SWITCH($J123,"FS",$F123&lt;AE123,"SS",$F123&lt;AD123,"FF",$G123&lt;AE123,"SF",$G123&lt;AD123,TRUE))</x:f>
        <x:v>0</x:v>
      </x:c>
      <x:c r="AG123" s="137" t="str">
        <x:f>IF(AND($A123&lt;&gt;"",$K123="No",$N123&lt;&gt;"Completed",$F123&gt;=TODAY()),$F123+ROW()/100000,"")</x:f>
      </x:c>
      <x:c r="AH123" s="137" t="str">
        <x:f>IF(AND($A123&lt;&gt;"",$K123="Yes",$N123&lt;&gt;"Completed",$F123&gt;=TODAY()),$F123+ROW()/100000,"")</x:f>
      </x:c>
      <x:c r="AI123" s="137" t="str">
        <x:f>IF(AND($A123&lt;&gt;"",$K123="No",$N123&lt;&gt;"Completed",$G123&gt;=TODAY(),$G123&lt;=TODAY()+3),$G123+ROW()/100000,"")</x:f>
      </x:c>
      <x:c r="AJ123" s="137" t="str">
        <x:f>IF(AND($A123&lt;&gt;"",$K123="No",OR($N123="Delayed",$P123="Dependency conflict")),$G123+ROW()/100000,"")</x:f>
      </x:c>
      <x:c r="AK123" s="137" t="str">
        <x:f>IF(AG123="","",COUNTIFS($AG$7:$AG$206,"&gt;0",$AG$7:$AG$206,"&lt;"&amp;AG123)+1)</x:f>
      </x:c>
      <x:c r="AL123" s="137" t="str">
        <x:f>IF(AH123="","",COUNTIFS($AH$7:$AH$206,"&gt;0",$AH$7:$AH$206,"&lt;"&amp;AH123)+1)</x:f>
      </x:c>
      <x:c r="AM123" s="137" t="str">
        <x:f>IF(AI123="","",COUNTIFS($AI$7:$AI$206,"&gt;0",$AI$7:$AI$206,"&lt;"&amp;AI123)+1)</x:f>
      </x:c>
      <x:c r="AN123" s="137" t="str">
        <x:f>IF(AJ123="","",COUNTIFS($AJ$7:$AJ$206,"&gt;0",$AJ$7:$AJ$206,"&lt;"&amp;AJ123)+1)</x:f>
      </x:c>
    </x:row>
    <x:row r="124">
      <x:c r="T124" s="137" t="str">
        <x:f>IF($A124="","",TRIM(MID(SUBSTITUTE(SUBSTITUTE(TRIM($I124)," ",""),",",REPT(" ",100)),1,100)))</x:f>
      </x:c>
      <x:c r="U124" s="137" t="str">
        <x:f>IF($A124="","",TRIM(MID(SUBSTITUTE(SUBSTITUTE(TRIM($I124)," ",""),",",REPT(" ",100)),101,100)))</x:f>
      </x:c>
      <x:c r="V124" s="137" t="str">
        <x:f>IF($A124="","",TRIM(MID(SUBSTITUTE(SUBSTITUTE(TRIM($I124)," ",""),",",REPT(" ",100)),201,100)))</x:f>
      </x:c>
      <x:c r="W124" s="137" t="str">
        <x:f>IF($A124="","",TRIM(MID(SUBSTITUTE(SUBSTITUTE(TRIM($I124)," ",""),",",REPT(" ",100)),301,100)))</x:f>
      </x:c>
      <x:c r="X124" s="137" t="str">
        <x:f>IF($A124="","",TRIM(MID(SUBSTITUTE(SUBSTITUTE(TRIM($I124)," ",""),",",REPT(" ",100)),401,100)))</x:f>
      </x:c>
      <x:c r="Y124" s="137" t="str">
        <x:f>IF($A124="","",TRIM(MID(SUBSTITUTE(SUBSTITUTE(TRIM($I124)," ",""),",",REPT(" ",100)),501,100)))</x:f>
      </x:c>
      <x:c r="Z124" s="137" t="str">
        <x:f>IF($A124="","",TRIM(MID(SUBSTITUTE(SUBSTITUTE(TRIM($I124)," ",""),",",REPT(" ",100)),601,100)))</x:f>
      </x:c>
      <x:c r="AA124" s="137" t="str">
        <x:f>IF($A124="","",IF(SUBSTITUTE(TRIM($I124)," ","")="",0,1+LEN(SUBSTITUTE(TRIM($I124)," ",""))-LEN(SUBSTITUTE(SUBSTITUTE(TRIM($I124)," ",""),",",""))))</x:f>
      </x:c>
      <x:c r="AB124" s="137" t="str">
        <x:f>IF($A124="","",COUNTIF(TasksTable[Task ID],T124)+COUNTIF(TasksTable[Task ID],U124)+COUNTIF(TasksTable[Task ID],V124)+COUNTIF(TasksTable[Task ID],W124)+COUNTIF(TasksTable[Task ID],X124)+COUNTIF(TasksTable[Task ID],Y124)+COUNTIF(TasksTable[Task ID],Z124))</x:f>
      </x:c>
      <x:c r="AC124" s="137" t="b">
        <x:f>IF($A124="",FALSE,OR(T124=$A124,U124=$A124,V124=$A124,W124=$A124,X124=$A124,Y124=$A124,Z124=$A124))</x:f>
        <x:v>0</x:v>
      </x:c>
      <x:c r="AD124" s="144" t="n">
        <x:f>IF(AA124=0,0,MAX(IFERROR(INDEX(TasksTable[Start Date],MATCH(T124,TasksTable[Task ID],0)),0),IFERROR(INDEX(TasksTable[Start Date],MATCH(U124,TasksTable[Task ID],0)),0),IFERROR(INDEX(TasksTable[Start Date],MATCH(V124,TasksTable[Task ID],0)),0),IFERROR(INDEX(TasksTable[Start Date],MATCH(W124,TasksTable[Task ID],0)),0),IFERROR(INDEX(TasksTable[Start Date],MATCH(X124,TasksTable[Task ID],0)),0),IFERROR(INDEX(TasksTable[Start Date],MATCH(Y124,TasksTable[Task ID],0)),0),IFERROR(INDEX(TasksTable[Start Date],MATCH(Z124,TasksTable[Task ID],0)),0)))</x:f>
        <x:v>0</x:v>
      </x:c>
      <x:c r="AE124" s="144" t="n">
        <x:f>IF(AA124=0,0,MAX(IFERROR(INDEX(TasksTable[End Date],MATCH(T124,TasksTable[Task ID],0)),0),IFERROR(INDEX(TasksTable[End Date],MATCH(U124,TasksTable[Task ID],0)),0),IFERROR(INDEX(TasksTable[End Date],MATCH(V124,TasksTable[Task ID],0)),0),IFERROR(INDEX(TasksTable[End Date],MATCH(W124,TasksTable[Task ID],0)),0),IFERROR(INDEX(TasksTable[End Date],MATCH(X124,TasksTable[Task ID],0)),0),IFERROR(INDEX(TasksTable[End Date],MATCH(Y124,TasksTable[Task ID],0)),0),IFERROR(INDEX(TasksTable[End Date],MATCH(Z124,TasksTable[Task ID],0)),0)))</x:f>
        <x:v>0</x:v>
      </x:c>
      <x:c r="AF124" s="137" t="b">
        <x:f>IF(OR($A124="",AA124=0),FALSE,SWITCH($J124,"FS",$F124&lt;AE124,"SS",$F124&lt;AD124,"FF",$G124&lt;AE124,"SF",$G124&lt;AD124,TRUE))</x:f>
        <x:v>0</x:v>
      </x:c>
      <x:c r="AG124" s="137" t="str">
        <x:f>IF(AND($A124&lt;&gt;"",$K124="No",$N124&lt;&gt;"Completed",$F124&gt;=TODAY()),$F124+ROW()/100000,"")</x:f>
      </x:c>
      <x:c r="AH124" s="137" t="str">
        <x:f>IF(AND($A124&lt;&gt;"",$K124="Yes",$N124&lt;&gt;"Completed",$F124&gt;=TODAY()),$F124+ROW()/100000,"")</x:f>
      </x:c>
      <x:c r="AI124" s="137" t="str">
        <x:f>IF(AND($A124&lt;&gt;"",$K124="No",$N124&lt;&gt;"Completed",$G124&gt;=TODAY(),$G124&lt;=TODAY()+3),$G124+ROW()/100000,"")</x:f>
      </x:c>
      <x:c r="AJ124" s="137" t="str">
        <x:f>IF(AND($A124&lt;&gt;"",$K124="No",OR($N124="Delayed",$P124="Dependency conflict")),$G124+ROW()/100000,"")</x:f>
      </x:c>
      <x:c r="AK124" s="137" t="str">
        <x:f>IF(AG124="","",COUNTIFS($AG$7:$AG$206,"&gt;0",$AG$7:$AG$206,"&lt;"&amp;AG124)+1)</x:f>
      </x:c>
      <x:c r="AL124" s="137" t="str">
        <x:f>IF(AH124="","",COUNTIFS($AH$7:$AH$206,"&gt;0",$AH$7:$AH$206,"&lt;"&amp;AH124)+1)</x:f>
      </x:c>
      <x:c r="AM124" s="137" t="str">
        <x:f>IF(AI124="","",COUNTIFS($AI$7:$AI$206,"&gt;0",$AI$7:$AI$206,"&lt;"&amp;AI124)+1)</x:f>
      </x:c>
      <x:c r="AN124" s="137" t="str">
        <x:f>IF(AJ124="","",COUNTIFS($AJ$7:$AJ$206,"&gt;0",$AJ$7:$AJ$206,"&lt;"&amp;AJ124)+1)</x:f>
      </x:c>
    </x:row>
    <x:row r="125">
      <x:c r="T125" s="137" t="str">
        <x:f>IF($A125="","",TRIM(MID(SUBSTITUTE(SUBSTITUTE(TRIM($I125)," ",""),",",REPT(" ",100)),1,100)))</x:f>
      </x:c>
      <x:c r="U125" s="137" t="str">
        <x:f>IF($A125="","",TRIM(MID(SUBSTITUTE(SUBSTITUTE(TRIM($I125)," ",""),",",REPT(" ",100)),101,100)))</x:f>
      </x:c>
      <x:c r="V125" s="137" t="str">
        <x:f>IF($A125="","",TRIM(MID(SUBSTITUTE(SUBSTITUTE(TRIM($I125)," ",""),",",REPT(" ",100)),201,100)))</x:f>
      </x:c>
      <x:c r="W125" s="137" t="str">
        <x:f>IF($A125="","",TRIM(MID(SUBSTITUTE(SUBSTITUTE(TRIM($I125)," ",""),",",REPT(" ",100)),301,100)))</x:f>
      </x:c>
      <x:c r="X125" s="137" t="str">
        <x:f>IF($A125="","",TRIM(MID(SUBSTITUTE(SUBSTITUTE(TRIM($I125)," ",""),",",REPT(" ",100)),401,100)))</x:f>
      </x:c>
      <x:c r="Y125" s="137" t="str">
        <x:f>IF($A125="","",TRIM(MID(SUBSTITUTE(SUBSTITUTE(TRIM($I125)," ",""),",",REPT(" ",100)),501,100)))</x:f>
      </x:c>
      <x:c r="Z125" s="137" t="str">
        <x:f>IF($A125="","",TRIM(MID(SUBSTITUTE(SUBSTITUTE(TRIM($I125)," ",""),",",REPT(" ",100)),601,100)))</x:f>
      </x:c>
      <x:c r="AA125" s="137" t="str">
        <x:f>IF($A125="","",IF(SUBSTITUTE(TRIM($I125)," ","")="",0,1+LEN(SUBSTITUTE(TRIM($I125)," ",""))-LEN(SUBSTITUTE(SUBSTITUTE(TRIM($I125)," ",""),",",""))))</x:f>
      </x:c>
      <x:c r="AB125" s="137" t="str">
        <x:f>IF($A125="","",COUNTIF(TasksTable[Task ID],T125)+COUNTIF(TasksTable[Task ID],U125)+COUNTIF(TasksTable[Task ID],V125)+COUNTIF(TasksTable[Task ID],W125)+COUNTIF(TasksTable[Task ID],X125)+COUNTIF(TasksTable[Task ID],Y125)+COUNTIF(TasksTable[Task ID],Z125))</x:f>
      </x:c>
      <x:c r="AC125" s="137" t="b">
        <x:f>IF($A125="",FALSE,OR(T125=$A125,U125=$A125,V125=$A125,W125=$A125,X125=$A125,Y125=$A125,Z125=$A125))</x:f>
        <x:v>0</x:v>
      </x:c>
      <x:c r="AD125" s="144" t="n">
        <x:f>IF(AA125=0,0,MAX(IFERROR(INDEX(TasksTable[Start Date],MATCH(T125,TasksTable[Task ID],0)),0),IFERROR(INDEX(TasksTable[Start Date],MATCH(U125,TasksTable[Task ID],0)),0),IFERROR(INDEX(TasksTable[Start Date],MATCH(V125,TasksTable[Task ID],0)),0),IFERROR(INDEX(TasksTable[Start Date],MATCH(W125,TasksTable[Task ID],0)),0),IFERROR(INDEX(TasksTable[Start Date],MATCH(X125,TasksTable[Task ID],0)),0),IFERROR(INDEX(TasksTable[Start Date],MATCH(Y125,TasksTable[Task ID],0)),0),IFERROR(INDEX(TasksTable[Start Date],MATCH(Z125,TasksTable[Task ID],0)),0)))</x:f>
        <x:v>0</x:v>
      </x:c>
      <x:c r="AE125" s="144" t="n">
        <x:f>IF(AA125=0,0,MAX(IFERROR(INDEX(TasksTable[End Date],MATCH(T125,TasksTable[Task ID],0)),0),IFERROR(INDEX(TasksTable[End Date],MATCH(U125,TasksTable[Task ID],0)),0),IFERROR(INDEX(TasksTable[End Date],MATCH(V125,TasksTable[Task ID],0)),0),IFERROR(INDEX(TasksTable[End Date],MATCH(W125,TasksTable[Task ID],0)),0),IFERROR(INDEX(TasksTable[End Date],MATCH(X125,TasksTable[Task ID],0)),0),IFERROR(INDEX(TasksTable[End Date],MATCH(Y125,TasksTable[Task ID],0)),0),IFERROR(INDEX(TasksTable[End Date],MATCH(Z125,TasksTable[Task ID],0)),0)))</x:f>
        <x:v>0</x:v>
      </x:c>
      <x:c r="AF125" s="137" t="b">
        <x:f>IF(OR($A125="",AA125=0),FALSE,SWITCH($J125,"FS",$F125&lt;AE125,"SS",$F125&lt;AD125,"FF",$G125&lt;AE125,"SF",$G125&lt;AD125,TRUE))</x:f>
        <x:v>0</x:v>
      </x:c>
      <x:c r="AG125" s="137" t="str">
        <x:f>IF(AND($A125&lt;&gt;"",$K125="No",$N125&lt;&gt;"Completed",$F125&gt;=TODAY()),$F125+ROW()/100000,"")</x:f>
      </x:c>
      <x:c r="AH125" s="137" t="str">
        <x:f>IF(AND($A125&lt;&gt;"",$K125="Yes",$N125&lt;&gt;"Completed",$F125&gt;=TODAY()),$F125+ROW()/100000,"")</x:f>
      </x:c>
      <x:c r="AI125" s="137" t="str">
        <x:f>IF(AND($A125&lt;&gt;"",$K125="No",$N125&lt;&gt;"Completed",$G125&gt;=TODAY(),$G125&lt;=TODAY()+3),$G125+ROW()/100000,"")</x:f>
      </x:c>
      <x:c r="AJ125" s="137" t="str">
        <x:f>IF(AND($A125&lt;&gt;"",$K125="No",OR($N125="Delayed",$P125="Dependency conflict")),$G125+ROW()/100000,"")</x:f>
      </x:c>
      <x:c r="AK125" s="137" t="str">
        <x:f>IF(AG125="","",COUNTIFS($AG$7:$AG$206,"&gt;0",$AG$7:$AG$206,"&lt;"&amp;AG125)+1)</x:f>
      </x:c>
      <x:c r="AL125" s="137" t="str">
        <x:f>IF(AH125="","",COUNTIFS($AH$7:$AH$206,"&gt;0",$AH$7:$AH$206,"&lt;"&amp;AH125)+1)</x:f>
      </x:c>
      <x:c r="AM125" s="137" t="str">
        <x:f>IF(AI125="","",COUNTIFS($AI$7:$AI$206,"&gt;0",$AI$7:$AI$206,"&lt;"&amp;AI125)+1)</x:f>
      </x:c>
      <x:c r="AN125" s="137" t="str">
        <x:f>IF(AJ125="","",COUNTIFS($AJ$7:$AJ$206,"&gt;0",$AJ$7:$AJ$206,"&lt;"&amp;AJ125)+1)</x:f>
      </x:c>
    </x:row>
    <x:row r="126">
      <x:c r="T126" s="137" t="str">
        <x:f>IF($A126="","",TRIM(MID(SUBSTITUTE(SUBSTITUTE(TRIM($I126)," ",""),",",REPT(" ",100)),1,100)))</x:f>
      </x:c>
      <x:c r="U126" s="137" t="str">
        <x:f>IF($A126="","",TRIM(MID(SUBSTITUTE(SUBSTITUTE(TRIM($I126)," ",""),",",REPT(" ",100)),101,100)))</x:f>
      </x:c>
      <x:c r="V126" s="137" t="str">
        <x:f>IF($A126="","",TRIM(MID(SUBSTITUTE(SUBSTITUTE(TRIM($I126)," ",""),",",REPT(" ",100)),201,100)))</x:f>
      </x:c>
      <x:c r="W126" s="137" t="str">
        <x:f>IF($A126="","",TRIM(MID(SUBSTITUTE(SUBSTITUTE(TRIM($I126)," ",""),",",REPT(" ",100)),301,100)))</x:f>
      </x:c>
      <x:c r="X126" s="137" t="str">
        <x:f>IF($A126="","",TRIM(MID(SUBSTITUTE(SUBSTITUTE(TRIM($I126)," ",""),",",REPT(" ",100)),401,100)))</x:f>
      </x:c>
      <x:c r="Y126" s="137" t="str">
        <x:f>IF($A126="","",TRIM(MID(SUBSTITUTE(SUBSTITUTE(TRIM($I126)," ",""),",",REPT(" ",100)),501,100)))</x:f>
      </x:c>
      <x:c r="Z126" s="137" t="str">
        <x:f>IF($A126="","",TRIM(MID(SUBSTITUTE(SUBSTITUTE(TRIM($I126)," ",""),",",REPT(" ",100)),601,100)))</x:f>
      </x:c>
      <x:c r="AA126" s="137" t="str">
        <x:f>IF($A126="","",IF(SUBSTITUTE(TRIM($I126)," ","")="",0,1+LEN(SUBSTITUTE(TRIM($I126)," ",""))-LEN(SUBSTITUTE(SUBSTITUTE(TRIM($I126)," ",""),",",""))))</x:f>
      </x:c>
      <x:c r="AB126" s="137" t="str">
        <x:f>IF($A126="","",COUNTIF(TasksTable[Task ID],T126)+COUNTIF(TasksTable[Task ID],U126)+COUNTIF(TasksTable[Task ID],V126)+COUNTIF(TasksTable[Task ID],W126)+COUNTIF(TasksTable[Task ID],X126)+COUNTIF(TasksTable[Task ID],Y126)+COUNTIF(TasksTable[Task ID],Z126))</x:f>
      </x:c>
      <x:c r="AC126" s="137" t="b">
        <x:f>IF($A126="",FALSE,OR(T126=$A126,U126=$A126,V126=$A126,W126=$A126,X126=$A126,Y126=$A126,Z126=$A126))</x:f>
        <x:v>0</x:v>
      </x:c>
      <x:c r="AD126" s="144" t="n">
        <x:f>IF(AA126=0,0,MAX(IFERROR(INDEX(TasksTable[Start Date],MATCH(T126,TasksTable[Task ID],0)),0),IFERROR(INDEX(TasksTable[Start Date],MATCH(U126,TasksTable[Task ID],0)),0),IFERROR(INDEX(TasksTable[Start Date],MATCH(V126,TasksTable[Task ID],0)),0),IFERROR(INDEX(TasksTable[Start Date],MATCH(W126,TasksTable[Task ID],0)),0),IFERROR(INDEX(TasksTable[Start Date],MATCH(X126,TasksTable[Task ID],0)),0),IFERROR(INDEX(TasksTable[Start Date],MATCH(Y126,TasksTable[Task ID],0)),0),IFERROR(INDEX(TasksTable[Start Date],MATCH(Z126,TasksTable[Task ID],0)),0)))</x:f>
        <x:v>0</x:v>
      </x:c>
      <x:c r="AE126" s="144" t="n">
        <x:f>IF(AA126=0,0,MAX(IFERROR(INDEX(TasksTable[End Date],MATCH(T126,TasksTable[Task ID],0)),0),IFERROR(INDEX(TasksTable[End Date],MATCH(U126,TasksTable[Task ID],0)),0),IFERROR(INDEX(TasksTable[End Date],MATCH(V126,TasksTable[Task ID],0)),0),IFERROR(INDEX(TasksTable[End Date],MATCH(W126,TasksTable[Task ID],0)),0),IFERROR(INDEX(TasksTable[End Date],MATCH(X126,TasksTable[Task ID],0)),0),IFERROR(INDEX(TasksTable[End Date],MATCH(Y126,TasksTable[Task ID],0)),0),IFERROR(INDEX(TasksTable[End Date],MATCH(Z126,TasksTable[Task ID],0)),0)))</x:f>
        <x:v>0</x:v>
      </x:c>
      <x:c r="AF126" s="137" t="b">
        <x:f>IF(OR($A126="",AA126=0),FALSE,SWITCH($J126,"FS",$F126&lt;AE126,"SS",$F126&lt;AD126,"FF",$G126&lt;AE126,"SF",$G126&lt;AD126,TRUE))</x:f>
        <x:v>0</x:v>
      </x:c>
      <x:c r="AG126" s="137" t="str">
        <x:f>IF(AND($A126&lt;&gt;"",$K126="No",$N126&lt;&gt;"Completed",$F126&gt;=TODAY()),$F126+ROW()/100000,"")</x:f>
      </x:c>
      <x:c r="AH126" s="137" t="str">
        <x:f>IF(AND($A126&lt;&gt;"",$K126="Yes",$N126&lt;&gt;"Completed",$F126&gt;=TODAY()),$F126+ROW()/100000,"")</x:f>
      </x:c>
      <x:c r="AI126" s="137" t="str">
        <x:f>IF(AND($A126&lt;&gt;"",$K126="No",$N126&lt;&gt;"Completed",$G126&gt;=TODAY(),$G126&lt;=TODAY()+3),$G126+ROW()/100000,"")</x:f>
      </x:c>
      <x:c r="AJ126" s="137" t="str">
        <x:f>IF(AND($A126&lt;&gt;"",$K126="No",OR($N126="Delayed",$P126="Dependency conflict")),$G126+ROW()/100000,"")</x:f>
      </x:c>
      <x:c r="AK126" s="137" t="str">
        <x:f>IF(AG126="","",COUNTIFS($AG$7:$AG$206,"&gt;0",$AG$7:$AG$206,"&lt;"&amp;AG126)+1)</x:f>
      </x:c>
      <x:c r="AL126" s="137" t="str">
        <x:f>IF(AH126="","",COUNTIFS($AH$7:$AH$206,"&gt;0",$AH$7:$AH$206,"&lt;"&amp;AH126)+1)</x:f>
      </x:c>
      <x:c r="AM126" s="137" t="str">
        <x:f>IF(AI126="","",COUNTIFS($AI$7:$AI$206,"&gt;0",$AI$7:$AI$206,"&lt;"&amp;AI126)+1)</x:f>
      </x:c>
      <x:c r="AN126" s="137" t="str">
        <x:f>IF(AJ126="","",COUNTIFS($AJ$7:$AJ$206,"&gt;0",$AJ$7:$AJ$206,"&lt;"&amp;AJ126)+1)</x:f>
      </x:c>
    </x:row>
    <x:row r="127">
      <x:c r="T127" s="137" t="str">
        <x:f>IF($A127="","",TRIM(MID(SUBSTITUTE(SUBSTITUTE(TRIM($I127)," ",""),",",REPT(" ",100)),1,100)))</x:f>
      </x:c>
      <x:c r="U127" s="137" t="str">
        <x:f>IF($A127="","",TRIM(MID(SUBSTITUTE(SUBSTITUTE(TRIM($I127)," ",""),",",REPT(" ",100)),101,100)))</x:f>
      </x:c>
      <x:c r="V127" s="137" t="str">
        <x:f>IF($A127="","",TRIM(MID(SUBSTITUTE(SUBSTITUTE(TRIM($I127)," ",""),",",REPT(" ",100)),201,100)))</x:f>
      </x:c>
      <x:c r="W127" s="137" t="str">
        <x:f>IF($A127="","",TRIM(MID(SUBSTITUTE(SUBSTITUTE(TRIM($I127)," ",""),",",REPT(" ",100)),301,100)))</x:f>
      </x:c>
      <x:c r="X127" s="137" t="str">
        <x:f>IF($A127="","",TRIM(MID(SUBSTITUTE(SUBSTITUTE(TRIM($I127)," ",""),",",REPT(" ",100)),401,100)))</x:f>
      </x:c>
      <x:c r="Y127" s="137" t="str">
        <x:f>IF($A127="","",TRIM(MID(SUBSTITUTE(SUBSTITUTE(TRIM($I127)," ",""),",",REPT(" ",100)),501,100)))</x:f>
      </x:c>
      <x:c r="Z127" s="137" t="str">
        <x:f>IF($A127="","",TRIM(MID(SUBSTITUTE(SUBSTITUTE(TRIM($I127)," ",""),",",REPT(" ",100)),601,100)))</x:f>
      </x:c>
      <x:c r="AA127" s="137" t="str">
        <x:f>IF($A127="","",IF(SUBSTITUTE(TRIM($I127)," ","")="",0,1+LEN(SUBSTITUTE(TRIM($I127)," ",""))-LEN(SUBSTITUTE(SUBSTITUTE(TRIM($I127)," ",""),",",""))))</x:f>
      </x:c>
      <x:c r="AB127" s="137" t="str">
        <x:f>IF($A127="","",COUNTIF(TasksTable[Task ID],T127)+COUNTIF(TasksTable[Task ID],U127)+COUNTIF(TasksTable[Task ID],V127)+COUNTIF(TasksTable[Task ID],W127)+COUNTIF(TasksTable[Task ID],X127)+COUNTIF(TasksTable[Task ID],Y127)+COUNTIF(TasksTable[Task ID],Z127))</x:f>
      </x:c>
      <x:c r="AC127" s="137" t="b">
        <x:f>IF($A127="",FALSE,OR(T127=$A127,U127=$A127,V127=$A127,W127=$A127,X127=$A127,Y127=$A127,Z127=$A127))</x:f>
        <x:v>0</x:v>
      </x:c>
      <x:c r="AD127" s="144" t="n">
        <x:f>IF(AA127=0,0,MAX(IFERROR(INDEX(TasksTable[Start Date],MATCH(T127,TasksTable[Task ID],0)),0),IFERROR(INDEX(TasksTable[Start Date],MATCH(U127,TasksTable[Task ID],0)),0),IFERROR(INDEX(TasksTable[Start Date],MATCH(V127,TasksTable[Task ID],0)),0),IFERROR(INDEX(TasksTable[Start Date],MATCH(W127,TasksTable[Task ID],0)),0),IFERROR(INDEX(TasksTable[Start Date],MATCH(X127,TasksTable[Task ID],0)),0),IFERROR(INDEX(TasksTable[Start Date],MATCH(Y127,TasksTable[Task ID],0)),0),IFERROR(INDEX(TasksTable[Start Date],MATCH(Z127,TasksTable[Task ID],0)),0)))</x:f>
        <x:v>0</x:v>
      </x:c>
      <x:c r="AE127" s="144" t="n">
        <x:f>IF(AA127=0,0,MAX(IFERROR(INDEX(TasksTable[End Date],MATCH(T127,TasksTable[Task ID],0)),0),IFERROR(INDEX(TasksTable[End Date],MATCH(U127,TasksTable[Task ID],0)),0),IFERROR(INDEX(TasksTable[End Date],MATCH(V127,TasksTable[Task ID],0)),0),IFERROR(INDEX(TasksTable[End Date],MATCH(W127,TasksTable[Task ID],0)),0),IFERROR(INDEX(TasksTable[End Date],MATCH(X127,TasksTable[Task ID],0)),0),IFERROR(INDEX(TasksTable[End Date],MATCH(Y127,TasksTable[Task ID],0)),0),IFERROR(INDEX(TasksTable[End Date],MATCH(Z127,TasksTable[Task ID],0)),0)))</x:f>
        <x:v>0</x:v>
      </x:c>
      <x:c r="AF127" s="137" t="b">
        <x:f>IF(OR($A127="",AA127=0),FALSE,SWITCH($J127,"FS",$F127&lt;AE127,"SS",$F127&lt;AD127,"FF",$G127&lt;AE127,"SF",$G127&lt;AD127,TRUE))</x:f>
        <x:v>0</x:v>
      </x:c>
      <x:c r="AG127" s="137" t="str">
        <x:f>IF(AND($A127&lt;&gt;"",$K127="No",$N127&lt;&gt;"Completed",$F127&gt;=TODAY()),$F127+ROW()/100000,"")</x:f>
      </x:c>
      <x:c r="AH127" s="137" t="str">
        <x:f>IF(AND($A127&lt;&gt;"",$K127="Yes",$N127&lt;&gt;"Completed",$F127&gt;=TODAY()),$F127+ROW()/100000,"")</x:f>
      </x:c>
      <x:c r="AI127" s="137" t="str">
        <x:f>IF(AND($A127&lt;&gt;"",$K127="No",$N127&lt;&gt;"Completed",$G127&gt;=TODAY(),$G127&lt;=TODAY()+3),$G127+ROW()/100000,"")</x:f>
      </x:c>
      <x:c r="AJ127" s="137" t="str">
        <x:f>IF(AND($A127&lt;&gt;"",$K127="No",OR($N127="Delayed",$P127="Dependency conflict")),$G127+ROW()/100000,"")</x:f>
      </x:c>
      <x:c r="AK127" s="137" t="str">
        <x:f>IF(AG127="","",COUNTIFS($AG$7:$AG$206,"&gt;0",$AG$7:$AG$206,"&lt;"&amp;AG127)+1)</x:f>
      </x:c>
      <x:c r="AL127" s="137" t="str">
        <x:f>IF(AH127="","",COUNTIFS($AH$7:$AH$206,"&gt;0",$AH$7:$AH$206,"&lt;"&amp;AH127)+1)</x:f>
      </x:c>
      <x:c r="AM127" s="137" t="str">
        <x:f>IF(AI127="","",COUNTIFS($AI$7:$AI$206,"&gt;0",$AI$7:$AI$206,"&lt;"&amp;AI127)+1)</x:f>
      </x:c>
      <x:c r="AN127" s="137" t="str">
        <x:f>IF(AJ127="","",COUNTIFS($AJ$7:$AJ$206,"&gt;0",$AJ$7:$AJ$206,"&lt;"&amp;AJ127)+1)</x:f>
      </x:c>
    </x:row>
    <x:row r="128">
      <x:c r="T128" s="137" t="str">
        <x:f>IF($A128="","",TRIM(MID(SUBSTITUTE(SUBSTITUTE(TRIM($I128)," ",""),",",REPT(" ",100)),1,100)))</x:f>
      </x:c>
      <x:c r="U128" s="137" t="str">
        <x:f>IF($A128="","",TRIM(MID(SUBSTITUTE(SUBSTITUTE(TRIM($I128)," ",""),",",REPT(" ",100)),101,100)))</x:f>
      </x:c>
      <x:c r="V128" s="137" t="str">
        <x:f>IF($A128="","",TRIM(MID(SUBSTITUTE(SUBSTITUTE(TRIM($I128)," ",""),",",REPT(" ",100)),201,100)))</x:f>
      </x:c>
      <x:c r="W128" s="137" t="str">
        <x:f>IF($A128="","",TRIM(MID(SUBSTITUTE(SUBSTITUTE(TRIM($I128)," ",""),",",REPT(" ",100)),301,100)))</x:f>
      </x:c>
      <x:c r="X128" s="137" t="str">
        <x:f>IF($A128="","",TRIM(MID(SUBSTITUTE(SUBSTITUTE(TRIM($I128)," ",""),",",REPT(" ",100)),401,100)))</x:f>
      </x:c>
      <x:c r="Y128" s="137" t="str">
        <x:f>IF($A128="","",TRIM(MID(SUBSTITUTE(SUBSTITUTE(TRIM($I128)," ",""),",",REPT(" ",100)),501,100)))</x:f>
      </x:c>
      <x:c r="Z128" s="137" t="str">
        <x:f>IF($A128="","",TRIM(MID(SUBSTITUTE(SUBSTITUTE(TRIM($I128)," ",""),",",REPT(" ",100)),601,100)))</x:f>
      </x:c>
      <x:c r="AA128" s="137" t="str">
        <x:f>IF($A128="","",IF(SUBSTITUTE(TRIM($I128)," ","")="",0,1+LEN(SUBSTITUTE(TRIM($I128)," ",""))-LEN(SUBSTITUTE(SUBSTITUTE(TRIM($I128)," ",""),",",""))))</x:f>
      </x:c>
      <x:c r="AB128" s="137" t="str">
        <x:f>IF($A128="","",COUNTIF(TasksTable[Task ID],T128)+COUNTIF(TasksTable[Task ID],U128)+COUNTIF(TasksTable[Task ID],V128)+COUNTIF(TasksTable[Task ID],W128)+COUNTIF(TasksTable[Task ID],X128)+COUNTIF(TasksTable[Task ID],Y128)+COUNTIF(TasksTable[Task ID],Z128))</x:f>
      </x:c>
      <x:c r="AC128" s="137" t="b">
        <x:f>IF($A128="",FALSE,OR(T128=$A128,U128=$A128,V128=$A128,W128=$A128,X128=$A128,Y128=$A128,Z128=$A128))</x:f>
        <x:v>0</x:v>
      </x:c>
      <x:c r="AD128" s="144" t="n">
        <x:f>IF(AA128=0,0,MAX(IFERROR(INDEX(TasksTable[Start Date],MATCH(T128,TasksTable[Task ID],0)),0),IFERROR(INDEX(TasksTable[Start Date],MATCH(U128,TasksTable[Task ID],0)),0),IFERROR(INDEX(TasksTable[Start Date],MATCH(V128,TasksTable[Task ID],0)),0),IFERROR(INDEX(TasksTable[Start Date],MATCH(W128,TasksTable[Task ID],0)),0),IFERROR(INDEX(TasksTable[Start Date],MATCH(X128,TasksTable[Task ID],0)),0),IFERROR(INDEX(TasksTable[Start Date],MATCH(Y128,TasksTable[Task ID],0)),0),IFERROR(INDEX(TasksTable[Start Date],MATCH(Z128,TasksTable[Task ID],0)),0)))</x:f>
        <x:v>0</x:v>
      </x:c>
      <x:c r="AE128" s="144" t="n">
        <x:f>IF(AA128=0,0,MAX(IFERROR(INDEX(TasksTable[End Date],MATCH(T128,TasksTable[Task ID],0)),0),IFERROR(INDEX(TasksTable[End Date],MATCH(U128,TasksTable[Task ID],0)),0),IFERROR(INDEX(TasksTable[End Date],MATCH(V128,TasksTable[Task ID],0)),0),IFERROR(INDEX(TasksTable[End Date],MATCH(W128,TasksTable[Task ID],0)),0),IFERROR(INDEX(TasksTable[End Date],MATCH(X128,TasksTable[Task ID],0)),0),IFERROR(INDEX(TasksTable[End Date],MATCH(Y128,TasksTable[Task ID],0)),0),IFERROR(INDEX(TasksTable[End Date],MATCH(Z128,TasksTable[Task ID],0)),0)))</x:f>
        <x:v>0</x:v>
      </x:c>
      <x:c r="AF128" s="137" t="b">
        <x:f>IF(OR($A128="",AA128=0),FALSE,SWITCH($J128,"FS",$F128&lt;AE128,"SS",$F128&lt;AD128,"FF",$G128&lt;AE128,"SF",$G128&lt;AD128,TRUE))</x:f>
        <x:v>0</x:v>
      </x:c>
      <x:c r="AG128" s="137" t="str">
        <x:f>IF(AND($A128&lt;&gt;"",$K128="No",$N128&lt;&gt;"Completed",$F128&gt;=TODAY()),$F128+ROW()/100000,"")</x:f>
      </x:c>
      <x:c r="AH128" s="137" t="str">
        <x:f>IF(AND($A128&lt;&gt;"",$K128="Yes",$N128&lt;&gt;"Completed",$F128&gt;=TODAY()),$F128+ROW()/100000,"")</x:f>
      </x:c>
      <x:c r="AI128" s="137" t="str">
        <x:f>IF(AND($A128&lt;&gt;"",$K128="No",$N128&lt;&gt;"Completed",$G128&gt;=TODAY(),$G128&lt;=TODAY()+3),$G128+ROW()/100000,"")</x:f>
      </x:c>
      <x:c r="AJ128" s="137" t="str">
        <x:f>IF(AND($A128&lt;&gt;"",$K128="No",OR($N128="Delayed",$P128="Dependency conflict")),$G128+ROW()/100000,"")</x:f>
      </x:c>
      <x:c r="AK128" s="137" t="str">
        <x:f>IF(AG128="","",COUNTIFS($AG$7:$AG$206,"&gt;0",$AG$7:$AG$206,"&lt;"&amp;AG128)+1)</x:f>
      </x:c>
      <x:c r="AL128" s="137" t="str">
        <x:f>IF(AH128="","",COUNTIFS($AH$7:$AH$206,"&gt;0",$AH$7:$AH$206,"&lt;"&amp;AH128)+1)</x:f>
      </x:c>
      <x:c r="AM128" s="137" t="str">
        <x:f>IF(AI128="","",COUNTIFS($AI$7:$AI$206,"&gt;0",$AI$7:$AI$206,"&lt;"&amp;AI128)+1)</x:f>
      </x:c>
      <x:c r="AN128" s="137" t="str">
        <x:f>IF(AJ128="","",COUNTIFS($AJ$7:$AJ$206,"&gt;0",$AJ$7:$AJ$206,"&lt;"&amp;AJ128)+1)</x:f>
      </x:c>
    </x:row>
    <x:row r="129">
      <x:c r="T129" s="137" t="str">
        <x:f>IF($A129="","",TRIM(MID(SUBSTITUTE(SUBSTITUTE(TRIM($I129)," ",""),",",REPT(" ",100)),1,100)))</x:f>
      </x:c>
      <x:c r="U129" s="137" t="str">
        <x:f>IF($A129="","",TRIM(MID(SUBSTITUTE(SUBSTITUTE(TRIM($I129)," ",""),",",REPT(" ",100)),101,100)))</x:f>
      </x:c>
      <x:c r="V129" s="137" t="str">
        <x:f>IF($A129="","",TRIM(MID(SUBSTITUTE(SUBSTITUTE(TRIM($I129)," ",""),",",REPT(" ",100)),201,100)))</x:f>
      </x:c>
      <x:c r="W129" s="137" t="str">
        <x:f>IF($A129="","",TRIM(MID(SUBSTITUTE(SUBSTITUTE(TRIM($I129)," ",""),",",REPT(" ",100)),301,100)))</x:f>
      </x:c>
      <x:c r="X129" s="137" t="str">
        <x:f>IF($A129="","",TRIM(MID(SUBSTITUTE(SUBSTITUTE(TRIM($I129)," ",""),",",REPT(" ",100)),401,100)))</x:f>
      </x:c>
      <x:c r="Y129" s="137" t="str">
        <x:f>IF($A129="","",TRIM(MID(SUBSTITUTE(SUBSTITUTE(TRIM($I129)," ",""),",",REPT(" ",100)),501,100)))</x:f>
      </x:c>
      <x:c r="Z129" s="137" t="str">
        <x:f>IF($A129="","",TRIM(MID(SUBSTITUTE(SUBSTITUTE(TRIM($I129)," ",""),",",REPT(" ",100)),601,100)))</x:f>
      </x:c>
      <x:c r="AA129" s="137" t="str">
        <x:f>IF($A129="","",IF(SUBSTITUTE(TRIM($I129)," ","")="",0,1+LEN(SUBSTITUTE(TRIM($I129)," ",""))-LEN(SUBSTITUTE(SUBSTITUTE(TRIM($I129)," ",""),",",""))))</x:f>
      </x:c>
      <x:c r="AB129" s="137" t="str">
        <x:f>IF($A129="","",COUNTIF(TasksTable[Task ID],T129)+COUNTIF(TasksTable[Task ID],U129)+COUNTIF(TasksTable[Task ID],V129)+COUNTIF(TasksTable[Task ID],W129)+COUNTIF(TasksTable[Task ID],X129)+COUNTIF(TasksTable[Task ID],Y129)+COUNTIF(TasksTable[Task ID],Z129))</x:f>
      </x:c>
      <x:c r="AC129" s="137" t="b">
        <x:f>IF($A129="",FALSE,OR(T129=$A129,U129=$A129,V129=$A129,W129=$A129,X129=$A129,Y129=$A129,Z129=$A129))</x:f>
        <x:v>0</x:v>
      </x:c>
      <x:c r="AD129" s="144" t="n">
        <x:f>IF(AA129=0,0,MAX(IFERROR(INDEX(TasksTable[Start Date],MATCH(T129,TasksTable[Task ID],0)),0),IFERROR(INDEX(TasksTable[Start Date],MATCH(U129,TasksTable[Task ID],0)),0),IFERROR(INDEX(TasksTable[Start Date],MATCH(V129,TasksTable[Task ID],0)),0),IFERROR(INDEX(TasksTable[Start Date],MATCH(W129,TasksTable[Task ID],0)),0),IFERROR(INDEX(TasksTable[Start Date],MATCH(X129,TasksTable[Task ID],0)),0),IFERROR(INDEX(TasksTable[Start Date],MATCH(Y129,TasksTable[Task ID],0)),0),IFERROR(INDEX(TasksTable[Start Date],MATCH(Z129,TasksTable[Task ID],0)),0)))</x:f>
        <x:v>0</x:v>
      </x:c>
      <x:c r="AE129" s="144" t="n">
        <x:f>IF(AA129=0,0,MAX(IFERROR(INDEX(TasksTable[End Date],MATCH(T129,TasksTable[Task ID],0)),0),IFERROR(INDEX(TasksTable[End Date],MATCH(U129,TasksTable[Task ID],0)),0),IFERROR(INDEX(TasksTable[End Date],MATCH(V129,TasksTable[Task ID],0)),0),IFERROR(INDEX(TasksTable[End Date],MATCH(W129,TasksTable[Task ID],0)),0),IFERROR(INDEX(TasksTable[End Date],MATCH(X129,TasksTable[Task ID],0)),0),IFERROR(INDEX(TasksTable[End Date],MATCH(Y129,TasksTable[Task ID],0)),0),IFERROR(INDEX(TasksTable[End Date],MATCH(Z129,TasksTable[Task ID],0)),0)))</x:f>
        <x:v>0</x:v>
      </x:c>
      <x:c r="AF129" s="137" t="b">
        <x:f>IF(OR($A129="",AA129=0),FALSE,SWITCH($J129,"FS",$F129&lt;AE129,"SS",$F129&lt;AD129,"FF",$G129&lt;AE129,"SF",$G129&lt;AD129,TRUE))</x:f>
        <x:v>0</x:v>
      </x:c>
      <x:c r="AG129" s="137" t="str">
        <x:f>IF(AND($A129&lt;&gt;"",$K129="No",$N129&lt;&gt;"Completed",$F129&gt;=TODAY()),$F129+ROW()/100000,"")</x:f>
      </x:c>
      <x:c r="AH129" s="137" t="str">
        <x:f>IF(AND($A129&lt;&gt;"",$K129="Yes",$N129&lt;&gt;"Completed",$F129&gt;=TODAY()),$F129+ROW()/100000,"")</x:f>
      </x:c>
      <x:c r="AI129" s="137" t="str">
        <x:f>IF(AND($A129&lt;&gt;"",$K129="No",$N129&lt;&gt;"Completed",$G129&gt;=TODAY(),$G129&lt;=TODAY()+3),$G129+ROW()/100000,"")</x:f>
      </x:c>
      <x:c r="AJ129" s="137" t="str">
        <x:f>IF(AND($A129&lt;&gt;"",$K129="No",OR($N129="Delayed",$P129="Dependency conflict")),$G129+ROW()/100000,"")</x:f>
      </x:c>
      <x:c r="AK129" s="137" t="str">
        <x:f>IF(AG129="","",COUNTIFS($AG$7:$AG$206,"&gt;0",$AG$7:$AG$206,"&lt;"&amp;AG129)+1)</x:f>
      </x:c>
      <x:c r="AL129" s="137" t="str">
        <x:f>IF(AH129="","",COUNTIFS($AH$7:$AH$206,"&gt;0",$AH$7:$AH$206,"&lt;"&amp;AH129)+1)</x:f>
      </x:c>
      <x:c r="AM129" s="137" t="str">
        <x:f>IF(AI129="","",COUNTIFS($AI$7:$AI$206,"&gt;0",$AI$7:$AI$206,"&lt;"&amp;AI129)+1)</x:f>
      </x:c>
      <x:c r="AN129" s="137" t="str">
        <x:f>IF(AJ129="","",COUNTIFS($AJ$7:$AJ$206,"&gt;0",$AJ$7:$AJ$206,"&lt;"&amp;AJ129)+1)</x:f>
      </x:c>
    </x:row>
    <x:row r="130">
      <x:c r="T130" s="137" t="str">
        <x:f>IF($A130="","",TRIM(MID(SUBSTITUTE(SUBSTITUTE(TRIM($I130)," ",""),",",REPT(" ",100)),1,100)))</x:f>
      </x:c>
      <x:c r="U130" s="137" t="str">
        <x:f>IF($A130="","",TRIM(MID(SUBSTITUTE(SUBSTITUTE(TRIM($I130)," ",""),",",REPT(" ",100)),101,100)))</x:f>
      </x:c>
      <x:c r="V130" s="137" t="str">
        <x:f>IF($A130="","",TRIM(MID(SUBSTITUTE(SUBSTITUTE(TRIM($I130)," ",""),",",REPT(" ",100)),201,100)))</x:f>
      </x:c>
      <x:c r="W130" s="137" t="str">
        <x:f>IF($A130="","",TRIM(MID(SUBSTITUTE(SUBSTITUTE(TRIM($I130)," ",""),",",REPT(" ",100)),301,100)))</x:f>
      </x:c>
      <x:c r="X130" s="137" t="str">
        <x:f>IF($A130="","",TRIM(MID(SUBSTITUTE(SUBSTITUTE(TRIM($I130)," ",""),",",REPT(" ",100)),401,100)))</x:f>
      </x:c>
      <x:c r="Y130" s="137" t="str">
        <x:f>IF($A130="","",TRIM(MID(SUBSTITUTE(SUBSTITUTE(TRIM($I130)," ",""),",",REPT(" ",100)),501,100)))</x:f>
      </x:c>
      <x:c r="Z130" s="137" t="str">
        <x:f>IF($A130="","",TRIM(MID(SUBSTITUTE(SUBSTITUTE(TRIM($I130)," ",""),",",REPT(" ",100)),601,100)))</x:f>
      </x:c>
      <x:c r="AA130" s="137" t="str">
        <x:f>IF($A130="","",IF(SUBSTITUTE(TRIM($I130)," ","")="",0,1+LEN(SUBSTITUTE(TRIM($I130)," ",""))-LEN(SUBSTITUTE(SUBSTITUTE(TRIM($I130)," ",""),",",""))))</x:f>
      </x:c>
      <x:c r="AB130" s="137" t="str">
        <x:f>IF($A130="","",COUNTIF(TasksTable[Task ID],T130)+COUNTIF(TasksTable[Task ID],U130)+COUNTIF(TasksTable[Task ID],V130)+COUNTIF(TasksTable[Task ID],W130)+COUNTIF(TasksTable[Task ID],X130)+COUNTIF(TasksTable[Task ID],Y130)+COUNTIF(TasksTable[Task ID],Z130))</x:f>
      </x:c>
      <x:c r="AC130" s="137" t="b">
        <x:f>IF($A130="",FALSE,OR(T130=$A130,U130=$A130,V130=$A130,W130=$A130,X130=$A130,Y130=$A130,Z130=$A130))</x:f>
        <x:v>0</x:v>
      </x:c>
      <x:c r="AD130" s="144" t="n">
        <x:f>IF(AA130=0,0,MAX(IFERROR(INDEX(TasksTable[Start Date],MATCH(T130,TasksTable[Task ID],0)),0),IFERROR(INDEX(TasksTable[Start Date],MATCH(U130,TasksTable[Task ID],0)),0),IFERROR(INDEX(TasksTable[Start Date],MATCH(V130,TasksTable[Task ID],0)),0),IFERROR(INDEX(TasksTable[Start Date],MATCH(W130,TasksTable[Task ID],0)),0),IFERROR(INDEX(TasksTable[Start Date],MATCH(X130,TasksTable[Task ID],0)),0),IFERROR(INDEX(TasksTable[Start Date],MATCH(Y130,TasksTable[Task ID],0)),0),IFERROR(INDEX(TasksTable[Start Date],MATCH(Z130,TasksTable[Task ID],0)),0)))</x:f>
        <x:v>0</x:v>
      </x:c>
      <x:c r="AE130" s="144" t="n">
        <x:f>IF(AA130=0,0,MAX(IFERROR(INDEX(TasksTable[End Date],MATCH(T130,TasksTable[Task ID],0)),0),IFERROR(INDEX(TasksTable[End Date],MATCH(U130,TasksTable[Task ID],0)),0),IFERROR(INDEX(TasksTable[End Date],MATCH(V130,TasksTable[Task ID],0)),0),IFERROR(INDEX(TasksTable[End Date],MATCH(W130,TasksTable[Task ID],0)),0),IFERROR(INDEX(TasksTable[End Date],MATCH(X130,TasksTable[Task ID],0)),0),IFERROR(INDEX(TasksTable[End Date],MATCH(Y130,TasksTable[Task ID],0)),0),IFERROR(INDEX(TasksTable[End Date],MATCH(Z130,TasksTable[Task ID],0)),0)))</x:f>
        <x:v>0</x:v>
      </x:c>
      <x:c r="AF130" s="137" t="b">
        <x:f>IF(OR($A130="",AA130=0),FALSE,SWITCH($J130,"FS",$F130&lt;AE130,"SS",$F130&lt;AD130,"FF",$G130&lt;AE130,"SF",$G130&lt;AD130,TRUE))</x:f>
        <x:v>0</x:v>
      </x:c>
      <x:c r="AG130" s="137" t="str">
        <x:f>IF(AND($A130&lt;&gt;"",$K130="No",$N130&lt;&gt;"Completed",$F130&gt;=TODAY()),$F130+ROW()/100000,"")</x:f>
      </x:c>
      <x:c r="AH130" s="137" t="str">
        <x:f>IF(AND($A130&lt;&gt;"",$K130="Yes",$N130&lt;&gt;"Completed",$F130&gt;=TODAY()),$F130+ROW()/100000,"")</x:f>
      </x:c>
      <x:c r="AI130" s="137" t="str">
        <x:f>IF(AND($A130&lt;&gt;"",$K130="No",$N130&lt;&gt;"Completed",$G130&gt;=TODAY(),$G130&lt;=TODAY()+3),$G130+ROW()/100000,"")</x:f>
      </x:c>
      <x:c r="AJ130" s="137" t="str">
        <x:f>IF(AND($A130&lt;&gt;"",$K130="No",OR($N130="Delayed",$P130="Dependency conflict")),$G130+ROW()/100000,"")</x:f>
      </x:c>
      <x:c r="AK130" s="137" t="str">
        <x:f>IF(AG130="","",COUNTIFS($AG$7:$AG$206,"&gt;0",$AG$7:$AG$206,"&lt;"&amp;AG130)+1)</x:f>
      </x:c>
      <x:c r="AL130" s="137" t="str">
        <x:f>IF(AH130="","",COUNTIFS($AH$7:$AH$206,"&gt;0",$AH$7:$AH$206,"&lt;"&amp;AH130)+1)</x:f>
      </x:c>
      <x:c r="AM130" s="137" t="str">
        <x:f>IF(AI130="","",COUNTIFS($AI$7:$AI$206,"&gt;0",$AI$7:$AI$206,"&lt;"&amp;AI130)+1)</x:f>
      </x:c>
      <x:c r="AN130" s="137" t="str">
        <x:f>IF(AJ130="","",COUNTIFS($AJ$7:$AJ$206,"&gt;0",$AJ$7:$AJ$206,"&lt;"&amp;AJ130)+1)</x:f>
      </x:c>
    </x:row>
    <x:row r="131">
      <x:c r="T131" s="137" t="str">
        <x:f>IF($A131="","",TRIM(MID(SUBSTITUTE(SUBSTITUTE(TRIM($I131)," ",""),",",REPT(" ",100)),1,100)))</x:f>
      </x:c>
      <x:c r="U131" s="137" t="str">
        <x:f>IF($A131="","",TRIM(MID(SUBSTITUTE(SUBSTITUTE(TRIM($I131)," ",""),",",REPT(" ",100)),101,100)))</x:f>
      </x:c>
      <x:c r="V131" s="137" t="str">
        <x:f>IF($A131="","",TRIM(MID(SUBSTITUTE(SUBSTITUTE(TRIM($I131)," ",""),",",REPT(" ",100)),201,100)))</x:f>
      </x:c>
      <x:c r="W131" s="137" t="str">
        <x:f>IF($A131="","",TRIM(MID(SUBSTITUTE(SUBSTITUTE(TRIM($I131)," ",""),",",REPT(" ",100)),301,100)))</x:f>
      </x:c>
      <x:c r="X131" s="137" t="str">
        <x:f>IF($A131="","",TRIM(MID(SUBSTITUTE(SUBSTITUTE(TRIM($I131)," ",""),",",REPT(" ",100)),401,100)))</x:f>
      </x:c>
      <x:c r="Y131" s="137" t="str">
        <x:f>IF($A131="","",TRIM(MID(SUBSTITUTE(SUBSTITUTE(TRIM($I131)," ",""),",",REPT(" ",100)),501,100)))</x:f>
      </x:c>
      <x:c r="Z131" s="137" t="str">
        <x:f>IF($A131="","",TRIM(MID(SUBSTITUTE(SUBSTITUTE(TRIM($I131)," ",""),",",REPT(" ",100)),601,100)))</x:f>
      </x:c>
      <x:c r="AA131" s="137" t="str">
        <x:f>IF($A131="","",IF(SUBSTITUTE(TRIM($I131)," ","")="",0,1+LEN(SUBSTITUTE(TRIM($I131)," ",""))-LEN(SUBSTITUTE(SUBSTITUTE(TRIM($I131)," ",""),",",""))))</x:f>
      </x:c>
      <x:c r="AB131" s="137" t="str">
        <x:f>IF($A131="","",COUNTIF(TasksTable[Task ID],T131)+COUNTIF(TasksTable[Task ID],U131)+COUNTIF(TasksTable[Task ID],V131)+COUNTIF(TasksTable[Task ID],W131)+COUNTIF(TasksTable[Task ID],X131)+COUNTIF(TasksTable[Task ID],Y131)+COUNTIF(TasksTable[Task ID],Z131))</x:f>
      </x:c>
      <x:c r="AC131" s="137" t="b">
        <x:f>IF($A131="",FALSE,OR(T131=$A131,U131=$A131,V131=$A131,W131=$A131,X131=$A131,Y131=$A131,Z131=$A131))</x:f>
        <x:v>0</x:v>
      </x:c>
      <x:c r="AD131" s="144" t="n">
        <x:f>IF(AA131=0,0,MAX(IFERROR(INDEX(TasksTable[Start Date],MATCH(T131,TasksTable[Task ID],0)),0),IFERROR(INDEX(TasksTable[Start Date],MATCH(U131,TasksTable[Task ID],0)),0),IFERROR(INDEX(TasksTable[Start Date],MATCH(V131,TasksTable[Task ID],0)),0),IFERROR(INDEX(TasksTable[Start Date],MATCH(W131,TasksTable[Task ID],0)),0),IFERROR(INDEX(TasksTable[Start Date],MATCH(X131,TasksTable[Task ID],0)),0),IFERROR(INDEX(TasksTable[Start Date],MATCH(Y131,TasksTable[Task ID],0)),0),IFERROR(INDEX(TasksTable[Start Date],MATCH(Z131,TasksTable[Task ID],0)),0)))</x:f>
        <x:v>0</x:v>
      </x:c>
      <x:c r="AE131" s="144" t="n">
        <x:f>IF(AA131=0,0,MAX(IFERROR(INDEX(TasksTable[End Date],MATCH(T131,TasksTable[Task ID],0)),0),IFERROR(INDEX(TasksTable[End Date],MATCH(U131,TasksTable[Task ID],0)),0),IFERROR(INDEX(TasksTable[End Date],MATCH(V131,TasksTable[Task ID],0)),0),IFERROR(INDEX(TasksTable[End Date],MATCH(W131,TasksTable[Task ID],0)),0),IFERROR(INDEX(TasksTable[End Date],MATCH(X131,TasksTable[Task ID],0)),0),IFERROR(INDEX(TasksTable[End Date],MATCH(Y131,TasksTable[Task ID],0)),0),IFERROR(INDEX(TasksTable[End Date],MATCH(Z131,TasksTable[Task ID],0)),0)))</x:f>
        <x:v>0</x:v>
      </x:c>
      <x:c r="AF131" s="137" t="b">
        <x:f>IF(OR($A131="",AA131=0),FALSE,SWITCH($J131,"FS",$F131&lt;AE131,"SS",$F131&lt;AD131,"FF",$G131&lt;AE131,"SF",$G131&lt;AD131,TRUE))</x:f>
        <x:v>0</x:v>
      </x:c>
      <x:c r="AG131" s="137" t="str">
        <x:f>IF(AND($A131&lt;&gt;"",$K131="No",$N131&lt;&gt;"Completed",$F131&gt;=TODAY()),$F131+ROW()/100000,"")</x:f>
      </x:c>
      <x:c r="AH131" s="137" t="str">
        <x:f>IF(AND($A131&lt;&gt;"",$K131="Yes",$N131&lt;&gt;"Completed",$F131&gt;=TODAY()),$F131+ROW()/100000,"")</x:f>
      </x:c>
      <x:c r="AI131" s="137" t="str">
        <x:f>IF(AND($A131&lt;&gt;"",$K131="No",$N131&lt;&gt;"Completed",$G131&gt;=TODAY(),$G131&lt;=TODAY()+3),$G131+ROW()/100000,"")</x:f>
      </x:c>
      <x:c r="AJ131" s="137" t="str">
        <x:f>IF(AND($A131&lt;&gt;"",$K131="No",OR($N131="Delayed",$P131="Dependency conflict")),$G131+ROW()/100000,"")</x:f>
      </x:c>
      <x:c r="AK131" s="137" t="str">
        <x:f>IF(AG131="","",COUNTIFS($AG$7:$AG$206,"&gt;0",$AG$7:$AG$206,"&lt;"&amp;AG131)+1)</x:f>
      </x:c>
      <x:c r="AL131" s="137" t="str">
        <x:f>IF(AH131="","",COUNTIFS($AH$7:$AH$206,"&gt;0",$AH$7:$AH$206,"&lt;"&amp;AH131)+1)</x:f>
      </x:c>
      <x:c r="AM131" s="137" t="str">
        <x:f>IF(AI131="","",COUNTIFS($AI$7:$AI$206,"&gt;0",$AI$7:$AI$206,"&lt;"&amp;AI131)+1)</x:f>
      </x:c>
      <x:c r="AN131" s="137" t="str">
        <x:f>IF(AJ131="","",COUNTIFS($AJ$7:$AJ$206,"&gt;0",$AJ$7:$AJ$206,"&lt;"&amp;AJ131)+1)</x:f>
      </x:c>
    </x:row>
    <x:row r="132">
      <x:c r="T132" s="137" t="str">
        <x:f>IF($A132="","",TRIM(MID(SUBSTITUTE(SUBSTITUTE(TRIM($I132)," ",""),",",REPT(" ",100)),1,100)))</x:f>
      </x:c>
      <x:c r="U132" s="137" t="str">
        <x:f>IF($A132="","",TRIM(MID(SUBSTITUTE(SUBSTITUTE(TRIM($I132)," ",""),",",REPT(" ",100)),101,100)))</x:f>
      </x:c>
      <x:c r="V132" s="137" t="str">
        <x:f>IF($A132="","",TRIM(MID(SUBSTITUTE(SUBSTITUTE(TRIM($I132)," ",""),",",REPT(" ",100)),201,100)))</x:f>
      </x:c>
      <x:c r="W132" s="137" t="str">
        <x:f>IF($A132="","",TRIM(MID(SUBSTITUTE(SUBSTITUTE(TRIM($I132)," ",""),",",REPT(" ",100)),301,100)))</x:f>
      </x:c>
      <x:c r="X132" s="137" t="str">
        <x:f>IF($A132="","",TRIM(MID(SUBSTITUTE(SUBSTITUTE(TRIM($I132)," ",""),",",REPT(" ",100)),401,100)))</x:f>
      </x:c>
      <x:c r="Y132" s="137" t="str">
        <x:f>IF($A132="","",TRIM(MID(SUBSTITUTE(SUBSTITUTE(TRIM($I132)," ",""),",",REPT(" ",100)),501,100)))</x:f>
      </x:c>
      <x:c r="Z132" s="137" t="str">
        <x:f>IF($A132="","",TRIM(MID(SUBSTITUTE(SUBSTITUTE(TRIM($I132)," ",""),",",REPT(" ",100)),601,100)))</x:f>
      </x:c>
      <x:c r="AA132" s="137" t="str">
        <x:f>IF($A132="","",IF(SUBSTITUTE(TRIM($I132)," ","")="",0,1+LEN(SUBSTITUTE(TRIM($I132)," ",""))-LEN(SUBSTITUTE(SUBSTITUTE(TRIM($I132)," ",""),",",""))))</x:f>
      </x:c>
      <x:c r="AB132" s="137" t="str">
        <x:f>IF($A132="","",COUNTIF(TasksTable[Task ID],T132)+COUNTIF(TasksTable[Task ID],U132)+COUNTIF(TasksTable[Task ID],V132)+COUNTIF(TasksTable[Task ID],W132)+COUNTIF(TasksTable[Task ID],X132)+COUNTIF(TasksTable[Task ID],Y132)+COUNTIF(TasksTable[Task ID],Z132))</x:f>
      </x:c>
      <x:c r="AC132" s="137" t="b">
        <x:f>IF($A132="",FALSE,OR(T132=$A132,U132=$A132,V132=$A132,W132=$A132,X132=$A132,Y132=$A132,Z132=$A132))</x:f>
        <x:v>0</x:v>
      </x:c>
      <x:c r="AD132" s="144" t="n">
        <x:f>IF(AA132=0,0,MAX(IFERROR(INDEX(TasksTable[Start Date],MATCH(T132,TasksTable[Task ID],0)),0),IFERROR(INDEX(TasksTable[Start Date],MATCH(U132,TasksTable[Task ID],0)),0),IFERROR(INDEX(TasksTable[Start Date],MATCH(V132,TasksTable[Task ID],0)),0),IFERROR(INDEX(TasksTable[Start Date],MATCH(W132,TasksTable[Task ID],0)),0),IFERROR(INDEX(TasksTable[Start Date],MATCH(X132,TasksTable[Task ID],0)),0),IFERROR(INDEX(TasksTable[Start Date],MATCH(Y132,TasksTable[Task ID],0)),0),IFERROR(INDEX(TasksTable[Start Date],MATCH(Z132,TasksTable[Task ID],0)),0)))</x:f>
        <x:v>0</x:v>
      </x:c>
      <x:c r="AE132" s="144" t="n">
        <x:f>IF(AA132=0,0,MAX(IFERROR(INDEX(TasksTable[End Date],MATCH(T132,TasksTable[Task ID],0)),0),IFERROR(INDEX(TasksTable[End Date],MATCH(U132,TasksTable[Task ID],0)),0),IFERROR(INDEX(TasksTable[End Date],MATCH(V132,TasksTable[Task ID],0)),0),IFERROR(INDEX(TasksTable[End Date],MATCH(W132,TasksTable[Task ID],0)),0),IFERROR(INDEX(TasksTable[End Date],MATCH(X132,TasksTable[Task ID],0)),0),IFERROR(INDEX(TasksTable[End Date],MATCH(Y132,TasksTable[Task ID],0)),0),IFERROR(INDEX(TasksTable[End Date],MATCH(Z132,TasksTable[Task ID],0)),0)))</x:f>
        <x:v>0</x:v>
      </x:c>
      <x:c r="AF132" s="137" t="b">
        <x:f>IF(OR($A132="",AA132=0),FALSE,SWITCH($J132,"FS",$F132&lt;AE132,"SS",$F132&lt;AD132,"FF",$G132&lt;AE132,"SF",$G132&lt;AD132,TRUE))</x:f>
        <x:v>0</x:v>
      </x:c>
      <x:c r="AG132" s="137" t="str">
        <x:f>IF(AND($A132&lt;&gt;"",$K132="No",$N132&lt;&gt;"Completed",$F132&gt;=TODAY()),$F132+ROW()/100000,"")</x:f>
      </x:c>
      <x:c r="AH132" s="137" t="str">
        <x:f>IF(AND($A132&lt;&gt;"",$K132="Yes",$N132&lt;&gt;"Completed",$F132&gt;=TODAY()),$F132+ROW()/100000,"")</x:f>
      </x:c>
      <x:c r="AI132" s="137" t="str">
        <x:f>IF(AND($A132&lt;&gt;"",$K132="No",$N132&lt;&gt;"Completed",$G132&gt;=TODAY(),$G132&lt;=TODAY()+3),$G132+ROW()/100000,"")</x:f>
      </x:c>
      <x:c r="AJ132" s="137" t="str">
        <x:f>IF(AND($A132&lt;&gt;"",$K132="No",OR($N132="Delayed",$P132="Dependency conflict")),$G132+ROW()/100000,"")</x:f>
      </x:c>
      <x:c r="AK132" s="137" t="str">
        <x:f>IF(AG132="","",COUNTIFS($AG$7:$AG$206,"&gt;0",$AG$7:$AG$206,"&lt;"&amp;AG132)+1)</x:f>
      </x:c>
      <x:c r="AL132" s="137" t="str">
        <x:f>IF(AH132="","",COUNTIFS($AH$7:$AH$206,"&gt;0",$AH$7:$AH$206,"&lt;"&amp;AH132)+1)</x:f>
      </x:c>
      <x:c r="AM132" s="137" t="str">
        <x:f>IF(AI132="","",COUNTIFS($AI$7:$AI$206,"&gt;0",$AI$7:$AI$206,"&lt;"&amp;AI132)+1)</x:f>
      </x:c>
      <x:c r="AN132" s="137" t="str">
        <x:f>IF(AJ132="","",COUNTIFS($AJ$7:$AJ$206,"&gt;0",$AJ$7:$AJ$206,"&lt;"&amp;AJ132)+1)</x:f>
      </x:c>
    </x:row>
    <x:row r="133">
      <x:c r="T133" s="137" t="str">
        <x:f>IF($A133="","",TRIM(MID(SUBSTITUTE(SUBSTITUTE(TRIM($I133)," ",""),",",REPT(" ",100)),1,100)))</x:f>
      </x:c>
      <x:c r="U133" s="137" t="str">
        <x:f>IF($A133="","",TRIM(MID(SUBSTITUTE(SUBSTITUTE(TRIM($I133)," ",""),",",REPT(" ",100)),101,100)))</x:f>
      </x:c>
      <x:c r="V133" s="137" t="str">
        <x:f>IF($A133="","",TRIM(MID(SUBSTITUTE(SUBSTITUTE(TRIM($I133)," ",""),",",REPT(" ",100)),201,100)))</x:f>
      </x:c>
      <x:c r="W133" s="137" t="str">
        <x:f>IF($A133="","",TRIM(MID(SUBSTITUTE(SUBSTITUTE(TRIM($I133)," ",""),",",REPT(" ",100)),301,100)))</x:f>
      </x:c>
      <x:c r="X133" s="137" t="str">
        <x:f>IF($A133="","",TRIM(MID(SUBSTITUTE(SUBSTITUTE(TRIM($I133)," ",""),",",REPT(" ",100)),401,100)))</x:f>
      </x:c>
      <x:c r="Y133" s="137" t="str">
        <x:f>IF($A133="","",TRIM(MID(SUBSTITUTE(SUBSTITUTE(TRIM($I133)," ",""),",",REPT(" ",100)),501,100)))</x:f>
      </x:c>
      <x:c r="Z133" s="137" t="str">
        <x:f>IF($A133="","",TRIM(MID(SUBSTITUTE(SUBSTITUTE(TRIM($I133)," ",""),",",REPT(" ",100)),601,100)))</x:f>
      </x:c>
      <x:c r="AA133" s="137" t="str">
        <x:f>IF($A133="","",IF(SUBSTITUTE(TRIM($I133)," ","")="",0,1+LEN(SUBSTITUTE(TRIM($I133)," ",""))-LEN(SUBSTITUTE(SUBSTITUTE(TRIM($I133)," ",""),",",""))))</x:f>
      </x:c>
      <x:c r="AB133" s="137" t="str">
        <x:f>IF($A133="","",COUNTIF(TasksTable[Task ID],T133)+COUNTIF(TasksTable[Task ID],U133)+COUNTIF(TasksTable[Task ID],V133)+COUNTIF(TasksTable[Task ID],W133)+COUNTIF(TasksTable[Task ID],X133)+COUNTIF(TasksTable[Task ID],Y133)+COUNTIF(TasksTable[Task ID],Z133))</x:f>
      </x:c>
      <x:c r="AC133" s="137" t="b">
        <x:f>IF($A133="",FALSE,OR(T133=$A133,U133=$A133,V133=$A133,W133=$A133,X133=$A133,Y133=$A133,Z133=$A133))</x:f>
        <x:v>0</x:v>
      </x:c>
      <x:c r="AD133" s="144" t="n">
        <x:f>IF(AA133=0,0,MAX(IFERROR(INDEX(TasksTable[Start Date],MATCH(T133,TasksTable[Task ID],0)),0),IFERROR(INDEX(TasksTable[Start Date],MATCH(U133,TasksTable[Task ID],0)),0),IFERROR(INDEX(TasksTable[Start Date],MATCH(V133,TasksTable[Task ID],0)),0),IFERROR(INDEX(TasksTable[Start Date],MATCH(W133,TasksTable[Task ID],0)),0),IFERROR(INDEX(TasksTable[Start Date],MATCH(X133,TasksTable[Task ID],0)),0),IFERROR(INDEX(TasksTable[Start Date],MATCH(Y133,TasksTable[Task ID],0)),0),IFERROR(INDEX(TasksTable[Start Date],MATCH(Z133,TasksTable[Task ID],0)),0)))</x:f>
        <x:v>0</x:v>
      </x:c>
      <x:c r="AE133" s="144" t="n">
        <x:f>IF(AA133=0,0,MAX(IFERROR(INDEX(TasksTable[End Date],MATCH(T133,TasksTable[Task ID],0)),0),IFERROR(INDEX(TasksTable[End Date],MATCH(U133,TasksTable[Task ID],0)),0),IFERROR(INDEX(TasksTable[End Date],MATCH(V133,TasksTable[Task ID],0)),0),IFERROR(INDEX(TasksTable[End Date],MATCH(W133,TasksTable[Task ID],0)),0),IFERROR(INDEX(TasksTable[End Date],MATCH(X133,TasksTable[Task ID],0)),0),IFERROR(INDEX(TasksTable[End Date],MATCH(Y133,TasksTable[Task ID],0)),0),IFERROR(INDEX(TasksTable[End Date],MATCH(Z133,TasksTable[Task ID],0)),0)))</x:f>
        <x:v>0</x:v>
      </x:c>
      <x:c r="AF133" s="137" t="b">
        <x:f>IF(OR($A133="",AA133=0),FALSE,SWITCH($J133,"FS",$F133&lt;AE133,"SS",$F133&lt;AD133,"FF",$G133&lt;AE133,"SF",$G133&lt;AD133,TRUE))</x:f>
        <x:v>0</x:v>
      </x:c>
      <x:c r="AG133" s="137" t="str">
        <x:f>IF(AND($A133&lt;&gt;"",$K133="No",$N133&lt;&gt;"Completed",$F133&gt;=TODAY()),$F133+ROW()/100000,"")</x:f>
      </x:c>
      <x:c r="AH133" s="137" t="str">
        <x:f>IF(AND($A133&lt;&gt;"",$K133="Yes",$N133&lt;&gt;"Completed",$F133&gt;=TODAY()),$F133+ROW()/100000,"")</x:f>
      </x:c>
      <x:c r="AI133" s="137" t="str">
        <x:f>IF(AND($A133&lt;&gt;"",$K133="No",$N133&lt;&gt;"Completed",$G133&gt;=TODAY(),$G133&lt;=TODAY()+3),$G133+ROW()/100000,"")</x:f>
      </x:c>
      <x:c r="AJ133" s="137" t="str">
        <x:f>IF(AND($A133&lt;&gt;"",$K133="No",OR($N133="Delayed",$P133="Dependency conflict")),$G133+ROW()/100000,"")</x:f>
      </x:c>
      <x:c r="AK133" s="137" t="str">
        <x:f>IF(AG133="","",COUNTIFS($AG$7:$AG$206,"&gt;0",$AG$7:$AG$206,"&lt;"&amp;AG133)+1)</x:f>
      </x:c>
      <x:c r="AL133" s="137" t="str">
        <x:f>IF(AH133="","",COUNTIFS($AH$7:$AH$206,"&gt;0",$AH$7:$AH$206,"&lt;"&amp;AH133)+1)</x:f>
      </x:c>
      <x:c r="AM133" s="137" t="str">
        <x:f>IF(AI133="","",COUNTIFS($AI$7:$AI$206,"&gt;0",$AI$7:$AI$206,"&lt;"&amp;AI133)+1)</x:f>
      </x:c>
      <x:c r="AN133" s="137" t="str">
        <x:f>IF(AJ133="","",COUNTIFS($AJ$7:$AJ$206,"&gt;0",$AJ$7:$AJ$206,"&lt;"&amp;AJ133)+1)</x:f>
      </x:c>
    </x:row>
    <x:row r="134">
      <x:c r="T134" s="137" t="str">
        <x:f>IF($A134="","",TRIM(MID(SUBSTITUTE(SUBSTITUTE(TRIM($I134)," ",""),",",REPT(" ",100)),1,100)))</x:f>
      </x:c>
      <x:c r="U134" s="137" t="str">
        <x:f>IF($A134="","",TRIM(MID(SUBSTITUTE(SUBSTITUTE(TRIM($I134)," ",""),",",REPT(" ",100)),101,100)))</x:f>
      </x:c>
      <x:c r="V134" s="137" t="str">
        <x:f>IF($A134="","",TRIM(MID(SUBSTITUTE(SUBSTITUTE(TRIM($I134)," ",""),",",REPT(" ",100)),201,100)))</x:f>
      </x:c>
      <x:c r="W134" s="137" t="str">
        <x:f>IF($A134="","",TRIM(MID(SUBSTITUTE(SUBSTITUTE(TRIM($I134)," ",""),",",REPT(" ",100)),301,100)))</x:f>
      </x:c>
      <x:c r="X134" s="137" t="str">
        <x:f>IF($A134="","",TRIM(MID(SUBSTITUTE(SUBSTITUTE(TRIM($I134)," ",""),",",REPT(" ",100)),401,100)))</x:f>
      </x:c>
      <x:c r="Y134" s="137" t="str">
        <x:f>IF($A134="","",TRIM(MID(SUBSTITUTE(SUBSTITUTE(TRIM($I134)," ",""),",",REPT(" ",100)),501,100)))</x:f>
      </x:c>
      <x:c r="Z134" s="137" t="str">
        <x:f>IF($A134="","",TRIM(MID(SUBSTITUTE(SUBSTITUTE(TRIM($I134)," ",""),",",REPT(" ",100)),601,100)))</x:f>
      </x:c>
      <x:c r="AA134" s="137" t="str">
        <x:f>IF($A134="","",IF(SUBSTITUTE(TRIM($I134)," ","")="",0,1+LEN(SUBSTITUTE(TRIM($I134)," ",""))-LEN(SUBSTITUTE(SUBSTITUTE(TRIM($I134)," ",""),",",""))))</x:f>
      </x:c>
      <x:c r="AB134" s="137" t="str">
        <x:f>IF($A134="","",COUNTIF(TasksTable[Task ID],T134)+COUNTIF(TasksTable[Task ID],U134)+COUNTIF(TasksTable[Task ID],V134)+COUNTIF(TasksTable[Task ID],W134)+COUNTIF(TasksTable[Task ID],X134)+COUNTIF(TasksTable[Task ID],Y134)+COUNTIF(TasksTable[Task ID],Z134))</x:f>
      </x:c>
      <x:c r="AC134" s="137" t="b">
        <x:f>IF($A134="",FALSE,OR(T134=$A134,U134=$A134,V134=$A134,W134=$A134,X134=$A134,Y134=$A134,Z134=$A134))</x:f>
        <x:v>0</x:v>
      </x:c>
      <x:c r="AD134" s="144" t="n">
        <x:f>IF(AA134=0,0,MAX(IFERROR(INDEX(TasksTable[Start Date],MATCH(T134,TasksTable[Task ID],0)),0),IFERROR(INDEX(TasksTable[Start Date],MATCH(U134,TasksTable[Task ID],0)),0),IFERROR(INDEX(TasksTable[Start Date],MATCH(V134,TasksTable[Task ID],0)),0),IFERROR(INDEX(TasksTable[Start Date],MATCH(W134,TasksTable[Task ID],0)),0),IFERROR(INDEX(TasksTable[Start Date],MATCH(X134,TasksTable[Task ID],0)),0),IFERROR(INDEX(TasksTable[Start Date],MATCH(Y134,TasksTable[Task ID],0)),0),IFERROR(INDEX(TasksTable[Start Date],MATCH(Z134,TasksTable[Task ID],0)),0)))</x:f>
        <x:v>0</x:v>
      </x:c>
      <x:c r="AE134" s="144" t="n">
        <x:f>IF(AA134=0,0,MAX(IFERROR(INDEX(TasksTable[End Date],MATCH(T134,TasksTable[Task ID],0)),0),IFERROR(INDEX(TasksTable[End Date],MATCH(U134,TasksTable[Task ID],0)),0),IFERROR(INDEX(TasksTable[End Date],MATCH(V134,TasksTable[Task ID],0)),0),IFERROR(INDEX(TasksTable[End Date],MATCH(W134,TasksTable[Task ID],0)),0),IFERROR(INDEX(TasksTable[End Date],MATCH(X134,TasksTable[Task ID],0)),0),IFERROR(INDEX(TasksTable[End Date],MATCH(Y134,TasksTable[Task ID],0)),0),IFERROR(INDEX(TasksTable[End Date],MATCH(Z134,TasksTable[Task ID],0)),0)))</x:f>
        <x:v>0</x:v>
      </x:c>
      <x:c r="AF134" s="137" t="b">
        <x:f>IF(OR($A134="",AA134=0),FALSE,SWITCH($J134,"FS",$F134&lt;AE134,"SS",$F134&lt;AD134,"FF",$G134&lt;AE134,"SF",$G134&lt;AD134,TRUE))</x:f>
        <x:v>0</x:v>
      </x:c>
      <x:c r="AG134" s="137" t="str">
        <x:f>IF(AND($A134&lt;&gt;"",$K134="No",$N134&lt;&gt;"Completed",$F134&gt;=TODAY()),$F134+ROW()/100000,"")</x:f>
      </x:c>
      <x:c r="AH134" s="137" t="str">
        <x:f>IF(AND($A134&lt;&gt;"",$K134="Yes",$N134&lt;&gt;"Completed",$F134&gt;=TODAY()),$F134+ROW()/100000,"")</x:f>
      </x:c>
      <x:c r="AI134" s="137" t="str">
        <x:f>IF(AND($A134&lt;&gt;"",$K134="No",$N134&lt;&gt;"Completed",$G134&gt;=TODAY(),$G134&lt;=TODAY()+3),$G134+ROW()/100000,"")</x:f>
      </x:c>
      <x:c r="AJ134" s="137" t="str">
        <x:f>IF(AND($A134&lt;&gt;"",$K134="No",OR($N134="Delayed",$P134="Dependency conflict")),$G134+ROW()/100000,"")</x:f>
      </x:c>
      <x:c r="AK134" s="137" t="str">
        <x:f>IF(AG134="","",COUNTIFS($AG$7:$AG$206,"&gt;0",$AG$7:$AG$206,"&lt;"&amp;AG134)+1)</x:f>
      </x:c>
      <x:c r="AL134" s="137" t="str">
        <x:f>IF(AH134="","",COUNTIFS($AH$7:$AH$206,"&gt;0",$AH$7:$AH$206,"&lt;"&amp;AH134)+1)</x:f>
      </x:c>
      <x:c r="AM134" s="137" t="str">
        <x:f>IF(AI134="","",COUNTIFS($AI$7:$AI$206,"&gt;0",$AI$7:$AI$206,"&lt;"&amp;AI134)+1)</x:f>
      </x:c>
      <x:c r="AN134" s="137" t="str">
        <x:f>IF(AJ134="","",COUNTIFS($AJ$7:$AJ$206,"&gt;0",$AJ$7:$AJ$206,"&lt;"&amp;AJ134)+1)</x:f>
      </x:c>
    </x:row>
    <x:row r="135">
      <x:c r="T135" s="137" t="str">
        <x:f>IF($A135="","",TRIM(MID(SUBSTITUTE(SUBSTITUTE(TRIM($I135)," ",""),",",REPT(" ",100)),1,100)))</x:f>
      </x:c>
      <x:c r="U135" s="137" t="str">
        <x:f>IF($A135="","",TRIM(MID(SUBSTITUTE(SUBSTITUTE(TRIM($I135)," ",""),",",REPT(" ",100)),101,100)))</x:f>
      </x:c>
      <x:c r="V135" s="137" t="str">
        <x:f>IF($A135="","",TRIM(MID(SUBSTITUTE(SUBSTITUTE(TRIM($I135)," ",""),",",REPT(" ",100)),201,100)))</x:f>
      </x:c>
      <x:c r="W135" s="137" t="str">
        <x:f>IF($A135="","",TRIM(MID(SUBSTITUTE(SUBSTITUTE(TRIM($I135)," ",""),",",REPT(" ",100)),301,100)))</x:f>
      </x:c>
      <x:c r="X135" s="137" t="str">
        <x:f>IF($A135="","",TRIM(MID(SUBSTITUTE(SUBSTITUTE(TRIM($I135)," ",""),",",REPT(" ",100)),401,100)))</x:f>
      </x:c>
      <x:c r="Y135" s="137" t="str">
        <x:f>IF($A135="","",TRIM(MID(SUBSTITUTE(SUBSTITUTE(TRIM($I135)," ",""),",",REPT(" ",100)),501,100)))</x:f>
      </x:c>
      <x:c r="Z135" s="137" t="str">
        <x:f>IF($A135="","",TRIM(MID(SUBSTITUTE(SUBSTITUTE(TRIM($I135)," ",""),",",REPT(" ",100)),601,100)))</x:f>
      </x:c>
      <x:c r="AA135" s="137" t="str">
        <x:f>IF($A135="","",IF(SUBSTITUTE(TRIM($I135)," ","")="",0,1+LEN(SUBSTITUTE(TRIM($I135)," ",""))-LEN(SUBSTITUTE(SUBSTITUTE(TRIM($I135)," ",""),",",""))))</x:f>
      </x:c>
      <x:c r="AB135" s="137" t="str">
        <x:f>IF($A135="","",COUNTIF(TasksTable[Task ID],T135)+COUNTIF(TasksTable[Task ID],U135)+COUNTIF(TasksTable[Task ID],V135)+COUNTIF(TasksTable[Task ID],W135)+COUNTIF(TasksTable[Task ID],X135)+COUNTIF(TasksTable[Task ID],Y135)+COUNTIF(TasksTable[Task ID],Z135))</x:f>
      </x:c>
      <x:c r="AC135" s="137" t="b">
        <x:f>IF($A135="",FALSE,OR(T135=$A135,U135=$A135,V135=$A135,W135=$A135,X135=$A135,Y135=$A135,Z135=$A135))</x:f>
        <x:v>0</x:v>
      </x:c>
      <x:c r="AD135" s="144" t="n">
        <x:f>IF(AA135=0,0,MAX(IFERROR(INDEX(TasksTable[Start Date],MATCH(T135,TasksTable[Task ID],0)),0),IFERROR(INDEX(TasksTable[Start Date],MATCH(U135,TasksTable[Task ID],0)),0),IFERROR(INDEX(TasksTable[Start Date],MATCH(V135,TasksTable[Task ID],0)),0),IFERROR(INDEX(TasksTable[Start Date],MATCH(W135,TasksTable[Task ID],0)),0),IFERROR(INDEX(TasksTable[Start Date],MATCH(X135,TasksTable[Task ID],0)),0),IFERROR(INDEX(TasksTable[Start Date],MATCH(Y135,TasksTable[Task ID],0)),0),IFERROR(INDEX(TasksTable[Start Date],MATCH(Z135,TasksTable[Task ID],0)),0)))</x:f>
        <x:v>0</x:v>
      </x:c>
      <x:c r="AE135" s="144" t="n">
        <x:f>IF(AA135=0,0,MAX(IFERROR(INDEX(TasksTable[End Date],MATCH(T135,TasksTable[Task ID],0)),0),IFERROR(INDEX(TasksTable[End Date],MATCH(U135,TasksTable[Task ID],0)),0),IFERROR(INDEX(TasksTable[End Date],MATCH(V135,TasksTable[Task ID],0)),0),IFERROR(INDEX(TasksTable[End Date],MATCH(W135,TasksTable[Task ID],0)),0),IFERROR(INDEX(TasksTable[End Date],MATCH(X135,TasksTable[Task ID],0)),0),IFERROR(INDEX(TasksTable[End Date],MATCH(Y135,TasksTable[Task ID],0)),0),IFERROR(INDEX(TasksTable[End Date],MATCH(Z135,TasksTable[Task ID],0)),0)))</x:f>
        <x:v>0</x:v>
      </x:c>
      <x:c r="AF135" s="137" t="b">
        <x:f>IF(OR($A135="",AA135=0),FALSE,SWITCH($J135,"FS",$F135&lt;AE135,"SS",$F135&lt;AD135,"FF",$G135&lt;AE135,"SF",$G135&lt;AD135,TRUE))</x:f>
        <x:v>0</x:v>
      </x:c>
      <x:c r="AG135" s="137" t="str">
        <x:f>IF(AND($A135&lt;&gt;"",$K135="No",$N135&lt;&gt;"Completed",$F135&gt;=TODAY()),$F135+ROW()/100000,"")</x:f>
      </x:c>
      <x:c r="AH135" s="137" t="str">
        <x:f>IF(AND($A135&lt;&gt;"",$K135="Yes",$N135&lt;&gt;"Completed",$F135&gt;=TODAY()),$F135+ROW()/100000,"")</x:f>
      </x:c>
      <x:c r="AI135" s="137" t="str">
        <x:f>IF(AND($A135&lt;&gt;"",$K135="No",$N135&lt;&gt;"Completed",$G135&gt;=TODAY(),$G135&lt;=TODAY()+3),$G135+ROW()/100000,"")</x:f>
      </x:c>
      <x:c r="AJ135" s="137" t="str">
        <x:f>IF(AND($A135&lt;&gt;"",$K135="No",OR($N135="Delayed",$P135="Dependency conflict")),$G135+ROW()/100000,"")</x:f>
      </x:c>
      <x:c r="AK135" s="137" t="str">
        <x:f>IF(AG135="","",COUNTIFS($AG$7:$AG$206,"&gt;0",$AG$7:$AG$206,"&lt;"&amp;AG135)+1)</x:f>
      </x:c>
      <x:c r="AL135" s="137" t="str">
        <x:f>IF(AH135="","",COUNTIFS($AH$7:$AH$206,"&gt;0",$AH$7:$AH$206,"&lt;"&amp;AH135)+1)</x:f>
      </x:c>
      <x:c r="AM135" s="137" t="str">
        <x:f>IF(AI135="","",COUNTIFS($AI$7:$AI$206,"&gt;0",$AI$7:$AI$206,"&lt;"&amp;AI135)+1)</x:f>
      </x:c>
      <x:c r="AN135" s="137" t="str">
        <x:f>IF(AJ135="","",COUNTIFS($AJ$7:$AJ$206,"&gt;0",$AJ$7:$AJ$206,"&lt;"&amp;AJ135)+1)</x:f>
      </x:c>
    </x:row>
    <x:row r="136">
      <x:c r="T136" s="137" t="str">
        <x:f>IF($A136="","",TRIM(MID(SUBSTITUTE(SUBSTITUTE(TRIM($I136)," ",""),",",REPT(" ",100)),1,100)))</x:f>
      </x:c>
      <x:c r="U136" s="137" t="str">
        <x:f>IF($A136="","",TRIM(MID(SUBSTITUTE(SUBSTITUTE(TRIM($I136)," ",""),",",REPT(" ",100)),101,100)))</x:f>
      </x:c>
      <x:c r="V136" s="137" t="str">
        <x:f>IF($A136="","",TRIM(MID(SUBSTITUTE(SUBSTITUTE(TRIM($I136)," ",""),",",REPT(" ",100)),201,100)))</x:f>
      </x:c>
      <x:c r="W136" s="137" t="str">
        <x:f>IF($A136="","",TRIM(MID(SUBSTITUTE(SUBSTITUTE(TRIM($I136)," ",""),",",REPT(" ",100)),301,100)))</x:f>
      </x:c>
      <x:c r="X136" s="137" t="str">
        <x:f>IF($A136="","",TRIM(MID(SUBSTITUTE(SUBSTITUTE(TRIM($I136)," ",""),",",REPT(" ",100)),401,100)))</x:f>
      </x:c>
      <x:c r="Y136" s="137" t="str">
        <x:f>IF($A136="","",TRIM(MID(SUBSTITUTE(SUBSTITUTE(TRIM($I136)," ",""),",",REPT(" ",100)),501,100)))</x:f>
      </x:c>
      <x:c r="Z136" s="137" t="str">
        <x:f>IF($A136="","",TRIM(MID(SUBSTITUTE(SUBSTITUTE(TRIM($I136)," ",""),",",REPT(" ",100)),601,100)))</x:f>
      </x:c>
      <x:c r="AA136" s="137" t="str">
        <x:f>IF($A136="","",IF(SUBSTITUTE(TRIM($I136)," ","")="",0,1+LEN(SUBSTITUTE(TRIM($I136)," ",""))-LEN(SUBSTITUTE(SUBSTITUTE(TRIM($I136)," ",""),",",""))))</x:f>
      </x:c>
      <x:c r="AB136" s="137" t="str">
        <x:f>IF($A136="","",COUNTIF(TasksTable[Task ID],T136)+COUNTIF(TasksTable[Task ID],U136)+COUNTIF(TasksTable[Task ID],V136)+COUNTIF(TasksTable[Task ID],W136)+COUNTIF(TasksTable[Task ID],X136)+COUNTIF(TasksTable[Task ID],Y136)+COUNTIF(TasksTable[Task ID],Z136))</x:f>
      </x:c>
      <x:c r="AC136" s="137" t="b">
        <x:f>IF($A136="",FALSE,OR(T136=$A136,U136=$A136,V136=$A136,W136=$A136,X136=$A136,Y136=$A136,Z136=$A136))</x:f>
        <x:v>0</x:v>
      </x:c>
      <x:c r="AD136" s="144" t="n">
        <x:f>IF(AA136=0,0,MAX(IFERROR(INDEX(TasksTable[Start Date],MATCH(T136,TasksTable[Task ID],0)),0),IFERROR(INDEX(TasksTable[Start Date],MATCH(U136,TasksTable[Task ID],0)),0),IFERROR(INDEX(TasksTable[Start Date],MATCH(V136,TasksTable[Task ID],0)),0),IFERROR(INDEX(TasksTable[Start Date],MATCH(W136,TasksTable[Task ID],0)),0),IFERROR(INDEX(TasksTable[Start Date],MATCH(X136,TasksTable[Task ID],0)),0),IFERROR(INDEX(TasksTable[Start Date],MATCH(Y136,TasksTable[Task ID],0)),0),IFERROR(INDEX(TasksTable[Start Date],MATCH(Z136,TasksTable[Task ID],0)),0)))</x:f>
        <x:v>0</x:v>
      </x:c>
      <x:c r="AE136" s="144" t="n">
        <x:f>IF(AA136=0,0,MAX(IFERROR(INDEX(TasksTable[End Date],MATCH(T136,TasksTable[Task ID],0)),0),IFERROR(INDEX(TasksTable[End Date],MATCH(U136,TasksTable[Task ID],0)),0),IFERROR(INDEX(TasksTable[End Date],MATCH(V136,TasksTable[Task ID],0)),0),IFERROR(INDEX(TasksTable[End Date],MATCH(W136,TasksTable[Task ID],0)),0),IFERROR(INDEX(TasksTable[End Date],MATCH(X136,TasksTable[Task ID],0)),0),IFERROR(INDEX(TasksTable[End Date],MATCH(Y136,TasksTable[Task ID],0)),0),IFERROR(INDEX(TasksTable[End Date],MATCH(Z136,TasksTable[Task ID],0)),0)))</x:f>
        <x:v>0</x:v>
      </x:c>
      <x:c r="AF136" s="137" t="b">
        <x:f>IF(OR($A136="",AA136=0),FALSE,SWITCH($J136,"FS",$F136&lt;AE136,"SS",$F136&lt;AD136,"FF",$G136&lt;AE136,"SF",$G136&lt;AD136,TRUE))</x:f>
        <x:v>0</x:v>
      </x:c>
      <x:c r="AG136" s="137" t="str">
        <x:f>IF(AND($A136&lt;&gt;"",$K136="No",$N136&lt;&gt;"Completed",$F136&gt;=TODAY()),$F136+ROW()/100000,"")</x:f>
      </x:c>
      <x:c r="AH136" s="137" t="str">
        <x:f>IF(AND($A136&lt;&gt;"",$K136="Yes",$N136&lt;&gt;"Completed",$F136&gt;=TODAY()),$F136+ROW()/100000,"")</x:f>
      </x:c>
      <x:c r="AI136" s="137" t="str">
        <x:f>IF(AND($A136&lt;&gt;"",$K136="No",$N136&lt;&gt;"Completed",$G136&gt;=TODAY(),$G136&lt;=TODAY()+3),$G136+ROW()/100000,"")</x:f>
      </x:c>
      <x:c r="AJ136" s="137" t="str">
        <x:f>IF(AND($A136&lt;&gt;"",$K136="No",OR($N136="Delayed",$P136="Dependency conflict")),$G136+ROW()/100000,"")</x:f>
      </x:c>
      <x:c r="AK136" s="137" t="str">
        <x:f>IF(AG136="","",COUNTIFS($AG$7:$AG$206,"&gt;0",$AG$7:$AG$206,"&lt;"&amp;AG136)+1)</x:f>
      </x:c>
      <x:c r="AL136" s="137" t="str">
        <x:f>IF(AH136="","",COUNTIFS($AH$7:$AH$206,"&gt;0",$AH$7:$AH$206,"&lt;"&amp;AH136)+1)</x:f>
      </x:c>
      <x:c r="AM136" s="137" t="str">
        <x:f>IF(AI136="","",COUNTIFS($AI$7:$AI$206,"&gt;0",$AI$7:$AI$206,"&lt;"&amp;AI136)+1)</x:f>
      </x:c>
      <x:c r="AN136" s="137" t="str">
        <x:f>IF(AJ136="","",COUNTIFS($AJ$7:$AJ$206,"&gt;0",$AJ$7:$AJ$206,"&lt;"&amp;AJ136)+1)</x:f>
      </x:c>
    </x:row>
    <x:row r="137">
      <x:c r="T137" s="137" t="str">
        <x:f>IF($A137="","",TRIM(MID(SUBSTITUTE(SUBSTITUTE(TRIM($I137)," ",""),",",REPT(" ",100)),1,100)))</x:f>
      </x:c>
      <x:c r="U137" s="137" t="str">
        <x:f>IF($A137="","",TRIM(MID(SUBSTITUTE(SUBSTITUTE(TRIM($I137)," ",""),",",REPT(" ",100)),101,100)))</x:f>
      </x:c>
      <x:c r="V137" s="137" t="str">
        <x:f>IF($A137="","",TRIM(MID(SUBSTITUTE(SUBSTITUTE(TRIM($I137)," ",""),",",REPT(" ",100)),201,100)))</x:f>
      </x:c>
      <x:c r="W137" s="137" t="str">
        <x:f>IF($A137="","",TRIM(MID(SUBSTITUTE(SUBSTITUTE(TRIM($I137)," ",""),",",REPT(" ",100)),301,100)))</x:f>
      </x:c>
      <x:c r="X137" s="137" t="str">
        <x:f>IF($A137="","",TRIM(MID(SUBSTITUTE(SUBSTITUTE(TRIM($I137)," ",""),",",REPT(" ",100)),401,100)))</x:f>
      </x:c>
      <x:c r="Y137" s="137" t="str">
        <x:f>IF($A137="","",TRIM(MID(SUBSTITUTE(SUBSTITUTE(TRIM($I137)," ",""),",",REPT(" ",100)),501,100)))</x:f>
      </x:c>
      <x:c r="Z137" s="137" t="str">
        <x:f>IF($A137="","",TRIM(MID(SUBSTITUTE(SUBSTITUTE(TRIM($I137)," ",""),",",REPT(" ",100)),601,100)))</x:f>
      </x:c>
      <x:c r="AA137" s="137" t="str">
        <x:f>IF($A137="","",IF(SUBSTITUTE(TRIM($I137)," ","")="",0,1+LEN(SUBSTITUTE(TRIM($I137)," ",""))-LEN(SUBSTITUTE(SUBSTITUTE(TRIM($I137)," ",""),",",""))))</x:f>
      </x:c>
      <x:c r="AB137" s="137" t="str">
        <x:f>IF($A137="","",COUNTIF(TasksTable[Task ID],T137)+COUNTIF(TasksTable[Task ID],U137)+COUNTIF(TasksTable[Task ID],V137)+COUNTIF(TasksTable[Task ID],W137)+COUNTIF(TasksTable[Task ID],X137)+COUNTIF(TasksTable[Task ID],Y137)+COUNTIF(TasksTable[Task ID],Z137))</x:f>
      </x:c>
      <x:c r="AC137" s="137" t="b">
        <x:f>IF($A137="",FALSE,OR(T137=$A137,U137=$A137,V137=$A137,W137=$A137,X137=$A137,Y137=$A137,Z137=$A137))</x:f>
        <x:v>0</x:v>
      </x:c>
      <x:c r="AD137" s="144" t="n">
        <x:f>IF(AA137=0,0,MAX(IFERROR(INDEX(TasksTable[Start Date],MATCH(T137,TasksTable[Task ID],0)),0),IFERROR(INDEX(TasksTable[Start Date],MATCH(U137,TasksTable[Task ID],0)),0),IFERROR(INDEX(TasksTable[Start Date],MATCH(V137,TasksTable[Task ID],0)),0),IFERROR(INDEX(TasksTable[Start Date],MATCH(W137,TasksTable[Task ID],0)),0),IFERROR(INDEX(TasksTable[Start Date],MATCH(X137,TasksTable[Task ID],0)),0),IFERROR(INDEX(TasksTable[Start Date],MATCH(Y137,TasksTable[Task ID],0)),0),IFERROR(INDEX(TasksTable[Start Date],MATCH(Z137,TasksTable[Task ID],0)),0)))</x:f>
        <x:v>0</x:v>
      </x:c>
      <x:c r="AE137" s="144" t="n">
        <x:f>IF(AA137=0,0,MAX(IFERROR(INDEX(TasksTable[End Date],MATCH(T137,TasksTable[Task ID],0)),0),IFERROR(INDEX(TasksTable[End Date],MATCH(U137,TasksTable[Task ID],0)),0),IFERROR(INDEX(TasksTable[End Date],MATCH(V137,TasksTable[Task ID],0)),0),IFERROR(INDEX(TasksTable[End Date],MATCH(W137,TasksTable[Task ID],0)),0),IFERROR(INDEX(TasksTable[End Date],MATCH(X137,TasksTable[Task ID],0)),0),IFERROR(INDEX(TasksTable[End Date],MATCH(Y137,TasksTable[Task ID],0)),0),IFERROR(INDEX(TasksTable[End Date],MATCH(Z137,TasksTable[Task ID],0)),0)))</x:f>
        <x:v>0</x:v>
      </x:c>
      <x:c r="AF137" s="137" t="b">
        <x:f>IF(OR($A137="",AA137=0),FALSE,SWITCH($J137,"FS",$F137&lt;AE137,"SS",$F137&lt;AD137,"FF",$G137&lt;AE137,"SF",$G137&lt;AD137,TRUE))</x:f>
        <x:v>0</x:v>
      </x:c>
      <x:c r="AG137" s="137" t="str">
        <x:f>IF(AND($A137&lt;&gt;"",$K137="No",$N137&lt;&gt;"Completed",$F137&gt;=TODAY()),$F137+ROW()/100000,"")</x:f>
      </x:c>
      <x:c r="AH137" s="137" t="str">
        <x:f>IF(AND($A137&lt;&gt;"",$K137="Yes",$N137&lt;&gt;"Completed",$F137&gt;=TODAY()),$F137+ROW()/100000,"")</x:f>
      </x:c>
      <x:c r="AI137" s="137" t="str">
        <x:f>IF(AND($A137&lt;&gt;"",$K137="No",$N137&lt;&gt;"Completed",$G137&gt;=TODAY(),$G137&lt;=TODAY()+3),$G137+ROW()/100000,"")</x:f>
      </x:c>
      <x:c r="AJ137" s="137" t="str">
        <x:f>IF(AND($A137&lt;&gt;"",$K137="No",OR($N137="Delayed",$P137="Dependency conflict")),$G137+ROW()/100000,"")</x:f>
      </x:c>
      <x:c r="AK137" s="137" t="str">
        <x:f>IF(AG137="","",COUNTIFS($AG$7:$AG$206,"&gt;0",$AG$7:$AG$206,"&lt;"&amp;AG137)+1)</x:f>
      </x:c>
      <x:c r="AL137" s="137" t="str">
        <x:f>IF(AH137="","",COUNTIFS($AH$7:$AH$206,"&gt;0",$AH$7:$AH$206,"&lt;"&amp;AH137)+1)</x:f>
      </x:c>
      <x:c r="AM137" s="137" t="str">
        <x:f>IF(AI137="","",COUNTIFS($AI$7:$AI$206,"&gt;0",$AI$7:$AI$206,"&lt;"&amp;AI137)+1)</x:f>
      </x:c>
      <x:c r="AN137" s="137" t="str">
        <x:f>IF(AJ137="","",COUNTIFS($AJ$7:$AJ$206,"&gt;0",$AJ$7:$AJ$206,"&lt;"&amp;AJ137)+1)</x:f>
      </x:c>
    </x:row>
    <x:row r="138">
      <x:c r="T138" s="137" t="str">
        <x:f>IF($A138="","",TRIM(MID(SUBSTITUTE(SUBSTITUTE(TRIM($I138)," ",""),",",REPT(" ",100)),1,100)))</x:f>
      </x:c>
      <x:c r="U138" s="137" t="str">
        <x:f>IF($A138="","",TRIM(MID(SUBSTITUTE(SUBSTITUTE(TRIM($I138)," ",""),",",REPT(" ",100)),101,100)))</x:f>
      </x:c>
      <x:c r="V138" s="137" t="str">
        <x:f>IF($A138="","",TRIM(MID(SUBSTITUTE(SUBSTITUTE(TRIM($I138)," ",""),",",REPT(" ",100)),201,100)))</x:f>
      </x:c>
      <x:c r="W138" s="137" t="str">
        <x:f>IF($A138="","",TRIM(MID(SUBSTITUTE(SUBSTITUTE(TRIM($I138)," ",""),",",REPT(" ",100)),301,100)))</x:f>
      </x:c>
      <x:c r="X138" s="137" t="str">
        <x:f>IF($A138="","",TRIM(MID(SUBSTITUTE(SUBSTITUTE(TRIM($I138)," ",""),",",REPT(" ",100)),401,100)))</x:f>
      </x:c>
      <x:c r="Y138" s="137" t="str">
        <x:f>IF($A138="","",TRIM(MID(SUBSTITUTE(SUBSTITUTE(TRIM($I138)," ",""),",",REPT(" ",100)),501,100)))</x:f>
      </x:c>
      <x:c r="Z138" s="137" t="str">
        <x:f>IF($A138="","",TRIM(MID(SUBSTITUTE(SUBSTITUTE(TRIM($I138)," ",""),",",REPT(" ",100)),601,100)))</x:f>
      </x:c>
      <x:c r="AA138" s="137" t="str">
        <x:f>IF($A138="","",IF(SUBSTITUTE(TRIM($I138)," ","")="",0,1+LEN(SUBSTITUTE(TRIM($I138)," ",""))-LEN(SUBSTITUTE(SUBSTITUTE(TRIM($I138)," ",""),",",""))))</x:f>
      </x:c>
      <x:c r="AB138" s="137" t="str">
        <x:f>IF($A138="","",COUNTIF(TasksTable[Task ID],T138)+COUNTIF(TasksTable[Task ID],U138)+COUNTIF(TasksTable[Task ID],V138)+COUNTIF(TasksTable[Task ID],W138)+COUNTIF(TasksTable[Task ID],X138)+COUNTIF(TasksTable[Task ID],Y138)+COUNTIF(TasksTable[Task ID],Z138))</x:f>
      </x:c>
      <x:c r="AC138" s="137" t="b">
        <x:f>IF($A138="",FALSE,OR(T138=$A138,U138=$A138,V138=$A138,W138=$A138,X138=$A138,Y138=$A138,Z138=$A138))</x:f>
        <x:v>0</x:v>
      </x:c>
      <x:c r="AD138" s="144" t="n">
        <x:f>IF(AA138=0,0,MAX(IFERROR(INDEX(TasksTable[Start Date],MATCH(T138,TasksTable[Task ID],0)),0),IFERROR(INDEX(TasksTable[Start Date],MATCH(U138,TasksTable[Task ID],0)),0),IFERROR(INDEX(TasksTable[Start Date],MATCH(V138,TasksTable[Task ID],0)),0),IFERROR(INDEX(TasksTable[Start Date],MATCH(W138,TasksTable[Task ID],0)),0),IFERROR(INDEX(TasksTable[Start Date],MATCH(X138,TasksTable[Task ID],0)),0),IFERROR(INDEX(TasksTable[Start Date],MATCH(Y138,TasksTable[Task ID],0)),0),IFERROR(INDEX(TasksTable[Start Date],MATCH(Z138,TasksTable[Task ID],0)),0)))</x:f>
        <x:v>0</x:v>
      </x:c>
      <x:c r="AE138" s="144" t="n">
        <x:f>IF(AA138=0,0,MAX(IFERROR(INDEX(TasksTable[End Date],MATCH(T138,TasksTable[Task ID],0)),0),IFERROR(INDEX(TasksTable[End Date],MATCH(U138,TasksTable[Task ID],0)),0),IFERROR(INDEX(TasksTable[End Date],MATCH(V138,TasksTable[Task ID],0)),0),IFERROR(INDEX(TasksTable[End Date],MATCH(W138,TasksTable[Task ID],0)),0),IFERROR(INDEX(TasksTable[End Date],MATCH(X138,TasksTable[Task ID],0)),0),IFERROR(INDEX(TasksTable[End Date],MATCH(Y138,TasksTable[Task ID],0)),0),IFERROR(INDEX(TasksTable[End Date],MATCH(Z138,TasksTable[Task ID],0)),0)))</x:f>
        <x:v>0</x:v>
      </x:c>
      <x:c r="AF138" s="137" t="b">
        <x:f>IF(OR($A138="",AA138=0),FALSE,SWITCH($J138,"FS",$F138&lt;AE138,"SS",$F138&lt;AD138,"FF",$G138&lt;AE138,"SF",$G138&lt;AD138,TRUE))</x:f>
        <x:v>0</x:v>
      </x:c>
      <x:c r="AG138" s="137" t="str">
        <x:f>IF(AND($A138&lt;&gt;"",$K138="No",$N138&lt;&gt;"Completed",$F138&gt;=TODAY()),$F138+ROW()/100000,"")</x:f>
      </x:c>
      <x:c r="AH138" s="137" t="str">
        <x:f>IF(AND($A138&lt;&gt;"",$K138="Yes",$N138&lt;&gt;"Completed",$F138&gt;=TODAY()),$F138+ROW()/100000,"")</x:f>
      </x:c>
      <x:c r="AI138" s="137" t="str">
        <x:f>IF(AND($A138&lt;&gt;"",$K138="No",$N138&lt;&gt;"Completed",$G138&gt;=TODAY(),$G138&lt;=TODAY()+3),$G138+ROW()/100000,"")</x:f>
      </x:c>
      <x:c r="AJ138" s="137" t="str">
        <x:f>IF(AND($A138&lt;&gt;"",$K138="No",OR($N138="Delayed",$P138="Dependency conflict")),$G138+ROW()/100000,"")</x:f>
      </x:c>
      <x:c r="AK138" s="137" t="str">
        <x:f>IF(AG138="","",COUNTIFS($AG$7:$AG$206,"&gt;0",$AG$7:$AG$206,"&lt;"&amp;AG138)+1)</x:f>
      </x:c>
      <x:c r="AL138" s="137" t="str">
        <x:f>IF(AH138="","",COUNTIFS($AH$7:$AH$206,"&gt;0",$AH$7:$AH$206,"&lt;"&amp;AH138)+1)</x:f>
      </x:c>
      <x:c r="AM138" s="137" t="str">
        <x:f>IF(AI138="","",COUNTIFS($AI$7:$AI$206,"&gt;0",$AI$7:$AI$206,"&lt;"&amp;AI138)+1)</x:f>
      </x:c>
      <x:c r="AN138" s="137" t="str">
        <x:f>IF(AJ138="","",COUNTIFS($AJ$7:$AJ$206,"&gt;0",$AJ$7:$AJ$206,"&lt;"&amp;AJ138)+1)</x:f>
      </x:c>
    </x:row>
    <x:row r="139">
      <x:c r="T139" s="137" t="str">
        <x:f>IF($A139="","",TRIM(MID(SUBSTITUTE(SUBSTITUTE(TRIM($I139)," ",""),",",REPT(" ",100)),1,100)))</x:f>
      </x:c>
      <x:c r="U139" s="137" t="str">
        <x:f>IF($A139="","",TRIM(MID(SUBSTITUTE(SUBSTITUTE(TRIM($I139)," ",""),",",REPT(" ",100)),101,100)))</x:f>
      </x:c>
      <x:c r="V139" s="137" t="str">
        <x:f>IF($A139="","",TRIM(MID(SUBSTITUTE(SUBSTITUTE(TRIM($I139)," ",""),",",REPT(" ",100)),201,100)))</x:f>
      </x:c>
      <x:c r="W139" s="137" t="str">
        <x:f>IF($A139="","",TRIM(MID(SUBSTITUTE(SUBSTITUTE(TRIM($I139)," ",""),",",REPT(" ",100)),301,100)))</x:f>
      </x:c>
      <x:c r="X139" s="137" t="str">
        <x:f>IF($A139="","",TRIM(MID(SUBSTITUTE(SUBSTITUTE(TRIM($I139)," ",""),",",REPT(" ",100)),401,100)))</x:f>
      </x:c>
      <x:c r="Y139" s="137" t="str">
        <x:f>IF($A139="","",TRIM(MID(SUBSTITUTE(SUBSTITUTE(TRIM($I139)," ",""),",",REPT(" ",100)),501,100)))</x:f>
      </x:c>
      <x:c r="Z139" s="137" t="str">
        <x:f>IF($A139="","",TRIM(MID(SUBSTITUTE(SUBSTITUTE(TRIM($I139)," ",""),",",REPT(" ",100)),601,100)))</x:f>
      </x:c>
      <x:c r="AA139" s="137" t="str">
        <x:f>IF($A139="","",IF(SUBSTITUTE(TRIM($I139)," ","")="",0,1+LEN(SUBSTITUTE(TRIM($I139)," ",""))-LEN(SUBSTITUTE(SUBSTITUTE(TRIM($I139)," ",""),",",""))))</x:f>
      </x:c>
      <x:c r="AB139" s="137" t="str">
        <x:f>IF($A139="","",COUNTIF(TasksTable[Task ID],T139)+COUNTIF(TasksTable[Task ID],U139)+COUNTIF(TasksTable[Task ID],V139)+COUNTIF(TasksTable[Task ID],W139)+COUNTIF(TasksTable[Task ID],X139)+COUNTIF(TasksTable[Task ID],Y139)+COUNTIF(TasksTable[Task ID],Z139))</x:f>
      </x:c>
      <x:c r="AC139" s="137" t="b">
        <x:f>IF($A139="",FALSE,OR(T139=$A139,U139=$A139,V139=$A139,W139=$A139,X139=$A139,Y139=$A139,Z139=$A139))</x:f>
        <x:v>0</x:v>
      </x:c>
      <x:c r="AD139" s="144" t="n">
        <x:f>IF(AA139=0,0,MAX(IFERROR(INDEX(TasksTable[Start Date],MATCH(T139,TasksTable[Task ID],0)),0),IFERROR(INDEX(TasksTable[Start Date],MATCH(U139,TasksTable[Task ID],0)),0),IFERROR(INDEX(TasksTable[Start Date],MATCH(V139,TasksTable[Task ID],0)),0),IFERROR(INDEX(TasksTable[Start Date],MATCH(W139,TasksTable[Task ID],0)),0),IFERROR(INDEX(TasksTable[Start Date],MATCH(X139,TasksTable[Task ID],0)),0),IFERROR(INDEX(TasksTable[Start Date],MATCH(Y139,TasksTable[Task ID],0)),0),IFERROR(INDEX(TasksTable[Start Date],MATCH(Z139,TasksTable[Task ID],0)),0)))</x:f>
        <x:v>0</x:v>
      </x:c>
      <x:c r="AE139" s="144" t="n">
        <x:f>IF(AA139=0,0,MAX(IFERROR(INDEX(TasksTable[End Date],MATCH(T139,TasksTable[Task ID],0)),0),IFERROR(INDEX(TasksTable[End Date],MATCH(U139,TasksTable[Task ID],0)),0),IFERROR(INDEX(TasksTable[End Date],MATCH(V139,TasksTable[Task ID],0)),0),IFERROR(INDEX(TasksTable[End Date],MATCH(W139,TasksTable[Task ID],0)),0),IFERROR(INDEX(TasksTable[End Date],MATCH(X139,TasksTable[Task ID],0)),0),IFERROR(INDEX(TasksTable[End Date],MATCH(Y139,TasksTable[Task ID],0)),0),IFERROR(INDEX(TasksTable[End Date],MATCH(Z139,TasksTable[Task ID],0)),0)))</x:f>
        <x:v>0</x:v>
      </x:c>
      <x:c r="AF139" s="137" t="b">
        <x:f>IF(OR($A139="",AA139=0),FALSE,SWITCH($J139,"FS",$F139&lt;AE139,"SS",$F139&lt;AD139,"FF",$G139&lt;AE139,"SF",$G139&lt;AD139,TRUE))</x:f>
        <x:v>0</x:v>
      </x:c>
      <x:c r="AG139" s="137" t="str">
        <x:f>IF(AND($A139&lt;&gt;"",$K139="No",$N139&lt;&gt;"Completed",$F139&gt;=TODAY()),$F139+ROW()/100000,"")</x:f>
      </x:c>
      <x:c r="AH139" s="137" t="str">
        <x:f>IF(AND($A139&lt;&gt;"",$K139="Yes",$N139&lt;&gt;"Completed",$F139&gt;=TODAY()),$F139+ROW()/100000,"")</x:f>
      </x:c>
      <x:c r="AI139" s="137" t="str">
        <x:f>IF(AND($A139&lt;&gt;"",$K139="No",$N139&lt;&gt;"Completed",$G139&gt;=TODAY(),$G139&lt;=TODAY()+3),$G139+ROW()/100000,"")</x:f>
      </x:c>
      <x:c r="AJ139" s="137" t="str">
        <x:f>IF(AND($A139&lt;&gt;"",$K139="No",OR($N139="Delayed",$P139="Dependency conflict")),$G139+ROW()/100000,"")</x:f>
      </x:c>
      <x:c r="AK139" s="137" t="str">
        <x:f>IF(AG139="","",COUNTIFS($AG$7:$AG$206,"&gt;0",$AG$7:$AG$206,"&lt;"&amp;AG139)+1)</x:f>
      </x:c>
      <x:c r="AL139" s="137" t="str">
        <x:f>IF(AH139="","",COUNTIFS($AH$7:$AH$206,"&gt;0",$AH$7:$AH$206,"&lt;"&amp;AH139)+1)</x:f>
      </x:c>
      <x:c r="AM139" s="137" t="str">
        <x:f>IF(AI139="","",COUNTIFS($AI$7:$AI$206,"&gt;0",$AI$7:$AI$206,"&lt;"&amp;AI139)+1)</x:f>
      </x:c>
      <x:c r="AN139" s="137" t="str">
        <x:f>IF(AJ139="","",COUNTIFS($AJ$7:$AJ$206,"&gt;0",$AJ$7:$AJ$206,"&lt;"&amp;AJ139)+1)</x:f>
      </x:c>
    </x:row>
    <x:row r="140">
      <x:c r="T140" s="137" t="str">
        <x:f>IF($A140="","",TRIM(MID(SUBSTITUTE(SUBSTITUTE(TRIM($I140)," ",""),",",REPT(" ",100)),1,100)))</x:f>
      </x:c>
      <x:c r="U140" s="137" t="str">
        <x:f>IF($A140="","",TRIM(MID(SUBSTITUTE(SUBSTITUTE(TRIM($I140)," ",""),",",REPT(" ",100)),101,100)))</x:f>
      </x:c>
      <x:c r="V140" s="137" t="str">
        <x:f>IF($A140="","",TRIM(MID(SUBSTITUTE(SUBSTITUTE(TRIM($I140)," ",""),",",REPT(" ",100)),201,100)))</x:f>
      </x:c>
      <x:c r="W140" s="137" t="str">
        <x:f>IF($A140="","",TRIM(MID(SUBSTITUTE(SUBSTITUTE(TRIM($I140)," ",""),",",REPT(" ",100)),301,100)))</x:f>
      </x:c>
      <x:c r="X140" s="137" t="str">
        <x:f>IF($A140="","",TRIM(MID(SUBSTITUTE(SUBSTITUTE(TRIM($I140)," ",""),",",REPT(" ",100)),401,100)))</x:f>
      </x:c>
      <x:c r="Y140" s="137" t="str">
        <x:f>IF($A140="","",TRIM(MID(SUBSTITUTE(SUBSTITUTE(TRIM($I140)," ",""),",",REPT(" ",100)),501,100)))</x:f>
      </x:c>
      <x:c r="Z140" s="137" t="str">
        <x:f>IF($A140="","",TRIM(MID(SUBSTITUTE(SUBSTITUTE(TRIM($I140)," ",""),",",REPT(" ",100)),601,100)))</x:f>
      </x:c>
      <x:c r="AA140" s="137" t="str">
        <x:f>IF($A140="","",IF(SUBSTITUTE(TRIM($I140)," ","")="",0,1+LEN(SUBSTITUTE(TRIM($I140)," ",""))-LEN(SUBSTITUTE(SUBSTITUTE(TRIM($I140)," ",""),",",""))))</x:f>
      </x:c>
      <x:c r="AB140" s="137" t="str">
        <x:f>IF($A140="","",COUNTIF(TasksTable[Task ID],T140)+COUNTIF(TasksTable[Task ID],U140)+COUNTIF(TasksTable[Task ID],V140)+COUNTIF(TasksTable[Task ID],W140)+COUNTIF(TasksTable[Task ID],X140)+COUNTIF(TasksTable[Task ID],Y140)+COUNTIF(TasksTable[Task ID],Z140))</x:f>
      </x:c>
      <x:c r="AC140" s="137" t="b">
        <x:f>IF($A140="",FALSE,OR(T140=$A140,U140=$A140,V140=$A140,W140=$A140,X140=$A140,Y140=$A140,Z140=$A140))</x:f>
        <x:v>0</x:v>
      </x:c>
      <x:c r="AD140" s="144" t="n">
        <x:f>IF(AA140=0,0,MAX(IFERROR(INDEX(TasksTable[Start Date],MATCH(T140,TasksTable[Task ID],0)),0),IFERROR(INDEX(TasksTable[Start Date],MATCH(U140,TasksTable[Task ID],0)),0),IFERROR(INDEX(TasksTable[Start Date],MATCH(V140,TasksTable[Task ID],0)),0),IFERROR(INDEX(TasksTable[Start Date],MATCH(W140,TasksTable[Task ID],0)),0),IFERROR(INDEX(TasksTable[Start Date],MATCH(X140,TasksTable[Task ID],0)),0),IFERROR(INDEX(TasksTable[Start Date],MATCH(Y140,TasksTable[Task ID],0)),0),IFERROR(INDEX(TasksTable[Start Date],MATCH(Z140,TasksTable[Task ID],0)),0)))</x:f>
        <x:v>0</x:v>
      </x:c>
      <x:c r="AE140" s="144" t="n">
        <x:f>IF(AA140=0,0,MAX(IFERROR(INDEX(TasksTable[End Date],MATCH(T140,TasksTable[Task ID],0)),0),IFERROR(INDEX(TasksTable[End Date],MATCH(U140,TasksTable[Task ID],0)),0),IFERROR(INDEX(TasksTable[End Date],MATCH(V140,TasksTable[Task ID],0)),0),IFERROR(INDEX(TasksTable[End Date],MATCH(W140,TasksTable[Task ID],0)),0),IFERROR(INDEX(TasksTable[End Date],MATCH(X140,TasksTable[Task ID],0)),0),IFERROR(INDEX(TasksTable[End Date],MATCH(Y140,TasksTable[Task ID],0)),0),IFERROR(INDEX(TasksTable[End Date],MATCH(Z140,TasksTable[Task ID],0)),0)))</x:f>
        <x:v>0</x:v>
      </x:c>
      <x:c r="AF140" s="137" t="b">
        <x:f>IF(OR($A140="",AA140=0),FALSE,SWITCH($J140,"FS",$F140&lt;AE140,"SS",$F140&lt;AD140,"FF",$G140&lt;AE140,"SF",$G140&lt;AD140,TRUE))</x:f>
        <x:v>0</x:v>
      </x:c>
      <x:c r="AG140" s="137" t="str">
        <x:f>IF(AND($A140&lt;&gt;"",$K140="No",$N140&lt;&gt;"Completed",$F140&gt;=TODAY()),$F140+ROW()/100000,"")</x:f>
      </x:c>
      <x:c r="AH140" s="137" t="str">
        <x:f>IF(AND($A140&lt;&gt;"",$K140="Yes",$N140&lt;&gt;"Completed",$F140&gt;=TODAY()),$F140+ROW()/100000,"")</x:f>
      </x:c>
      <x:c r="AI140" s="137" t="str">
        <x:f>IF(AND($A140&lt;&gt;"",$K140="No",$N140&lt;&gt;"Completed",$G140&gt;=TODAY(),$G140&lt;=TODAY()+3),$G140+ROW()/100000,"")</x:f>
      </x:c>
      <x:c r="AJ140" s="137" t="str">
        <x:f>IF(AND($A140&lt;&gt;"",$K140="No",OR($N140="Delayed",$P140="Dependency conflict")),$G140+ROW()/100000,"")</x:f>
      </x:c>
      <x:c r="AK140" s="137" t="str">
        <x:f>IF(AG140="","",COUNTIFS($AG$7:$AG$206,"&gt;0",$AG$7:$AG$206,"&lt;"&amp;AG140)+1)</x:f>
      </x:c>
      <x:c r="AL140" s="137" t="str">
        <x:f>IF(AH140="","",COUNTIFS($AH$7:$AH$206,"&gt;0",$AH$7:$AH$206,"&lt;"&amp;AH140)+1)</x:f>
      </x:c>
      <x:c r="AM140" s="137" t="str">
        <x:f>IF(AI140="","",COUNTIFS($AI$7:$AI$206,"&gt;0",$AI$7:$AI$206,"&lt;"&amp;AI140)+1)</x:f>
      </x:c>
      <x:c r="AN140" s="137" t="str">
        <x:f>IF(AJ140="","",COUNTIFS($AJ$7:$AJ$206,"&gt;0",$AJ$7:$AJ$206,"&lt;"&amp;AJ140)+1)</x:f>
      </x:c>
    </x:row>
    <x:row r="141">
      <x:c r="T141" s="137" t="str">
        <x:f>IF($A141="","",TRIM(MID(SUBSTITUTE(SUBSTITUTE(TRIM($I141)," ",""),",",REPT(" ",100)),1,100)))</x:f>
      </x:c>
      <x:c r="U141" s="137" t="str">
        <x:f>IF($A141="","",TRIM(MID(SUBSTITUTE(SUBSTITUTE(TRIM($I141)," ",""),",",REPT(" ",100)),101,100)))</x:f>
      </x:c>
      <x:c r="V141" s="137" t="str">
        <x:f>IF($A141="","",TRIM(MID(SUBSTITUTE(SUBSTITUTE(TRIM($I141)," ",""),",",REPT(" ",100)),201,100)))</x:f>
      </x:c>
      <x:c r="W141" s="137" t="str">
        <x:f>IF($A141="","",TRIM(MID(SUBSTITUTE(SUBSTITUTE(TRIM($I141)," ",""),",",REPT(" ",100)),301,100)))</x:f>
      </x:c>
      <x:c r="X141" s="137" t="str">
        <x:f>IF($A141="","",TRIM(MID(SUBSTITUTE(SUBSTITUTE(TRIM($I141)," ",""),",",REPT(" ",100)),401,100)))</x:f>
      </x:c>
      <x:c r="Y141" s="137" t="str">
        <x:f>IF($A141="","",TRIM(MID(SUBSTITUTE(SUBSTITUTE(TRIM($I141)," ",""),",",REPT(" ",100)),501,100)))</x:f>
      </x:c>
      <x:c r="Z141" s="137" t="str">
        <x:f>IF($A141="","",TRIM(MID(SUBSTITUTE(SUBSTITUTE(TRIM($I141)," ",""),",",REPT(" ",100)),601,100)))</x:f>
      </x:c>
      <x:c r="AA141" s="137" t="str">
        <x:f>IF($A141="","",IF(SUBSTITUTE(TRIM($I141)," ","")="",0,1+LEN(SUBSTITUTE(TRIM($I141)," ",""))-LEN(SUBSTITUTE(SUBSTITUTE(TRIM($I141)," ",""),",",""))))</x:f>
      </x:c>
      <x:c r="AB141" s="137" t="str">
        <x:f>IF($A141="","",COUNTIF(TasksTable[Task ID],T141)+COUNTIF(TasksTable[Task ID],U141)+COUNTIF(TasksTable[Task ID],V141)+COUNTIF(TasksTable[Task ID],W141)+COUNTIF(TasksTable[Task ID],X141)+COUNTIF(TasksTable[Task ID],Y141)+COUNTIF(TasksTable[Task ID],Z141))</x:f>
      </x:c>
      <x:c r="AC141" s="137" t="b">
        <x:f>IF($A141="",FALSE,OR(T141=$A141,U141=$A141,V141=$A141,W141=$A141,X141=$A141,Y141=$A141,Z141=$A141))</x:f>
        <x:v>0</x:v>
      </x:c>
      <x:c r="AD141" s="144" t="n">
        <x:f>IF(AA141=0,0,MAX(IFERROR(INDEX(TasksTable[Start Date],MATCH(T141,TasksTable[Task ID],0)),0),IFERROR(INDEX(TasksTable[Start Date],MATCH(U141,TasksTable[Task ID],0)),0),IFERROR(INDEX(TasksTable[Start Date],MATCH(V141,TasksTable[Task ID],0)),0),IFERROR(INDEX(TasksTable[Start Date],MATCH(W141,TasksTable[Task ID],0)),0),IFERROR(INDEX(TasksTable[Start Date],MATCH(X141,TasksTable[Task ID],0)),0),IFERROR(INDEX(TasksTable[Start Date],MATCH(Y141,TasksTable[Task ID],0)),0),IFERROR(INDEX(TasksTable[Start Date],MATCH(Z141,TasksTable[Task ID],0)),0)))</x:f>
        <x:v>0</x:v>
      </x:c>
      <x:c r="AE141" s="144" t="n">
        <x:f>IF(AA141=0,0,MAX(IFERROR(INDEX(TasksTable[End Date],MATCH(T141,TasksTable[Task ID],0)),0),IFERROR(INDEX(TasksTable[End Date],MATCH(U141,TasksTable[Task ID],0)),0),IFERROR(INDEX(TasksTable[End Date],MATCH(V141,TasksTable[Task ID],0)),0),IFERROR(INDEX(TasksTable[End Date],MATCH(W141,TasksTable[Task ID],0)),0),IFERROR(INDEX(TasksTable[End Date],MATCH(X141,TasksTable[Task ID],0)),0),IFERROR(INDEX(TasksTable[End Date],MATCH(Y141,TasksTable[Task ID],0)),0),IFERROR(INDEX(TasksTable[End Date],MATCH(Z141,TasksTable[Task ID],0)),0)))</x:f>
        <x:v>0</x:v>
      </x:c>
      <x:c r="AF141" s="137" t="b">
        <x:f>IF(OR($A141="",AA141=0),FALSE,SWITCH($J141,"FS",$F141&lt;AE141,"SS",$F141&lt;AD141,"FF",$G141&lt;AE141,"SF",$G141&lt;AD141,TRUE))</x:f>
        <x:v>0</x:v>
      </x:c>
      <x:c r="AG141" s="137" t="str">
        <x:f>IF(AND($A141&lt;&gt;"",$K141="No",$N141&lt;&gt;"Completed",$F141&gt;=TODAY()),$F141+ROW()/100000,"")</x:f>
      </x:c>
      <x:c r="AH141" s="137" t="str">
        <x:f>IF(AND($A141&lt;&gt;"",$K141="Yes",$N141&lt;&gt;"Completed",$F141&gt;=TODAY()),$F141+ROW()/100000,"")</x:f>
      </x:c>
      <x:c r="AI141" s="137" t="str">
        <x:f>IF(AND($A141&lt;&gt;"",$K141="No",$N141&lt;&gt;"Completed",$G141&gt;=TODAY(),$G141&lt;=TODAY()+3),$G141+ROW()/100000,"")</x:f>
      </x:c>
      <x:c r="AJ141" s="137" t="str">
        <x:f>IF(AND($A141&lt;&gt;"",$K141="No",OR($N141="Delayed",$P141="Dependency conflict")),$G141+ROW()/100000,"")</x:f>
      </x:c>
      <x:c r="AK141" s="137" t="str">
        <x:f>IF(AG141="","",COUNTIFS($AG$7:$AG$206,"&gt;0",$AG$7:$AG$206,"&lt;"&amp;AG141)+1)</x:f>
      </x:c>
      <x:c r="AL141" s="137" t="str">
        <x:f>IF(AH141="","",COUNTIFS($AH$7:$AH$206,"&gt;0",$AH$7:$AH$206,"&lt;"&amp;AH141)+1)</x:f>
      </x:c>
      <x:c r="AM141" s="137" t="str">
        <x:f>IF(AI141="","",COUNTIFS($AI$7:$AI$206,"&gt;0",$AI$7:$AI$206,"&lt;"&amp;AI141)+1)</x:f>
      </x:c>
      <x:c r="AN141" s="137" t="str">
        <x:f>IF(AJ141="","",COUNTIFS($AJ$7:$AJ$206,"&gt;0",$AJ$7:$AJ$206,"&lt;"&amp;AJ141)+1)</x:f>
      </x:c>
    </x:row>
    <x:row r="142">
      <x:c r="T142" s="137" t="str">
        <x:f>IF($A142="","",TRIM(MID(SUBSTITUTE(SUBSTITUTE(TRIM($I142)," ",""),",",REPT(" ",100)),1,100)))</x:f>
      </x:c>
      <x:c r="U142" s="137" t="str">
        <x:f>IF($A142="","",TRIM(MID(SUBSTITUTE(SUBSTITUTE(TRIM($I142)," ",""),",",REPT(" ",100)),101,100)))</x:f>
      </x:c>
      <x:c r="V142" s="137" t="str">
        <x:f>IF($A142="","",TRIM(MID(SUBSTITUTE(SUBSTITUTE(TRIM($I142)," ",""),",",REPT(" ",100)),201,100)))</x:f>
      </x:c>
      <x:c r="W142" s="137" t="str">
        <x:f>IF($A142="","",TRIM(MID(SUBSTITUTE(SUBSTITUTE(TRIM($I142)," ",""),",",REPT(" ",100)),301,100)))</x:f>
      </x:c>
      <x:c r="X142" s="137" t="str">
        <x:f>IF($A142="","",TRIM(MID(SUBSTITUTE(SUBSTITUTE(TRIM($I142)," ",""),",",REPT(" ",100)),401,100)))</x:f>
      </x:c>
      <x:c r="Y142" s="137" t="str">
        <x:f>IF($A142="","",TRIM(MID(SUBSTITUTE(SUBSTITUTE(TRIM($I142)," ",""),",",REPT(" ",100)),501,100)))</x:f>
      </x:c>
      <x:c r="Z142" s="137" t="str">
        <x:f>IF($A142="","",TRIM(MID(SUBSTITUTE(SUBSTITUTE(TRIM($I142)," ",""),",",REPT(" ",100)),601,100)))</x:f>
      </x:c>
      <x:c r="AA142" s="137" t="str">
        <x:f>IF($A142="","",IF(SUBSTITUTE(TRIM($I142)," ","")="",0,1+LEN(SUBSTITUTE(TRIM($I142)," ",""))-LEN(SUBSTITUTE(SUBSTITUTE(TRIM($I142)," ",""),",",""))))</x:f>
      </x:c>
      <x:c r="AB142" s="137" t="str">
        <x:f>IF($A142="","",COUNTIF(TasksTable[Task ID],T142)+COUNTIF(TasksTable[Task ID],U142)+COUNTIF(TasksTable[Task ID],V142)+COUNTIF(TasksTable[Task ID],W142)+COUNTIF(TasksTable[Task ID],X142)+COUNTIF(TasksTable[Task ID],Y142)+COUNTIF(TasksTable[Task ID],Z142))</x:f>
      </x:c>
      <x:c r="AC142" s="137" t="b">
        <x:f>IF($A142="",FALSE,OR(T142=$A142,U142=$A142,V142=$A142,W142=$A142,X142=$A142,Y142=$A142,Z142=$A142))</x:f>
        <x:v>0</x:v>
      </x:c>
      <x:c r="AD142" s="144" t="n">
        <x:f>IF(AA142=0,0,MAX(IFERROR(INDEX(TasksTable[Start Date],MATCH(T142,TasksTable[Task ID],0)),0),IFERROR(INDEX(TasksTable[Start Date],MATCH(U142,TasksTable[Task ID],0)),0),IFERROR(INDEX(TasksTable[Start Date],MATCH(V142,TasksTable[Task ID],0)),0),IFERROR(INDEX(TasksTable[Start Date],MATCH(W142,TasksTable[Task ID],0)),0),IFERROR(INDEX(TasksTable[Start Date],MATCH(X142,TasksTable[Task ID],0)),0),IFERROR(INDEX(TasksTable[Start Date],MATCH(Y142,TasksTable[Task ID],0)),0),IFERROR(INDEX(TasksTable[Start Date],MATCH(Z142,TasksTable[Task ID],0)),0)))</x:f>
        <x:v>0</x:v>
      </x:c>
      <x:c r="AE142" s="144" t="n">
        <x:f>IF(AA142=0,0,MAX(IFERROR(INDEX(TasksTable[End Date],MATCH(T142,TasksTable[Task ID],0)),0),IFERROR(INDEX(TasksTable[End Date],MATCH(U142,TasksTable[Task ID],0)),0),IFERROR(INDEX(TasksTable[End Date],MATCH(V142,TasksTable[Task ID],0)),0),IFERROR(INDEX(TasksTable[End Date],MATCH(W142,TasksTable[Task ID],0)),0),IFERROR(INDEX(TasksTable[End Date],MATCH(X142,TasksTable[Task ID],0)),0),IFERROR(INDEX(TasksTable[End Date],MATCH(Y142,TasksTable[Task ID],0)),0),IFERROR(INDEX(TasksTable[End Date],MATCH(Z142,TasksTable[Task ID],0)),0)))</x:f>
        <x:v>0</x:v>
      </x:c>
      <x:c r="AF142" s="137" t="b">
        <x:f>IF(OR($A142="",AA142=0),FALSE,SWITCH($J142,"FS",$F142&lt;AE142,"SS",$F142&lt;AD142,"FF",$G142&lt;AE142,"SF",$G142&lt;AD142,TRUE))</x:f>
        <x:v>0</x:v>
      </x:c>
      <x:c r="AG142" s="137" t="str">
        <x:f>IF(AND($A142&lt;&gt;"",$K142="No",$N142&lt;&gt;"Completed",$F142&gt;=TODAY()),$F142+ROW()/100000,"")</x:f>
      </x:c>
      <x:c r="AH142" s="137" t="str">
        <x:f>IF(AND($A142&lt;&gt;"",$K142="Yes",$N142&lt;&gt;"Completed",$F142&gt;=TODAY()),$F142+ROW()/100000,"")</x:f>
      </x:c>
      <x:c r="AI142" s="137" t="str">
        <x:f>IF(AND($A142&lt;&gt;"",$K142="No",$N142&lt;&gt;"Completed",$G142&gt;=TODAY(),$G142&lt;=TODAY()+3),$G142+ROW()/100000,"")</x:f>
      </x:c>
      <x:c r="AJ142" s="137" t="str">
        <x:f>IF(AND($A142&lt;&gt;"",$K142="No",OR($N142="Delayed",$P142="Dependency conflict")),$G142+ROW()/100000,"")</x:f>
      </x:c>
      <x:c r="AK142" s="137" t="str">
        <x:f>IF(AG142="","",COUNTIFS($AG$7:$AG$206,"&gt;0",$AG$7:$AG$206,"&lt;"&amp;AG142)+1)</x:f>
      </x:c>
      <x:c r="AL142" s="137" t="str">
        <x:f>IF(AH142="","",COUNTIFS($AH$7:$AH$206,"&gt;0",$AH$7:$AH$206,"&lt;"&amp;AH142)+1)</x:f>
      </x:c>
      <x:c r="AM142" s="137" t="str">
        <x:f>IF(AI142="","",COUNTIFS($AI$7:$AI$206,"&gt;0",$AI$7:$AI$206,"&lt;"&amp;AI142)+1)</x:f>
      </x:c>
      <x:c r="AN142" s="137" t="str">
        <x:f>IF(AJ142="","",COUNTIFS($AJ$7:$AJ$206,"&gt;0",$AJ$7:$AJ$206,"&lt;"&amp;AJ142)+1)</x:f>
      </x:c>
    </x:row>
    <x:row r="143">
      <x:c r="T143" s="137" t="str">
        <x:f>IF($A143="","",TRIM(MID(SUBSTITUTE(SUBSTITUTE(TRIM($I143)," ",""),",",REPT(" ",100)),1,100)))</x:f>
      </x:c>
      <x:c r="U143" s="137" t="str">
        <x:f>IF($A143="","",TRIM(MID(SUBSTITUTE(SUBSTITUTE(TRIM($I143)," ",""),",",REPT(" ",100)),101,100)))</x:f>
      </x:c>
      <x:c r="V143" s="137" t="str">
        <x:f>IF($A143="","",TRIM(MID(SUBSTITUTE(SUBSTITUTE(TRIM($I143)," ",""),",",REPT(" ",100)),201,100)))</x:f>
      </x:c>
      <x:c r="W143" s="137" t="str">
        <x:f>IF($A143="","",TRIM(MID(SUBSTITUTE(SUBSTITUTE(TRIM($I143)," ",""),",",REPT(" ",100)),301,100)))</x:f>
      </x:c>
      <x:c r="X143" s="137" t="str">
        <x:f>IF($A143="","",TRIM(MID(SUBSTITUTE(SUBSTITUTE(TRIM($I143)," ",""),",",REPT(" ",100)),401,100)))</x:f>
      </x:c>
      <x:c r="Y143" s="137" t="str">
        <x:f>IF($A143="","",TRIM(MID(SUBSTITUTE(SUBSTITUTE(TRIM($I143)," ",""),",",REPT(" ",100)),501,100)))</x:f>
      </x:c>
      <x:c r="Z143" s="137" t="str">
        <x:f>IF($A143="","",TRIM(MID(SUBSTITUTE(SUBSTITUTE(TRIM($I143)," ",""),",",REPT(" ",100)),601,100)))</x:f>
      </x:c>
      <x:c r="AA143" s="137" t="str">
        <x:f>IF($A143="","",IF(SUBSTITUTE(TRIM($I143)," ","")="",0,1+LEN(SUBSTITUTE(TRIM($I143)," ",""))-LEN(SUBSTITUTE(SUBSTITUTE(TRIM($I143)," ",""),",",""))))</x:f>
      </x:c>
      <x:c r="AB143" s="137" t="str">
        <x:f>IF($A143="","",COUNTIF(TasksTable[Task ID],T143)+COUNTIF(TasksTable[Task ID],U143)+COUNTIF(TasksTable[Task ID],V143)+COUNTIF(TasksTable[Task ID],W143)+COUNTIF(TasksTable[Task ID],X143)+COUNTIF(TasksTable[Task ID],Y143)+COUNTIF(TasksTable[Task ID],Z143))</x:f>
      </x:c>
      <x:c r="AC143" s="137" t="b">
        <x:f>IF($A143="",FALSE,OR(T143=$A143,U143=$A143,V143=$A143,W143=$A143,X143=$A143,Y143=$A143,Z143=$A143))</x:f>
        <x:v>0</x:v>
      </x:c>
      <x:c r="AD143" s="144" t="n">
        <x:f>IF(AA143=0,0,MAX(IFERROR(INDEX(TasksTable[Start Date],MATCH(T143,TasksTable[Task ID],0)),0),IFERROR(INDEX(TasksTable[Start Date],MATCH(U143,TasksTable[Task ID],0)),0),IFERROR(INDEX(TasksTable[Start Date],MATCH(V143,TasksTable[Task ID],0)),0),IFERROR(INDEX(TasksTable[Start Date],MATCH(W143,TasksTable[Task ID],0)),0),IFERROR(INDEX(TasksTable[Start Date],MATCH(X143,TasksTable[Task ID],0)),0),IFERROR(INDEX(TasksTable[Start Date],MATCH(Y143,TasksTable[Task ID],0)),0),IFERROR(INDEX(TasksTable[Start Date],MATCH(Z143,TasksTable[Task ID],0)),0)))</x:f>
        <x:v>0</x:v>
      </x:c>
      <x:c r="AE143" s="144" t="n">
        <x:f>IF(AA143=0,0,MAX(IFERROR(INDEX(TasksTable[End Date],MATCH(T143,TasksTable[Task ID],0)),0),IFERROR(INDEX(TasksTable[End Date],MATCH(U143,TasksTable[Task ID],0)),0),IFERROR(INDEX(TasksTable[End Date],MATCH(V143,TasksTable[Task ID],0)),0),IFERROR(INDEX(TasksTable[End Date],MATCH(W143,TasksTable[Task ID],0)),0),IFERROR(INDEX(TasksTable[End Date],MATCH(X143,TasksTable[Task ID],0)),0),IFERROR(INDEX(TasksTable[End Date],MATCH(Y143,TasksTable[Task ID],0)),0),IFERROR(INDEX(TasksTable[End Date],MATCH(Z143,TasksTable[Task ID],0)),0)))</x:f>
        <x:v>0</x:v>
      </x:c>
      <x:c r="AF143" s="137" t="b">
        <x:f>IF(OR($A143="",AA143=0),FALSE,SWITCH($J143,"FS",$F143&lt;AE143,"SS",$F143&lt;AD143,"FF",$G143&lt;AE143,"SF",$G143&lt;AD143,TRUE))</x:f>
        <x:v>0</x:v>
      </x:c>
      <x:c r="AG143" s="137" t="str">
        <x:f>IF(AND($A143&lt;&gt;"",$K143="No",$N143&lt;&gt;"Completed",$F143&gt;=TODAY()),$F143+ROW()/100000,"")</x:f>
      </x:c>
      <x:c r="AH143" s="137" t="str">
        <x:f>IF(AND($A143&lt;&gt;"",$K143="Yes",$N143&lt;&gt;"Completed",$F143&gt;=TODAY()),$F143+ROW()/100000,"")</x:f>
      </x:c>
      <x:c r="AI143" s="137" t="str">
        <x:f>IF(AND($A143&lt;&gt;"",$K143="No",$N143&lt;&gt;"Completed",$G143&gt;=TODAY(),$G143&lt;=TODAY()+3),$G143+ROW()/100000,"")</x:f>
      </x:c>
      <x:c r="AJ143" s="137" t="str">
        <x:f>IF(AND($A143&lt;&gt;"",$K143="No",OR($N143="Delayed",$P143="Dependency conflict")),$G143+ROW()/100000,"")</x:f>
      </x:c>
      <x:c r="AK143" s="137" t="str">
        <x:f>IF(AG143="","",COUNTIFS($AG$7:$AG$206,"&gt;0",$AG$7:$AG$206,"&lt;"&amp;AG143)+1)</x:f>
      </x:c>
      <x:c r="AL143" s="137" t="str">
        <x:f>IF(AH143="","",COUNTIFS($AH$7:$AH$206,"&gt;0",$AH$7:$AH$206,"&lt;"&amp;AH143)+1)</x:f>
      </x:c>
      <x:c r="AM143" s="137" t="str">
        <x:f>IF(AI143="","",COUNTIFS($AI$7:$AI$206,"&gt;0",$AI$7:$AI$206,"&lt;"&amp;AI143)+1)</x:f>
      </x:c>
      <x:c r="AN143" s="137" t="str">
        <x:f>IF(AJ143="","",COUNTIFS($AJ$7:$AJ$206,"&gt;0",$AJ$7:$AJ$206,"&lt;"&amp;AJ143)+1)</x:f>
      </x:c>
    </x:row>
    <x:row r="144">
      <x:c r="T144" s="137" t="str">
        <x:f>IF($A144="","",TRIM(MID(SUBSTITUTE(SUBSTITUTE(TRIM($I144)," ",""),",",REPT(" ",100)),1,100)))</x:f>
      </x:c>
      <x:c r="U144" s="137" t="str">
        <x:f>IF($A144="","",TRIM(MID(SUBSTITUTE(SUBSTITUTE(TRIM($I144)," ",""),",",REPT(" ",100)),101,100)))</x:f>
      </x:c>
      <x:c r="V144" s="137" t="str">
        <x:f>IF($A144="","",TRIM(MID(SUBSTITUTE(SUBSTITUTE(TRIM($I144)," ",""),",",REPT(" ",100)),201,100)))</x:f>
      </x:c>
      <x:c r="W144" s="137" t="str">
        <x:f>IF($A144="","",TRIM(MID(SUBSTITUTE(SUBSTITUTE(TRIM($I144)," ",""),",",REPT(" ",100)),301,100)))</x:f>
      </x:c>
      <x:c r="X144" s="137" t="str">
        <x:f>IF($A144="","",TRIM(MID(SUBSTITUTE(SUBSTITUTE(TRIM($I144)," ",""),",",REPT(" ",100)),401,100)))</x:f>
      </x:c>
      <x:c r="Y144" s="137" t="str">
        <x:f>IF($A144="","",TRIM(MID(SUBSTITUTE(SUBSTITUTE(TRIM($I144)," ",""),",",REPT(" ",100)),501,100)))</x:f>
      </x:c>
      <x:c r="Z144" s="137" t="str">
        <x:f>IF($A144="","",TRIM(MID(SUBSTITUTE(SUBSTITUTE(TRIM($I144)," ",""),",",REPT(" ",100)),601,100)))</x:f>
      </x:c>
      <x:c r="AA144" s="137" t="str">
        <x:f>IF($A144="","",IF(SUBSTITUTE(TRIM($I144)," ","")="",0,1+LEN(SUBSTITUTE(TRIM($I144)," ",""))-LEN(SUBSTITUTE(SUBSTITUTE(TRIM($I144)," ",""),",",""))))</x:f>
      </x:c>
      <x:c r="AB144" s="137" t="str">
        <x:f>IF($A144="","",COUNTIF(TasksTable[Task ID],T144)+COUNTIF(TasksTable[Task ID],U144)+COUNTIF(TasksTable[Task ID],V144)+COUNTIF(TasksTable[Task ID],W144)+COUNTIF(TasksTable[Task ID],X144)+COUNTIF(TasksTable[Task ID],Y144)+COUNTIF(TasksTable[Task ID],Z144))</x:f>
      </x:c>
      <x:c r="AC144" s="137" t="b">
        <x:f>IF($A144="",FALSE,OR(T144=$A144,U144=$A144,V144=$A144,W144=$A144,X144=$A144,Y144=$A144,Z144=$A144))</x:f>
        <x:v>0</x:v>
      </x:c>
      <x:c r="AD144" s="144" t="n">
        <x:f>IF(AA144=0,0,MAX(IFERROR(INDEX(TasksTable[Start Date],MATCH(T144,TasksTable[Task ID],0)),0),IFERROR(INDEX(TasksTable[Start Date],MATCH(U144,TasksTable[Task ID],0)),0),IFERROR(INDEX(TasksTable[Start Date],MATCH(V144,TasksTable[Task ID],0)),0),IFERROR(INDEX(TasksTable[Start Date],MATCH(W144,TasksTable[Task ID],0)),0),IFERROR(INDEX(TasksTable[Start Date],MATCH(X144,TasksTable[Task ID],0)),0),IFERROR(INDEX(TasksTable[Start Date],MATCH(Y144,TasksTable[Task ID],0)),0),IFERROR(INDEX(TasksTable[Start Date],MATCH(Z144,TasksTable[Task ID],0)),0)))</x:f>
        <x:v>0</x:v>
      </x:c>
      <x:c r="AE144" s="144" t="n">
        <x:f>IF(AA144=0,0,MAX(IFERROR(INDEX(TasksTable[End Date],MATCH(T144,TasksTable[Task ID],0)),0),IFERROR(INDEX(TasksTable[End Date],MATCH(U144,TasksTable[Task ID],0)),0),IFERROR(INDEX(TasksTable[End Date],MATCH(V144,TasksTable[Task ID],0)),0),IFERROR(INDEX(TasksTable[End Date],MATCH(W144,TasksTable[Task ID],0)),0),IFERROR(INDEX(TasksTable[End Date],MATCH(X144,TasksTable[Task ID],0)),0),IFERROR(INDEX(TasksTable[End Date],MATCH(Y144,TasksTable[Task ID],0)),0),IFERROR(INDEX(TasksTable[End Date],MATCH(Z144,TasksTable[Task ID],0)),0)))</x:f>
        <x:v>0</x:v>
      </x:c>
      <x:c r="AF144" s="137" t="b">
        <x:f>IF(OR($A144="",AA144=0),FALSE,SWITCH($J144,"FS",$F144&lt;AE144,"SS",$F144&lt;AD144,"FF",$G144&lt;AE144,"SF",$G144&lt;AD144,TRUE))</x:f>
        <x:v>0</x:v>
      </x:c>
      <x:c r="AG144" s="137" t="str">
        <x:f>IF(AND($A144&lt;&gt;"",$K144="No",$N144&lt;&gt;"Completed",$F144&gt;=TODAY()),$F144+ROW()/100000,"")</x:f>
      </x:c>
      <x:c r="AH144" s="137" t="str">
        <x:f>IF(AND($A144&lt;&gt;"",$K144="Yes",$N144&lt;&gt;"Completed",$F144&gt;=TODAY()),$F144+ROW()/100000,"")</x:f>
      </x:c>
      <x:c r="AI144" s="137" t="str">
        <x:f>IF(AND($A144&lt;&gt;"",$K144="No",$N144&lt;&gt;"Completed",$G144&gt;=TODAY(),$G144&lt;=TODAY()+3),$G144+ROW()/100000,"")</x:f>
      </x:c>
      <x:c r="AJ144" s="137" t="str">
        <x:f>IF(AND($A144&lt;&gt;"",$K144="No",OR($N144="Delayed",$P144="Dependency conflict")),$G144+ROW()/100000,"")</x:f>
      </x:c>
      <x:c r="AK144" s="137" t="str">
        <x:f>IF(AG144="","",COUNTIFS($AG$7:$AG$206,"&gt;0",$AG$7:$AG$206,"&lt;"&amp;AG144)+1)</x:f>
      </x:c>
      <x:c r="AL144" s="137" t="str">
        <x:f>IF(AH144="","",COUNTIFS($AH$7:$AH$206,"&gt;0",$AH$7:$AH$206,"&lt;"&amp;AH144)+1)</x:f>
      </x:c>
      <x:c r="AM144" s="137" t="str">
        <x:f>IF(AI144="","",COUNTIFS($AI$7:$AI$206,"&gt;0",$AI$7:$AI$206,"&lt;"&amp;AI144)+1)</x:f>
      </x:c>
      <x:c r="AN144" s="137" t="str">
        <x:f>IF(AJ144="","",COUNTIFS($AJ$7:$AJ$206,"&gt;0",$AJ$7:$AJ$206,"&lt;"&amp;AJ144)+1)</x:f>
      </x:c>
    </x:row>
    <x:row r="145">
      <x:c r="T145" s="137" t="str">
        <x:f>IF($A145="","",TRIM(MID(SUBSTITUTE(SUBSTITUTE(TRIM($I145)," ",""),",",REPT(" ",100)),1,100)))</x:f>
      </x:c>
      <x:c r="U145" s="137" t="str">
        <x:f>IF($A145="","",TRIM(MID(SUBSTITUTE(SUBSTITUTE(TRIM($I145)," ",""),",",REPT(" ",100)),101,100)))</x:f>
      </x:c>
      <x:c r="V145" s="137" t="str">
        <x:f>IF($A145="","",TRIM(MID(SUBSTITUTE(SUBSTITUTE(TRIM($I145)," ",""),",",REPT(" ",100)),201,100)))</x:f>
      </x:c>
      <x:c r="W145" s="137" t="str">
        <x:f>IF($A145="","",TRIM(MID(SUBSTITUTE(SUBSTITUTE(TRIM($I145)," ",""),",",REPT(" ",100)),301,100)))</x:f>
      </x:c>
      <x:c r="X145" s="137" t="str">
        <x:f>IF($A145="","",TRIM(MID(SUBSTITUTE(SUBSTITUTE(TRIM($I145)," ",""),",",REPT(" ",100)),401,100)))</x:f>
      </x:c>
      <x:c r="Y145" s="137" t="str">
        <x:f>IF($A145="","",TRIM(MID(SUBSTITUTE(SUBSTITUTE(TRIM($I145)," ",""),",",REPT(" ",100)),501,100)))</x:f>
      </x:c>
      <x:c r="Z145" s="137" t="str">
        <x:f>IF($A145="","",TRIM(MID(SUBSTITUTE(SUBSTITUTE(TRIM($I145)," ",""),",",REPT(" ",100)),601,100)))</x:f>
      </x:c>
      <x:c r="AA145" s="137" t="str">
        <x:f>IF($A145="","",IF(SUBSTITUTE(TRIM($I145)," ","")="",0,1+LEN(SUBSTITUTE(TRIM($I145)," ",""))-LEN(SUBSTITUTE(SUBSTITUTE(TRIM($I145)," ",""),",",""))))</x:f>
      </x:c>
      <x:c r="AB145" s="137" t="str">
        <x:f>IF($A145="","",COUNTIF(TasksTable[Task ID],T145)+COUNTIF(TasksTable[Task ID],U145)+COUNTIF(TasksTable[Task ID],V145)+COUNTIF(TasksTable[Task ID],W145)+COUNTIF(TasksTable[Task ID],X145)+COUNTIF(TasksTable[Task ID],Y145)+COUNTIF(TasksTable[Task ID],Z145))</x:f>
      </x:c>
      <x:c r="AC145" s="137" t="b">
        <x:f>IF($A145="",FALSE,OR(T145=$A145,U145=$A145,V145=$A145,W145=$A145,X145=$A145,Y145=$A145,Z145=$A145))</x:f>
        <x:v>0</x:v>
      </x:c>
      <x:c r="AD145" s="144" t="n">
        <x:f>IF(AA145=0,0,MAX(IFERROR(INDEX(TasksTable[Start Date],MATCH(T145,TasksTable[Task ID],0)),0),IFERROR(INDEX(TasksTable[Start Date],MATCH(U145,TasksTable[Task ID],0)),0),IFERROR(INDEX(TasksTable[Start Date],MATCH(V145,TasksTable[Task ID],0)),0),IFERROR(INDEX(TasksTable[Start Date],MATCH(W145,TasksTable[Task ID],0)),0),IFERROR(INDEX(TasksTable[Start Date],MATCH(X145,TasksTable[Task ID],0)),0),IFERROR(INDEX(TasksTable[Start Date],MATCH(Y145,TasksTable[Task ID],0)),0),IFERROR(INDEX(TasksTable[Start Date],MATCH(Z145,TasksTable[Task ID],0)),0)))</x:f>
        <x:v>0</x:v>
      </x:c>
      <x:c r="AE145" s="144" t="n">
        <x:f>IF(AA145=0,0,MAX(IFERROR(INDEX(TasksTable[End Date],MATCH(T145,TasksTable[Task ID],0)),0),IFERROR(INDEX(TasksTable[End Date],MATCH(U145,TasksTable[Task ID],0)),0),IFERROR(INDEX(TasksTable[End Date],MATCH(V145,TasksTable[Task ID],0)),0),IFERROR(INDEX(TasksTable[End Date],MATCH(W145,TasksTable[Task ID],0)),0),IFERROR(INDEX(TasksTable[End Date],MATCH(X145,TasksTable[Task ID],0)),0),IFERROR(INDEX(TasksTable[End Date],MATCH(Y145,TasksTable[Task ID],0)),0),IFERROR(INDEX(TasksTable[End Date],MATCH(Z145,TasksTable[Task ID],0)),0)))</x:f>
        <x:v>0</x:v>
      </x:c>
      <x:c r="AF145" s="137" t="b">
        <x:f>IF(OR($A145="",AA145=0),FALSE,SWITCH($J145,"FS",$F145&lt;AE145,"SS",$F145&lt;AD145,"FF",$G145&lt;AE145,"SF",$G145&lt;AD145,TRUE))</x:f>
        <x:v>0</x:v>
      </x:c>
      <x:c r="AG145" s="137" t="str">
        <x:f>IF(AND($A145&lt;&gt;"",$K145="No",$N145&lt;&gt;"Completed",$F145&gt;=TODAY()),$F145+ROW()/100000,"")</x:f>
      </x:c>
      <x:c r="AH145" s="137" t="str">
        <x:f>IF(AND($A145&lt;&gt;"",$K145="Yes",$N145&lt;&gt;"Completed",$F145&gt;=TODAY()),$F145+ROW()/100000,"")</x:f>
      </x:c>
      <x:c r="AI145" s="137" t="str">
        <x:f>IF(AND($A145&lt;&gt;"",$K145="No",$N145&lt;&gt;"Completed",$G145&gt;=TODAY(),$G145&lt;=TODAY()+3),$G145+ROW()/100000,"")</x:f>
      </x:c>
      <x:c r="AJ145" s="137" t="str">
        <x:f>IF(AND($A145&lt;&gt;"",$K145="No",OR($N145="Delayed",$P145="Dependency conflict")),$G145+ROW()/100000,"")</x:f>
      </x:c>
      <x:c r="AK145" s="137" t="str">
        <x:f>IF(AG145="","",COUNTIFS($AG$7:$AG$206,"&gt;0",$AG$7:$AG$206,"&lt;"&amp;AG145)+1)</x:f>
      </x:c>
      <x:c r="AL145" s="137" t="str">
        <x:f>IF(AH145="","",COUNTIFS($AH$7:$AH$206,"&gt;0",$AH$7:$AH$206,"&lt;"&amp;AH145)+1)</x:f>
      </x:c>
      <x:c r="AM145" s="137" t="str">
        <x:f>IF(AI145="","",COUNTIFS($AI$7:$AI$206,"&gt;0",$AI$7:$AI$206,"&lt;"&amp;AI145)+1)</x:f>
      </x:c>
      <x:c r="AN145" s="137" t="str">
        <x:f>IF(AJ145="","",COUNTIFS($AJ$7:$AJ$206,"&gt;0",$AJ$7:$AJ$206,"&lt;"&amp;AJ145)+1)</x:f>
      </x:c>
    </x:row>
    <x:row r="146">
      <x:c r="T146" s="137" t="str">
        <x:f>IF($A146="","",TRIM(MID(SUBSTITUTE(SUBSTITUTE(TRIM($I146)," ",""),",",REPT(" ",100)),1,100)))</x:f>
      </x:c>
      <x:c r="U146" s="137" t="str">
        <x:f>IF($A146="","",TRIM(MID(SUBSTITUTE(SUBSTITUTE(TRIM($I146)," ",""),",",REPT(" ",100)),101,100)))</x:f>
      </x:c>
      <x:c r="V146" s="137" t="str">
        <x:f>IF($A146="","",TRIM(MID(SUBSTITUTE(SUBSTITUTE(TRIM($I146)," ",""),",",REPT(" ",100)),201,100)))</x:f>
      </x:c>
      <x:c r="W146" s="137" t="str">
        <x:f>IF($A146="","",TRIM(MID(SUBSTITUTE(SUBSTITUTE(TRIM($I146)," ",""),",",REPT(" ",100)),301,100)))</x:f>
      </x:c>
      <x:c r="X146" s="137" t="str">
        <x:f>IF($A146="","",TRIM(MID(SUBSTITUTE(SUBSTITUTE(TRIM($I146)," ",""),",",REPT(" ",100)),401,100)))</x:f>
      </x:c>
      <x:c r="Y146" s="137" t="str">
        <x:f>IF($A146="","",TRIM(MID(SUBSTITUTE(SUBSTITUTE(TRIM($I146)," ",""),",",REPT(" ",100)),501,100)))</x:f>
      </x:c>
      <x:c r="Z146" s="137" t="str">
        <x:f>IF($A146="","",TRIM(MID(SUBSTITUTE(SUBSTITUTE(TRIM($I146)," ",""),",",REPT(" ",100)),601,100)))</x:f>
      </x:c>
      <x:c r="AA146" s="137" t="str">
        <x:f>IF($A146="","",IF(SUBSTITUTE(TRIM($I146)," ","")="",0,1+LEN(SUBSTITUTE(TRIM($I146)," ",""))-LEN(SUBSTITUTE(SUBSTITUTE(TRIM($I146)," ",""),",",""))))</x:f>
      </x:c>
      <x:c r="AB146" s="137" t="str">
        <x:f>IF($A146="","",COUNTIF(TasksTable[Task ID],T146)+COUNTIF(TasksTable[Task ID],U146)+COUNTIF(TasksTable[Task ID],V146)+COUNTIF(TasksTable[Task ID],W146)+COUNTIF(TasksTable[Task ID],X146)+COUNTIF(TasksTable[Task ID],Y146)+COUNTIF(TasksTable[Task ID],Z146))</x:f>
      </x:c>
      <x:c r="AC146" s="137" t="b">
        <x:f>IF($A146="",FALSE,OR(T146=$A146,U146=$A146,V146=$A146,W146=$A146,X146=$A146,Y146=$A146,Z146=$A146))</x:f>
        <x:v>0</x:v>
      </x:c>
      <x:c r="AD146" s="144" t="n">
        <x:f>IF(AA146=0,0,MAX(IFERROR(INDEX(TasksTable[Start Date],MATCH(T146,TasksTable[Task ID],0)),0),IFERROR(INDEX(TasksTable[Start Date],MATCH(U146,TasksTable[Task ID],0)),0),IFERROR(INDEX(TasksTable[Start Date],MATCH(V146,TasksTable[Task ID],0)),0),IFERROR(INDEX(TasksTable[Start Date],MATCH(W146,TasksTable[Task ID],0)),0),IFERROR(INDEX(TasksTable[Start Date],MATCH(X146,TasksTable[Task ID],0)),0),IFERROR(INDEX(TasksTable[Start Date],MATCH(Y146,TasksTable[Task ID],0)),0),IFERROR(INDEX(TasksTable[Start Date],MATCH(Z146,TasksTable[Task ID],0)),0)))</x:f>
        <x:v>0</x:v>
      </x:c>
      <x:c r="AE146" s="144" t="n">
        <x:f>IF(AA146=0,0,MAX(IFERROR(INDEX(TasksTable[End Date],MATCH(T146,TasksTable[Task ID],0)),0),IFERROR(INDEX(TasksTable[End Date],MATCH(U146,TasksTable[Task ID],0)),0),IFERROR(INDEX(TasksTable[End Date],MATCH(V146,TasksTable[Task ID],0)),0),IFERROR(INDEX(TasksTable[End Date],MATCH(W146,TasksTable[Task ID],0)),0),IFERROR(INDEX(TasksTable[End Date],MATCH(X146,TasksTable[Task ID],0)),0),IFERROR(INDEX(TasksTable[End Date],MATCH(Y146,TasksTable[Task ID],0)),0),IFERROR(INDEX(TasksTable[End Date],MATCH(Z146,TasksTable[Task ID],0)),0)))</x:f>
        <x:v>0</x:v>
      </x:c>
      <x:c r="AF146" s="137" t="b">
        <x:f>IF(OR($A146="",AA146=0),FALSE,SWITCH($J146,"FS",$F146&lt;AE146,"SS",$F146&lt;AD146,"FF",$G146&lt;AE146,"SF",$G146&lt;AD146,TRUE))</x:f>
        <x:v>0</x:v>
      </x:c>
      <x:c r="AG146" s="137" t="str">
        <x:f>IF(AND($A146&lt;&gt;"",$K146="No",$N146&lt;&gt;"Completed",$F146&gt;=TODAY()),$F146+ROW()/100000,"")</x:f>
      </x:c>
      <x:c r="AH146" s="137" t="str">
        <x:f>IF(AND($A146&lt;&gt;"",$K146="Yes",$N146&lt;&gt;"Completed",$F146&gt;=TODAY()),$F146+ROW()/100000,"")</x:f>
      </x:c>
      <x:c r="AI146" s="137" t="str">
        <x:f>IF(AND($A146&lt;&gt;"",$K146="No",$N146&lt;&gt;"Completed",$G146&gt;=TODAY(),$G146&lt;=TODAY()+3),$G146+ROW()/100000,"")</x:f>
      </x:c>
      <x:c r="AJ146" s="137" t="str">
        <x:f>IF(AND($A146&lt;&gt;"",$K146="No",OR($N146="Delayed",$P146="Dependency conflict")),$G146+ROW()/100000,"")</x:f>
      </x:c>
      <x:c r="AK146" s="137" t="str">
        <x:f>IF(AG146="","",COUNTIFS($AG$7:$AG$206,"&gt;0",$AG$7:$AG$206,"&lt;"&amp;AG146)+1)</x:f>
      </x:c>
      <x:c r="AL146" s="137" t="str">
        <x:f>IF(AH146="","",COUNTIFS($AH$7:$AH$206,"&gt;0",$AH$7:$AH$206,"&lt;"&amp;AH146)+1)</x:f>
      </x:c>
      <x:c r="AM146" s="137" t="str">
        <x:f>IF(AI146="","",COUNTIFS($AI$7:$AI$206,"&gt;0",$AI$7:$AI$206,"&lt;"&amp;AI146)+1)</x:f>
      </x:c>
      <x:c r="AN146" s="137" t="str">
        <x:f>IF(AJ146="","",COUNTIFS($AJ$7:$AJ$206,"&gt;0",$AJ$7:$AJ$206,"&lt;"&amp;AJ146)+1)</x:f>
      </x:c>
    </x:row>
    <x:row r="147">
      <x:c r="T147" s="137" t="str">
        <x:f>IF($A147="","",TRIM(MID(SUBSTITUTE(SUBSTITUTE(TRIM($I147)," ",""),",",REPT(" ",100)),1,100)))</x:f>
      </x:c>
      <x:c r="U147" s="137" t="str">
        <x:f>IF($A147="","",TRIM(MID(SUBSTITUTE(SUBSTITUTE(TRIM($I147)," ",""),",",REPT(" ",100)),101,100)))</x:f>
      </x:c>
      <x:c r="V147" s="137" t="str">
        <x:f>IF($A147="","",TRIM(MID(SUBSTITUTE(SUBSTITUTE(TRIM($I147)," ",""),",",REPT(" ",100)),201,100)))</x:f>
      </x:c>
      <x:c r="W147" s="137" t="str">
        <x:f>IF($A147="","",TRIM(MID(SUBSTITUTE(SUBSTITUTE(TRIM($I147)," ",""),",",REPT(" ",100)),301,100)))</x:f>
      </x:c>
      <x:c r="X147" s="137" t="str">
        <x:f>IF($A147="","",TRIM(MID(SUBSTITUTE(SUBSTITUTE(TRIM($I147)," ",""),",",REPT(" ",100)),401,100)))</x:f>
      </x:c>
      <x:c r="Y147" s="137" t="str">
        <x:f>IF($A147="","",TRIM(MID(SUBSTITUTE(SUBSTITUTE(TRIM($I147)," ",""),",",REPT(" ",100)),501,100)))</x:f>
      </x:c>
      <x:c r="Z147" s="137" t="str">
        <x:f>IF($A147="","",TRIM(MID(SUBSTITUTE(SUBSTITUTE(TRIM($I147)," ",""),",",REPT(" ",100)),601,100)))</x:f>
      </x:c>
      <x:c r="AA147" s="137" t="str">
        <x:f>IF($A147="","",IF(SUBSTITUTE(TRIM($I147)," ","")="",0,1+LEN(SUBSTITUTE(TRIM($I147)," ",""))-LEN(SUBSTITUTE(SUBSTITUTE(TRIM($I147)," ",""),",",""))))</x:f>
      </x:c>
      <x:c r="AB147" s="137" t="str">
        <x:f>IF($A147="","",COUNTIF(TasksTable[Task ID],T147)+COUNTIF(TasksTable[Task ID],U147)+COUNTIF(TasksTable[Task ID],V147)+COUNTIF(TasksTable[Task ID],W147)+COUNTIF(TasksTable[Task ID],X147)+COUNTIF(TasksTable[Task ID],Y147)+COUNTIF(TasksTable[Task ID],Z147))</x:f>
      </x:c>
      <x:c r="AC147" s="137" t="b">
        <x:f>IF($A147="",FALSE,OR(T147=$A147,U147=$A147,V147=$A147,W147=$A147,X147=$A147,Y147=$A147,Z147=$A147))</x:f>
        <x:v>0</x:v>
      </x:c>
      <x:c r="AD147" s="144" t="n">
        <x:f>IF(AA147=0,0,MAX(IFERROR(INDEX(TasksTable[Start Date],MATCH(T147,TasksTable[Task ID],0)),0),IFERROR(INDEX(TasksTable[Start Date],MATCH(U147,TasksTable[Task ID],0)),0),IFERROR(INDEX(TasksTable[Start Date],MATCH(V147,TasksTable[Task ID],0)),0),IFERROR(INDEX(TasksTable[Start Date],MATCH(W147,TasksTable[Task ID],0)),0),IFERROR(INDEX(TasksTable[Start Date],MATCH(X147,TasksTable[Task ID],0)),0),IFERROR(INDEX(TasksTable[Start Date],MATCH(Y147,TasksTable[Task ID],0)),0),IFERROR(INDEX(TasksTable[Start Date],MATCH(Z147,TasksTable[Task ID],0)),0)))</x:f>
        <x:v>0</x:v>
      </x:c>
      <x:c r="AE147" s="144" t="n">
        <x:f>IF(AA147=0,0,MAX(IFERROR(INDEX(TasksTable[End Date],MATCH(T147,TasksTable[Task ID],0)),0),IFERROR(INDEX(TasksTable[End Date],MATCH(U147,TasksTable[Task ID],0)),0),IFERROR(INDEX(TasksTable[End Date],MATCH(V147,TasksTable[Task ID],0)),0),IFERROR(INDEX(TasksTable[End Date],MATCH(W147,TasksTable[Task ID],0)),0),IFERROR(INDEX(TasksTable[End Date],MATCH(X147,TasksTable[Task ID],0)),0),IFERROR(INDEX(TasksTable[End Date],MATCH(Y147,TasksTable[Task ID],0)),0),IFERROR(INDEX(TasksTable[End Date],MATCH(Z147,TasksTable[Task ID],0)),0)))</x:f>
        <x:v>0</x:v>
      </x:c>
      <x:c r="AF147" s="137" t="b">
        <x:f>IF(OR($A147="",AA147=0),FALSE,SWITCH($J147,"FS",$F147&lt;AE147,"SS",$F147&lt;AD147,"FF",$G147&lt;AE147,"SF",$G147&lt;AD147,TRUE))</x:f>
        <x:v>0</x:v>
      </x:c>
      <x:c r="AG147" s="137" t="str">
        <x:f>IF(AND($A147&lt;&gt;"",$K147="No",$N147&lt;&gt;"Completed",$F147&gt;=TODAY()),$F147+ROW()/100000,"")</x:f>
      </x:c>
      <x:c r="AH147" s="137" t="str">
        <x:f>IF(AND($A147&lt;&gt;"",$K147="Yes",$N147&lt;&gt;"Completed",$F147&gt;=TODAY()),$F147+ROW()/100000,"")</x:f>
      </x:c>
      <x:c r="AI147" s="137" t="str">
        <x:f>IF(AND($A147&lt;&gt;"",$K147="No",$N147&lt;&gt;"Completed",$G147&gt;=TODAY(),$G147&lt;=TODAY()+3),$G147+ROW()/100000,"")</x:f>
      </x:c>
      <x:c r="AJ147" s="137" t="str">
        <x:f>IF(AND($A147&lt;&gt;"",$K147="No",OR($N147="Delayed",$P147="Dependency conflict")),$G147+ROW()/100000,"")</x:f>
      </x:c>
      <x:c r="AK147" s="137" t="str">
        <x:f>IF(AG147="","",COUNTIFS($AG$7:$AG$206,"&gt;0",$AG$7:$AG$206,"&lt;"&amp;AG147)+1)</x:f>
      </x:c>
      <x:c r="AL147" s="137" t="str">
        <x:f>IF(AH147="","",COUNTIFS($AH$7:$AH$206,"&gt;0",$AH$7:$AH$206,"&lt;"&amp;AH147)+1)</x:f>
      </x:c>
      <x:c r="AM147" s="137" t="str">
        <x:f>IF(AI147="","",COUNTIFS($AI$7:$AI$206,"&gt;0",$AI$7:$AI$206,"&lt;"&amp;AI147)+1)</x:f>
      </x:c>
      <x:c r="AN147" s="137" t="str">
        <x:f>IF(AJ147="","",COUNTIFS($AJ$7:$AJ$206,"&gt;0",$AJ$7:$AJ$206,"&lt;"&amp;AJ147)+1)</x:f>
      </x:c>
    </x:row>
    <x:row r="148">
      <x:c r="T148" s="137" t="str">
        <x:f>IF($A148="","",TRIM(MID(SUBSTITUTE(SUBSTITUTE(TRIM($I148)," ",""),",",REPT(" ",100)),1,100)))</x:f>
      </x:c>
      <x:c r="U148" s="137" t="str">
        <x:f>IF($A148="","",TRIM(MID(SUBSTITUTE(SUBSTITUTE(TRIM($I148)," ",""),",",REPT(" ",100)),101,100)))</x:f>
      </x:c>
      <x:c r="V148" s="137" t="str">
        <x:f>IF($A148="","",TRIM(MID(SUBSTITUTE(SUBSTITUTE(TRIM($I148)," ",""),",",REPT(" ",100)),201,100)))</x:f>
      </x:c>
      <x:c r="W148" s="137" t="str">
        <x:f>IF($A148="","",TRIM(MID(SUBSTITUTE(SUBSTITUTE(TRIM($I148)," ",""),",",REPT(" ",100)),301,100)))</x:f>
      </x:c>
      <x:c r="X148" s="137" t="str">
        <x:f>IF($A148="","",TRIM(MID(SUBSTITUTE(SUBSTITUTE(TRIM($I148)," ",""),",",REPT(" ",100)),401,100)))</x:f>
      </x:c>
      <x:c r="Y148" s="137" t="str">
        <x:f>IF($A148="","",TRIM(MID(SUBSTITUTE(SUBSTITUTE(TRIM($I148)," ",""),",",REPT(" ",100)),501,100)))</x:f>
      </x:c>
      <x:c r="Z148" s="137" t="str">
        <x:f>IF($A148="","",TRIM(MID(SUBSTITUTE(SUBSTITUTE(TRIM($I148)," ",""),",",REPT(" ",100)),601,100)))</x:f>
      </x:c>
      <x:c r="AA148" s="137" t="str">
        <x:f>IF($A148="","",IF(SUBSTITUTE(TRIM($I148)," ","")="",0,1+LEN(SUBSTITUTE(TRIM($I148)," ",""))-LEN(SUBSTITUTE(SUBSTITUTE(TRIM($I148)," ",""),",",""))))</x:f>
      </x:c>
      <x:c r="AB148" s="137" t="str">
        <x:f>IF($A148="","",COUNTIF(TasksTable[Task ID],T148)+COUNTIF(TasksTable[Task ID],U148)+COUNTIF(TasksTable[Task ID],V148)+COUNTIF(TasksTable[Task ID],W148)+COUNTIF(TasksTable[Task ID],X148)+COUNTIF(TasksTable[Task ID],Y148)+COUNTIF(TasksTable[Task ID],Z148))</x:f>
      </x:c>
      <x:c r="AC148" s="137" t="b">
        <x:f>IF($A148="",FALSE,OR(T148=$A148,U148=$A148,V148=$A148,W148=$A148,X148=$A148,Y148=$A148,Z148=$A148))</x:f>
        <x:v>0</x:v>
      </x:c>
      <x:c r="AD148" s="144" t="n">
        <x:f>IF(AA148=0,0,MAX(IFERROR(INDEX(TasksTable[Start Date],MATCH(T148,TasksTable[Task ID],0)),0),IFERROR(INDEX(TasksTable[Start Date],MATCH(U148,TasksTable[Task ID],0)),0),IFERROR(INDEX(TasksTable[Start Date],MATCH(V148,TasksTable[Task ID],0)),0),IFERROR(INDEX(TasksTable[Start Date],MATCH(W148,TasksTable[Task ID],0)),0),IFERROR(INDEX(TasksTable[Start Date],MATCH(X148,TasksTable[Task ID],0)),0),IFERROR(INDEX(TasksTable[Start Date],MATCH(Y148,TasksTable[Task ID],0)),0),IFERROR(INDEX(TasksTable[Start Date],MATCH(Z148,TasksTable[Task ID],0)),0)))</x:f>
        <x:v>0</x:v>
      </x:c>
      <x:c r="AE148" s="144" t="n">
        <x:f>IF(AA148=0,0,MAX(IFERROR(INDEX(TasksTable[End Date],MATCH(T148,TasksTable[Task ID],0)),0),IFERROR(INDEX(TasksTable[End Date],MATCH(U148,TasksTable[Task ID],0)),0),IFERROR(INDEX(TasksTable[End Date],MATCH(V148,TasksTable[Task ID],0)),0),IFERROR(INDEX(TasksTable[End Date],MATCH(W148,TasksTable[Task ID],0)),0),IFERROR(INDEX(TasksTable[End Date],MATCH(X148,TasksTable[Task ID],0)),0),IFERROR(INDEX(TasksTable[End Date],MATCH(Y148,TasksTable[Task ID],0)),0),IFERROR(INDEX(TasksTable[End Date],MATCH(Z148,TasksTable[Task ID],0)),0)))</x:f>
        <x:v>0</x:v>
      </x:c>
      <x:c r="AF148" s="137" t="b">
        <x:f>IF(OR($A148="",AA148=0),FALSE,SWITCH($J148,"FS",$F148&lt;AE148,"SS",$F148&lt;AD148,"FF",$G148&lt;AE148,"SF",$G148&lt;AD148,TRUE))</x:f>
        <x:v>0</x:v>
      </x:c>
      <x:c r="AG148" s="137" t="str">
        <x:f>IF(AND($A148&lt;&gt;"",$K148="No",$N148&lt;&gt;"Completed",$F148&gt;=TODAY()),$F148+ROW()/100000,"")</x:f>
      </x:c>
      <x:c r="AH148" s="137" t="str">
        <x:f>IF(AND($A148&lt;&gt;"",$K148="Yes",$N148&lt;&gt;"Completed",$F148&gt;=TODAY()),$F148+ROW()/100000,"")</x:f>
      </x:c>
      <x:c r="AI148" s="137" t="str">
        <x:f>IF(AND($A148&lt;&gt;"",$K148="No",$N148&lt;&gt;"Completed",$G148&gt;=TODAY(),$G148&lt;=TODAY()+3),$G148+ROW()/100000,"")</x:f>
      </x:c>
      <x:c r="AJ148" s="137" t="str">
        <x:f>IF(AND($A148&lt;&gt;"",$K148="No",OR($N148="Delayed",$P148="Dependency conflict")),$G148+ROW()/100000,"")</x:f>
      </x:c>
      <x:c r="AK148" s="137" t="str">
        <x:f>IF(AG148="","",COUNTIFS($AG$7:$AG$206,"&gt;0",$AG$7:$AG$206,"&lt;"&amp;AG148)+1)</x:f>
      </x:c>
      <x:c r="AL148" s="137" t="str">
        <x:f>IF(AH148="","",COUNTIFS($AH$7:$AH$206,"&gt;0",$AH$7:$AH$206,"&lt;"&amp;AH148)+1)</x:f>
      </x:c>
      <x:c r="AM148" s="137" t="str">
        <x:f>IF(AI148="","",COUNTIFS($AI$7:$AI$206,"&gt;0",$AI$7:$AI$206,"&lt;"&amp;AI148)+1)</x:f>
      </x:c>
      <x:c r="AN148" s="137" t="str">
        <x:f>IF(AJ148="","",COUNTIFS($AJ$7:$AJ$206,"&gt;0",$AJ$7:$AJ$206,"&lt;"&amp;AJ148)+1)</x:f>
      </x:c>
    </x:row>
    <x:row r="149">
      <x:c r="T149" s="137" t="str">
        <x:f>IF($A149="","",TRIM(MID(SUBSTITUTE(SUBSTITUTE(TRIM($I149)," ",""),",",REPT(" ",100)),1,100)))</x:f>
      </x:c>
      <x:c r="U149" s="137" t="str">
        <x:f>IF($A149="","",TRIM(MID(SUBSTITUTE(SUBSTITUTE(TRIM($I149)," ",""),",",REPT(" ",100)),101,100)))</x:f>
      </x:c>
      <x:c r="V149" s="137" t="str">
        <x:f>IF($A149="","",TRIM(MID(SUBSTITUTE(SUBSTITUTE(TRIM($I149)," ",""),",",REPT(" ",100)),201,100)))</x:f>
      </x:c>
      <x:c r="W149" s="137" t="str">
        <x:f>IF($A149="","",TRIM(MID(SUBSTITUTE(SUBSTITUTE(TRIM($I149)," ",""),",",REPT(" ",100)),301,100)))</x:f>
      </x:c>
      <x:c r="X149" s="137" t="str">
        <x:f>IF($A149="","",TRIM(MID(SUBSTITUTE(SUBSTITUTE(TRIM($I149)," ",""),",",REPT(" ",100)),401,100)))</x:f>
      </x:c>
      <x:c r="Y149" s="137" t="str">
        <x:f>IF($A149="","",TRIM(MID(SUBSTITUTE(SUBSTITUTE(TRIM($I149)," ",""),",",REPT(" ",100)),501,100)))</x:f>
      </x:c>
      <x:c r="Z149" s="137" t="str">
        <x:f>IF($A149="","",TRIM(MID(SUBSTITUTE(SUBSTITUTE(TRIM($I149)," ",""),",",REPT(" ",100)),601,100)))</x:f>
      </x:c>
      <x:c r="AA149" s="137" t="str">
        <x:f>IF($A149="","",IF(SUBSTITUTE(TRIM($I149)," ","")="",0,1+LEN(SUBSTITUTE(TRIM($I149)," ",""))-LEN(SUBSTITUTE(SUBSTITUTE(TRIM($I149)," ",""),",",""))))</x:f>
      </x:c>
      <x:c r="AB149" s="137" t="str">
        <x:f>IF($A149="","",COUNTIF(TasksTable[Task ID],T149)+COUNTIF(TasksTable[Task ID],U149)+COUNTIF(TasksTable[Task ID],V149)+COUNTIF(TasksTable[Task ID],W149)+COUNTIF(TasksTable[Task ID],X149)+COUNTIF(TasksTable[Task ID],Y149)+COUNTIF(TasksTable[Task ID],Z149))</x:f>
      </x:c>
      <x:c r="AC149" s="137" t="b">
        <x:f>IF($A149="",FALSE,OR(T149=$A149,U149=$A149,V149=$A149,W149=$A149,X149=$A149,Y149=$A149,Z149=$A149))</x:f>
        <x:v>0</x:v>
      </x:c>
      <x:c r="AD149" s="144" t="n">
        <x:f>IF(AA149=0,0,MAX(IFERROR(INDEX(TasksTable[Start Date],MATCH(T149,TasksTable[Task ID],0)),0),IFERROR(INDEX(TasksTable[Start Date],MATCH(U149,TasksTable[Task ID],0)),0),IFERROR(INDEX(TasksTable[Start Date],MATCH(V149,TasksTable[Task ID],0)),0),IFERROR(INDEX(TasksTable[Start Date],MATCH(W149,TasksTable[Task ID],0)),0),IFERROR(INDEX(TasksTable[Start Date],MATCH(X149,TasksTable[Task ID],0)),0),IFERROR(INDEX(TasksTable[Start Date],MATCH(Y149,TasksTable[Task ID],0)),0),IFERROR(INDEX(TasksTable[Start Date],MATCH(Z149,TasksTable[Task ID],0)),0)))</x:f>
        <x:v>0</x:v>
      </x:c>
      <x:c r="AE149" s="144" t="n">
        <x:f>IF(AA149=0,0,MAX(IFERROR(INDEX(TasksTable[End Date],MATCH(T149,TasksTable[Task ID],0)),0),IFERROR(INDEX(TasksTable[End Date],MATCH(U149,TasksTable[Task ID],0)),0),IFERROR(INDEX(TasksTable[End Date],MATCH(V149,TasksTable[Task ID],0)),0),IFERROR(INDEX(TasksTable[End Date],MATCH(W149,TasksTable[Task ID],0)),0),IFERROR(INDEX(TasksTable[End Date],MATCH(X149,TasksTable[Task ID],0)),0),IFERROR(INDEX(TasksTable[End Date],MATCH(Y149,TasksTable[Task ID],0)),0),IFERROR(INDEX(TasksTable[End Date],MATCH(Z149,TasksTable[Task ID],0)),0)))</x:f>
        <x:v>0</x:v>
      </x:c>
      <x:c r="AF149" s="137" t="b">
        <x:f>IF(OR($A149="",AA149=0),FALSE,SWITCH($J149,"FS",$F149&lt;AE149,"SS",$F149&lt;AD149,"FF",$G149&lt;AE149,"SF",$G149&lt;AD149,TRUE))</x:f>
        <x:v>0</x:v>
      </x:c>
      <x:c r="AG149" s="137" t="str">
        <x:f>IF(AND($A149&lt;&gt;"",$K149="No",$N149&lt;&gt;"Completed",$F149&gt;=TODAY()),$F149+ROW()/100000,"")</x:f>
      </x:c>
      <x:c r="AH149" s="137" t="str">
        <x:f>IF(AND($A149&lt;&gt;"",$K149="Yes",$N149&lt;&gt;"Completed",$F149&gt;=TODAY()),$F149+ROW()/100000,"")</x:f>
      </x:c>
      <x:c r="AI149" s="137" t="str">
        <x:f>IF(AND($A149&lt;&gt;"",$K149="No",$N149&lt;&gt;"Completed",$G149&gt;=TODAY(),$G149&lt;=TODAY()+3),$G149+ROW()/100000,"")</x:f>
      </x:c>
      <x:c r="AJ149" s="137" t="str">
        <x:f>IF(AND($A149&lt;&gt;"",$K149="No",OR($N149="Delayed",$P149="Dependency conflict")),$G149+ROW()/100000,"")</x:f>
      </x:c>
      <x:c r="AK149" s="137" t="str">
        <x:f>IF(AG149="","",COUNTIFS($AG$7:$AG$206,"&gt;0",$AG$7:$AG$206,"&lt;"&amp;AG149)+1)</x:f>
      </x:c>
      <x:c r="AL149" s="137" t="str">
        <x:f>IF(AH149="","",COUNTIFS($AH$7:$AH$206,"&gt;0",$AH$7:$AH$206,"&lt;"&amp;AH149)+1)</x:f>
      </x:c>
      <x:c r="AM149" s="137" t="str">
        <x:f>IF(AI149="","",COUNTIFS($AI$7:$AI$206,"&gt;0",$AI$7:$AI$206,"&lt;"&amp;AI149)+1)</x:f>
      </x:c>
      <x:c r="AN149" s="137" t="str">
        <x:f>IF(AJ149="","",COUNTIFS($AJ$7:$AJ$206,"&gt;0",$AJ$7:$AJ$206,"&lt;"&amp;AJ149)+1)</x:f>
      </x:c>
    </x:row>
    <x:row r="150">
      <x:c r="T150" s="137" t="str">
        <x:f>IF($A150="","",TRIM(MID(SUBSTITUTE(SUBSTITUTE(TRIM($I150)," ",""),",",REPT(" ",100)),1,100)))</x:f>
      </x:c>
      <x:c r="U150" s="137" t="str">
        <x:f>IF($A150="","",TRIM(MID(SUBSTITUTE(SUBSTITUTE(TRIM($I150)," ",""),",",REPT(" ",100)),101,100)))</x:f>
      </x:c>
      <x:c r="V150" s="137" t="str">
        <x:f>IF($A150="","",TRIM(MID(SUBSTITUTE(SUBSTITUTE(TRIM($I150)," ",""),",",REPT(" ",100)),201,100)))</x:f>
      </x:c>
      <x:c r="W150" s="137" t="str">
        <x:f>IF($A150="","",TRIM(MID(SUBSTITUTE(SUBSTITUTE(TRIM($I150)," ",""),",",REPT(" ",100)),301,100)))</x:f>
      </x:c>
      <x:c r="X150" s="137" t="str">
        <x:f>IF($A150="","",TRIM(MID(SUBSTITUTE(SUBSTITUTE(TRIM($I150)," ",""),",",REPT(" ",100)),401,100)))</x:f>
      </x:c>
      <x:c r="Y150" s="137" t="str">
        <x:f>IF($A150="","",TRIM(MID(SUBSTITUTE(SUBSTITUTE(TRIM($I150)," ",""),",",REPT(" ",100)),501,100)))</x:f>
      </x:c>
      <x:c r="Z150" s="137" t="str">
        <x:f>IF($A150="","",TRIM(MID(SUBSTITUTE(SUBSTITUTE(TRIM($I150)," ",""),",",REPT(" ",100)),601,100)))</x:f>
      </x:c>
      <x:c r="AA150" s="137" t="str">
        <x:f>IF($A150="","",IF(SUBSTITUTE(TRIM($I150)," ","")="",0,1+LEN(SUBSTITUTE(TRIM($I150)," ",""))-LEN(SUBSTITUTE(SUBSTITUTE(TRIM($I150)," ",""),",",""))))</x:f>
      </x:c>
      <x:c r="AB150" s="137" t="str">
        <x:f>IF($A150="","",COUNTIF(TasksTable[Task ID],T150)+COUNTIF(TasksTable[Task ID],U150)+COUNTIF(TasksTable[Task ID],V150)+COUNTIF(TasksTable[Task ID],W150)+COUNTIF(TasksTable[Task ID],X150)+COUNTIF(TasksTable[Task ID],Y150)+COUNTIF(TasksTable[Task ID],Z150))</x:f>
      </x:c>
      <x:c r="AC150" s="137" t="b">
        <x:f>IF($A150="",FALSE,OR(T150=$A150,U150=$A150,V150=$A150,W150=$A150,X150=$A150,Y150=$A150,Z150=$A150))</x:f>
        <x:v>0</x:v>
      </x:c>
      <x:c r="AD150" s="144" t="n">
        <x:f>IF(AA150=0,0,MAX(IFERROR(INDEX(TasksTable[Start Date],MATCH(T150,TasksTable[Task ID],0)),0),IFERROR(INDEX(TasksTable[Start Date],MATCH(U150,TasksTable[Task ID],0)),0),IFERROR(INDEX(TasksTable[Start Date],MATCH(V150,TasksTable[Task ID],0)),0),IFERROR(INDEX(TasksTable[Start Date],MATCH(W150,TasksTable[Task ID],0)),0),IFERROR(INDEX(TasksTable[Start Date],MATCH(X150,TasksTable[Task ID],0)),0),IFERROR(INDEX(TasksTable[Start Date],MATCH(Y150,TasksTable[Task ID],0)),0),IFERROR(INDEX(TasksTable[Start Date],MATCH(Z150,TasksTable[Task ID],0)),0)))</x:f>
        <x:v>0</x:v>
      </x:c>
      <x:c r="AE150" s="144" t="n">
        <x:f>IF(AA150=0,0,MAX(IFERROR(INDEX(TasksTable[End Date],MATCH(T150,TasksTable[Task ID],0)),0),IFERROR(INDEX(TasksTable[End Date],MATCH(U150,TasksTable[Task ID],0)),0),IFERROR(INDEX(TasksTable[End Date],MATCH(V150,TasksTable[Task ID],0)),0),IFERROR(INDEX(TasksTable[End Date],MATCH(W150,TasksTable[Task ID],0)),0),IFERROR(INDEX(TasksTable[End Date],MATCH(X150,TasksTable[Task ID],0)),0),IFERROR(INDEX(TasksTable[End Date],MATCH(Y150,TasksTable[Task ID],0)),0),IFERROR(INDEX(TasksTable[End Date],MATCH(Z150,TasksTable[Task ID],0)),0)))</x:f>
        <x:v>0</x:v>
      </x:c>
      <x:c r="AF150" s="137" t="b">
        <x:f>IF(OR($A150="",AA150=0),FALSE,SWITCH($J150,"FS",$F150&lt;AE150,"SS",$F150&lt;AD150,"FF",$G150&lt;AE150,"SF",$G150&lt;AD150,TRUE))</x:f>
        <x:v>0</x:v>
      </x:c>
      <x:c r="AG150" s="137" t="str">
        <x:f>IF(AND($A150&lt;&gt;"",$K150="No",$N150&lt;&gt;"Completed",$F150&gt;=TODAY()),$F150+ROW()/100000,"")</x:f>
      </x:c>
      <x:c r="AH150" s="137" t="str">
        <x:f>IF(AND($A150&lt;&gt;"",$K150="Yes",$N150&lt;&gt;"Completed",$F150&gt;=TODAY()),$F150+ROW()/100000,"")</x:f>
      </x:c>
      <x:c r="AI150" s="137" t="str">
        <x:f>IF(AND($A150&lt;&gt;"",$K150="No",$N150&lt;&gt;"Completed",$G150&gt;=TODAY(),$G150&lt;=TODAY()+3),$G150+ROW()/100000,"")</x:f>
      </x:c>
      <x:c r="AJ150" s="137" t="str">
        <x:f>IF(AND($A150&lt;&gt;"",$K150="No",OR($N150="Delayed",$P150="Dependency conflict")),$G150+ROW()/100000,"")</x:f>
      </x:c>
      <x:c r="AK150" s="137" t="str">
        <x:f>IF(AG150="","",COUNTIFS($AG$7:$AG$206,"&gt;0",$AG$7:$AG$206,"&lt;"&amp;AG150)+1)</x:f>
      </x:c>
      <x:c r="AL150" s="137" t="str">
        <x:f>IF(AH150="","",COUNTIFS($AH$7:$AH$206,"&gt;0",$AH$7:$AH$206,"&lt;"&amp;AH150)+1)</x:f>
      </x:c>
      <x:c r="AM150" s="137" t="str">
        <x:f>IF(AI150="","",COUNTIFS($AI$7:$AI$206,"&gt;0",$AI$7:$AI$206,"&lt;"&amp;AI150)+1)</x:f>
      </x:c>
      <x:c r="AN150" s="137" t="str">
        <x:f>IF(AJ150="","",COUNTIFS($AJ$7:$AJ$206,"&gt;0",$AJ$7:$AJ$206,"&lt;"&amp;AJ150)+1)</x:f>
      </x:c>
    </x:row>
    <x:row r="151">
      <x:c r="T151" s="137" t="str">
        <x:f>IF($A151="","",TRIM(MID(SUBSTITUTE(SUBSTITUTE(TRIM($I151)," ",""),",",REPT(" ",100)),1,100)))</x:f>
      </x:c>
      <x:c r="U151" s="137" t="str">
        <x:f>IF($A151="","",TRIM(MID(SUBSTITUTE(SUBSTITUTE(TRIM($I151)," ",""),",",REPT(" ",100)),101,100)))</x:f>
      </x:c>
      <x:c r="V151" s="137" t="str">
        <x:f>IF($A151="","",TRIM(MID(SUBSTITUTE(SUBSTITUTE(TRIM($I151)," ",""),",",REPT(" ",100)),201,100)))</x:f>
      </x:c>
      <x:c r="W151" s="137" t="str">
        <x:f>IF($A151="","",TRIM(MID(SUBSTITUTE(SUBSTITUTE(TRIM($I151)," ",""),",",REPT(" ",100)),301,100)))</x:f>
      </x:c>
      <x:c r="X151" s="137" t="str">
        <x:f>IF($A151="","",TRIM(MID(SUBSTITUTE(SUBSTITUTE(TRIM($I151)," ",""),",",REPT(" ",100)),401,100)))</x:f>
      </x:c>
      <x:c r="Y151" s="137" t="str">
        <x:f>IF($A151="","",TRIM(MID(SUBSTITUTE(SUBSTITUTE(TRIM($I151)," ",""),",",REPT(" ",100)),501,100)))</x:f>
      </x:c>
      <x:c r="Z151" s="137" t="str">
        <x:f>IF($A151="","",TRIM(MID(SUBSTITUTE(SUBSTITUTE(TRIM($I151)," ",""),",",REPT(" ",100)),601,100)))</x:f>
      </x:c>
      <x:c r="AA151" s="137" t="str">
        <x:f>IF($A151="","",IF(SUBSTITUTE(TRIM($I151)," ","")="",0,1+LEN(SUBSTITUTE(TRIM($I151)," ",""))-LEN(SUBSTITUTE(SUBSTITUTE(TRIM($I151)," ",""),",",""))))</x:f>
      </x:c>
      <x:c r="AB151" s="137" t="str">
        <x:f>IF($A151="","",COUNTIF(TasksTable[Task ID],T151)+COUNTIF(TasksTable[Task ID],U151)+COUNTIF(TasksTable[Task ID],V151)+COUNTIF(TasksTable[Task ID],W151)+COUNTIF(TasksTable[Task ID],X151)+COUNTIF(TasksTable[Task ID],Y151)+COUNTIF(TasksTable[Task ID],Z151))</x:f>
      </x:c>
      <x:c r="AC151" s="137" t="b">
        <x:f>IF($A151="",FALSE,OR(T151=$A151,U151=$A151,V151=$A151,W151=$A151,X151=$A151,Y151=$A151,Z151=$A151))</x:f>
        <x:v>0</x:v>
      </x:c>
      <x:c r="AD151" s="144" t="n">
        <x:f>IF(AA151=0,0,MAX(IFERROR(INDEX(TasksTable[Start Date],MATCH(T151,TasksTable[Task ID],0)),0),IFERROR(INDEX(TasksTable[Start Date],MATCH(U151,TasksTable[Task ID],0)),0),IFERROR(INDEX(TasksTable[Start Date],MATCH(V151,TasksTable[Task ID],0)),0),IFERROR(INDEX(TasksTable[Start Date],MATCH(W151,TasksTable[Task ID],0)),0),IFERROR(INDEX(TasksTable[Start Date],MATCH(X151,TasksTable[Task ID],0)),0),IFERROR(INDEX(TasksTable[Start Date],MATCH(Y151,TasksTable[Task ID],0)),0),IFERROR(INDEX(TasksTable[Start Date],MATCH(Z151,TasksTable[Task ID],0)),0)))</x:f>
        <x:v>0</x:v>
      </x:c>
      <x:c r="AE151" s="144" t="n">
        <x:f>IF(AA151=0,0,MAX(IFERROR(INDEX(TasksTable[End Date],MATCH(T151,TasksTable[Task ID],0)),0),IFERROR(INDEX(TasksTable[End Date],MATCH(U151,TasksTable[Task ID],0)),0),IFERROR(INDEX(TasksTable[End Date],MATCH(V151,TasksTable[Task ID],0)),0),IFERROR(INDEX(TasksTable[End Date],MATCH(W151,TasksTable[Task ID],0)),0),IFERROR(INDEX(TasksTable[End Date],MATCH(X151,TasksTable[Task ID],0)),0),IFERROR(INDEX(TasksTable[End Date],MATCH(Y151,TasksTable[Task ID],0)),0),IFERROR(INDEX(TasksTable[End Date],MATCH(Z151,TasksTable[Task ID],0)),0)))</x:f>
        <x:v>0</x:v>
      </x:c>
      <x:c r="AF151" s="137" t="b">
        <x:f>IF(OR($A151="",AA151=0),FALSE,SWITCH($J151,"FS",$F151&lt;AE151,"SS",$F151&lt;AD151,"FF",$G151&lt;AE151,"SF",$G151&lt;AD151,TRUE))</x:f>
        <x:v>0</x:v>
      </x:c>
      <x:c r="AG151" s="137" t="str">
        <x:f>IF(AND($A151&lt;&gt;"",$K151="No",$N151&lt;&gt;"Completed",$F151&gt;=TODAY()),$F151+ROW()/100000,"")</x:f>
      </x:c>
      <x:c r="AH151" s="137" t="str">
        <x:f>IF(AND($A151&lt;&gt;"",$K151="Yes",$N151&lt;&gt;"Completed",$F151&gt;=TODAY()),$F151+ROW()/100000,"")</x:f>
      </x:c>
      <x:c r="AI151" s="137" t="str">
        <x:f>IF(AND($A151&lt;&gt;"",$K151="No",$N151&lt;&gt;"Completed",$G151&gt;=TODAY(),$G151&lt;=TODAY()+3),$G151+ROW()/100000,"")</x:f>
      </x:c>
      <x:c r="AJ151" s="137" t="str">
        <x:f>IF(AND($A151&lt;&gt;"",$K151="No",OR($N151="Delayed",$P151="Dependency conflict")),$G151+ROW()/100000,"")</x:f>
      </x:c>
      <x:c r="AK151" s="137" t="str">
        <x:f>IF(AG151="","",COUNTIFS($AG$7:$AG$206,"&gt;0",$AG$7:$AG$206,"&lt;"&amp;AG151)+1)</x:f>
      </x:c>
      <x:c r="AL151" s="137" t="str">
        <x:f>IF(AH151="","",COUNTIFS($AH$7:$AH$206,"&gt;0",$AH$7:$AH$206,"&lt;"&amp;AH151)+1)</x:f>
      </x:c>
      <x:c r="AM151" s="137" t="str">
        <x:f>IF(AI151="","",COUNTIFS($AI$7:$AI$206,"&gt;0",$AI$7:$AI$206,"&lt;"&amp;AI151)+1)</x:f>
      </x:c>
      <x:c r="AN151" s="137" t="str">
        <x:f>IF(AJ151="","",COUNTIFS($AJ$7:$AJ$206,"&gt;0",$AJ$7:$AJ$206,"&lt;"&amp;AJ151)+1)</x:f>
      </x:c>
    </x:row>
    <x:row r="152">
      <x:c r="T152" s="137" t="str">
        <x:f>IF($A152="","",TRIM(MID(SUBSTITUTE(SUBSTITUTE(TRIM($I152)," ",""),",",REPT(" ",100)),1,100)))</x:f>
      </x:c>
      <x:c r="U152" s="137" t="str">
        <x:f>IF($A152="","",TRIM(MID(SUBSTITUTE(SUBSTITUTE(TRIM($I152)," ",""),",",REPT(" ",100)),101,100)))</x:f>
      </x:c>
      <x:c r="V152" s="137" t="str">
        <x:f>IF($A152="","",TRIM(MID(SUBSTITUTE(SUBSTITUTE(TRIM($I152)," ",""),",",REPT(" ",100)),201,100)))</x:f>
      </x:c>
      <x:c r="W152" s="137" t="str">
        <x:f>IF($A152="","",TRIM(MID(SUBSTITUTE(SUBSTITUTE(TRIM($I152)," ",""),",",REPT(" ",100)),301,100)))</x:f>
      </x:c>
      <x:c r="X152" s="137" t="str">
        <x:f>IF($A152="","",TRIM(MID(SUBSTITUTE(SUBSTITUTE(TRIM($I152)," ",""),",",REPT(" ",100)),401,100)))</x:f>
      </x:c>
      <x:c r="Y152" s="137" t="str">
        <x:f>IF($A152="","",TRIM(MID(SUBSTITUTE(SUBSTITUTE(TRIM($I152)," ",""),",",REPT(" ",100)),501,100)))</x:f>
      </x:c>
      <x:c r="Z152" s="137" t="str">
        <x:f>IF($A152="","",TRIM(MID(SUBSTITUTE(SUBSTITUTE(TRIM($I152)," ",""),",",REPT(" ",100)),601,100)))</x:f>
      </x:c>
      <x:c r="AA152" s="137" t="str">
        <x:f>IF($A152="","",IF(SUBSTITUTE(TRIM($I152)," ","")="",0,1+LEN(SUBSTITUTE(TRIM($I152)," ",""))-LEN(SUBSTITUTE(SUBSTITUTE(TRIM($I152)," ",""),",",""))))</x:f>
      </x:c>
      <x:c r="AB152" s="137" t="str">
        <x:f>IF($A152="","",COUNTIF(TasksTable[Task ID],T152)+COUNTIF(TasksTable[Task ID],U152)+COUNTIF(TasksTable[Task ID],V152)+COUNTIF(TasksTable[Task ID],W152)+COUNTIF(TasksTable[Task ID],X152)+COUNTIF(TasksTable[Task ID],Y152)+COUNTIF(TasksTable[Task ID],Z152))</x:f>
      </x:c>
      <x:c r="AC152" s="137" t="b">
        <x:f>IF($A152="",FALSE,OR(T152=$A152,U152=$A152,V152=$A152,W152=$A152,X152=$A152,Y152=$A152,Z152=$A152))</x:f>
        <x:v>0</x:v>
      </x:c>
      <x:c r="AD152" s="144" t="n">
        <x:f>IF(AA152=0,0,MAX(IFERROR(INDEX(TasksTable[Start Date],MATCH(T152,TasksTable[Task ID],0)),0),IFERROR(INDEX(TasksTable[Start Date],MATCH(U152,TasksTable[Task ID],0)),0),IFERROR(INDEX(TasksTable[Start Date],MATCH(V152,TasksTable[Task ID],0)),0),IFERROR(INDEX(TasksTable[Start Date],MATCH(W152,TasksTable[Task ID],0)),0),IFERROR(INDEX(TasksTable[Start Date],MATCH(X152,TasksTable[Task ID],0)),0),IFERROR(INDEX(TasksTable[Start Date],MATCH(Y152,TasksTable[Task ID],0)),0),IFERROR(INDEX(TasksTable[Start Date],MATCH(Z152,TasksTable[Task ID],0)),0)))</x:f>
        <x:v>0</x:v>
      </x:c>
      <x:c r="AE152" s="144" t="n">
        <x:f>IF(AA152=0,0,MAX(IFERROR(INDEX(TasksTable[End Date],MATCH(T152,TasksTable[Task ID],0)),0),IFERROR(INDEX(TasksTable[End Date],MATCH(U152,TasksTable[Task ID],0)),0),IFERROR(INDEX(TasksTable[End Date],MATCH(V152,TasksTable[Task ID],0)),0),IFERROR(INDEX(TasksTable[End Date],MATCH(W152,TasksTable[Task ID],0)),0),IFERROR(INDEX(TasksTable[End Date],MATCH(X152,TasksTable[Task ID],0)),0),IFERROR(INDEX(TasksTable[End Date],MATCH(Y152,TasksTable[Task ID],0)),0),IFERROR(INDEX(TasksTable[End Date],MATCH(Z152,TasksTable[Task ID],0)),0)))</x:f>
        <x:v>0</x:v>
      </x:c>
      <x:c r="AF152" s="137" t="b">
        <x:f>IF(OR($A152="",AA152=0),FALSE,SWITCH($J152,"FS",$F152&lt;AE152,"SS",$F152&lt;AD152,"FF",$G152&lt;AE152,"SF",$G152&lt;AD152,TRUE))</x:f>
        <x:v>0</x:v>
      </x:c>
      <x:c r="AG152" s="137" t="str">
        <x:f>IF(AND($A152&lt;&gt;"",$K152="No",$N152&lt;&gt;"Completed",$F152&gt;=TODAY()),$F152+ROW()/100000,"")</x:f>
      </x:c>
      <x:c r="AH152" s="137" t="str">
        <x:f>IF(AND($A152&lt;&gt;"",$K152="Yes",$N152&lt;&gt;"Completed",$F152&gt;=TODAY()),$F152+ROW()/100000,"")</x:f>
      </x:c>
      <x:c r="AI152" s="137" t="str">
        <x:f>IF(AND($A152&lt;&gt;"",$K152="No",$N152&lt;&gt;"Completed",$G152&gt;=TODAY(),$G152&lt;=TODAY()+3),$G152+ROW()/100000,"")</x:f>
      </x:c>
      <x:c r="AJ152" s="137" t="str">
        <x:f>IF(AND($A152&lt;&gt;"",$K152="No",OR($N152="Delayed",$P152="Dependency conflict")),$G152+ROW()/100000,"")</x:f>
      </x:c>
      <x:c r="AK152" s="137" t="str">
        <x:f>IF(AG152="","",COUNTIFS($AG$7:$AG$206,"&gt;0",$AG$7:$AG$206,"&lt;"&amp;AG152)+1)</x:f>
      </x:c>
      <x:c r="AL152" s="137" t="str">
        <x:f>IF(AH152="","",COUNTIFS($AH$7:$AH$206,"&gt;0",$AH$7:$AH$206,"&lt;"&amp;AH152)+1)</x:f>
      </x:c>
      <x:c r="AM152" s="137" t="str">
        <x:f>IF(AI152="","",COUNTIFS($AI$7:$AI$206,"&gt;0",$AI$7:$AI$206,"&lt;"&amp;AI152)+1)</x:f>
      </x:c>
      <x:c r="AN152" s="137" t="str">
        <x:f>IF(AJ152="","",COUNTIFS($AJ$7:$AJ$206,"&gt;0",$AJ$7:$AJ$206,"&lt;"&amp;AJ152)+1)</x:f>
      </x:c>
    </x:row>
    <x:row r="153">
      <x:c r="T153" s="137" t="str">
        <x:f>IF($A153="","",TRIM(MID(SUBSTITUTE(SUBSTITUTE(TRIM($I153)," ",""),",",REPT(" ",100)),1,100)))</x:f>
      </x:c>
      <x:c r="U153" s="137" t="str">
        <x:f>IF($A153="","",TRIM(MID(SUBSTITUTE(SUBSTITUTE(TRIM($I153)," ",""),",",REPT(" ",100)),101,100)))</x:f>
      </x:c>
      <x:c r="V153" s="137" t="str">
        <x:f>IF($A153="","",TRIM(MID(SUBSTITUTE(SUBSTITUTE(TRIM($I153)," ",""),",",REPT(" ",100)),201,100)))</x:f>
      </x:c>
      <x:c r="W153" s="137" t="str">
        <x:f>IF($A153="","",TRIM(MID(SUBSTITUTE(SUBSTITUTE(TRIM($I153)," ",""),",",REPT(" ",100)),301,100)))</x:f>
      </x:c>
      <x:c r="X153" s="137" t="str">
        <x:f>IF($A153="","",TRIM(MID(SUBSTITUTE(SUBSTITUTE(TRIM($I153)," ",""),",",REPT(" ",100)),401,100)))</x:f>
      </x:c>
      <x:c r="Y153" s="137" t="str">
        <x:f>IF($A153="","",TRIM(MID(SUBSTITUTE(SUBSTITUTE(TRIM($I153)," ",""),",",REPT(" ",100)),501,100)))</x:f>
      </x:c>
      <x:c r="Z153" s="137" t="str">
        <x:f>IF($A153="","",TRIM(MID(SUBSTITUTE(SUBSTITUTE(TRIM($I153)," ",""),",",REPT(" ",100)),601,100)))</x:f>
      </x:c>
      <x:c r="AA153" s="137" t="str">
        <x:f>IF($A153="","",IF(SUBSTITUTE(TRIM($I153)," ","")="",0,1+LEN(SUBSTITUTE(TRIM($I153)," ",""))-LEN(SUBSTITUTE(SUBSTITUTE(TRIM($I153)," ",""),",",""))))</x:f>
      </x:c>
      <x:c r="AB153" s="137" t="str">
        <x:f>IF($A153="","",COUNTIF(TasksTable[Task ID],T153)+COUNTIF(TasksTable[Task ID],U153)+COUNTIF(TasksTable[Task ID],V153)+COUNTIF(TasksTable[Task ID],W153)+COUNTIF(TasksTable[Task ID],X153)+COUNTIF(TasksTable[Task ID],Y153)+COUNTIF(TasksTable[Task ID],Z153))</x:f>
      </x:c>
      <x:c r="AC153" s="137" t="b">
        <x:f>IF($A153="",FALSE,OR(T153=$A153,U153=$A153,V153=$A153,W153=$A153,X153=$A153,Y153=$A153,Z153=$A153))</x:f>
        <x:v>0</x:v>
      </x:c>
      <x:c r="AD153" s="144" t="n">
        <x:f>IF(AA153=0,0,MAX(IFERROR(INDEX(TasksTable[Start Date],MATCH(T153,TasksTable[Task ID],0)),0),IFERROR(INDEX(TasksTable[Start Date],MATCH(U153,TasksTable[Task ID],0)),0),IFERROR(INDEX(TasksTable[Start Date],MATCH(V153,TasksTable[Task ID],0)),0),IFERROR(INDEX(TasksTable[Start Date],MATCH(W153,TasksTable[Task ID],0)),0),IFERROR(INDEX(TasksTable[Start Date],MATCH(X153,TasksTable[Task ID],0)),0),IFERROR(INDEX(TasksTable[Start Date],MATCH(Y153,TasksTable[Task ID],0)),0),IFERROR(INDEX(TasksTable[Start Date],MATCH(Z153,TasksTable[Task ID],0)),0)))</x:f>
        <x:v>0</x:v>
      </x:c>
      <x:c r="AE153" s="144" t="n">
        <x:f>IF(AA153=0,0,MAX(IFERROR(INDEX(TasksTable[End Date],MATCH(T153,TasksTable[Task ID],0)),0),IFERROR(INDEX(TasksTable[End Date],MATCH(U153,TasksTable[Task ID],0)),0),IFERROR(INDEX(TasksTable[End Date],MATCH(V153,TasksTable[Task ID],0)),0),IFERROR(INDEX(TasksTable[End Date],MATCH(W153,TasksTable[Task ID],0)),0),IFERROR(INDEX(TasksTable[End Date],MATCH(X153,TasksTable[Task ID],0)),0),IFERROR(INDEX(TasksTable[End Date],MATCH(Y153,TasksTable[Task ID],0)),0),IFERROR(INDEX(TasksTable[End Date],MATCH(Z153,TasksTable[Task ID],0)),0)))</x:f>
        <x:v>0</x:v>
      </x:c>
      <x:c r="AF153" s="137" t="b">
        <x:f>IF(OR($A153="",AA153=0),FALSE,SWITCH($J153,"FS",$F153&lt;AE153,"SS",$F153&lt;AD153,"FF",$G153&lt;AE153,"SF",$G153&lt;AD153,TRUE))</x:f>
        <x:v>0</x:v>
      </x:c>
      <x:c r="AG153" s="137" t="str">
        <x:f>IF(AND($A153&lt;&gt;"",$K153="No",$N153&lt;&gt;"Completed",$F153&gt;=TODAY()),$F153+ROW()/100000,"")</x:f>
      </x:c>
      <x:c r="AH153" s="137" t="str">
        <x:f>IF(AND($A153&lt;&gt;"",$K153="Yes",$N153&lt;&gt;"Completed",$F153&gt;=TODAY()),$F153+ROW()/100000,"")</x:f>
      </x:c>
      <x:c r="AI153" s="137" t="str">
        <x:f>IF(AND($A153&lt;&gt;"",$K153="No",$N153&lt;&gt;"Completed",$G153&gt;=TODAY(),$G153&lt;=TODAY()+3),$G153+ROW()/100000,"")</x:f>
      </x:c>
      <x:c r="AJ153" s="137" t="str">
        <x:f>IF(AND($A153&lt;&gt;"",$K153="No",OR($N153="Delayed",$P153="Dependency conflict")),$G153+ROW()/100000,"")</x:f>
      </x:c>
      <x:c r="AK153" s="137" t="str">
        <x:f>IF(AG153="","",COUNTIFS($AG$7:$AG$206,"&gt;0",$AG$7:$AG$206,"&lt;"&amp;AG153)+1)</x:f>
      </x:c>
      <x:c r="AL153" s="137" t="str">
        <x:f>IF(AH153="","",COUNTIFS($AH$7:$AH$206,"&gt;0",$AH$7:$AH$206,"&lt;"&amp;AH153)+1)</x:f>
      </x:c>
      <x:c r="AM153" s="137" t="str">
        <x:f>IF(AI153="","",COUNTIFS($AI$7:$AI$206,"&gt;0",$AI$7:$AI$206,"&lt;"&amp;AI153)+1)</x:f>
      </x:c>
      <x:c r="AN153" s="137" t="str">
        <x:f>IF(AJ153="","",COUNTIFS($AJ$7:$AJ$206,"&gt;0",$AJ$7:$AJ$206,"&lt;"&amp;AJ153)+1)</x:f>
      </x:c>
    </x:row>
    <x:row r="154">
      <x:c r="T154" s="137" t="str">
        <x:f>IF($A154="","",TRIM(MID(SUBSTITUTE(SUBSTITUTE(TRIM($I154)," ",""),",",REPT(" ",100)),1,100)))</x:f>
      </x:c>
      <x:c r="U154" s="137" t="str">
        <x:f>IF($A154="","",TRIM(MID(SUBSTITUTE(SUBSTITUTE(TRIM($I154)," ",""),",",REPT(" ",100)),101,100)))</x:f>
      </x:c>
      <x:c r="V154" s="137" t="str">
        <x:f>IF($A154="","",TRIM(MID(SUBSTITUTE(SUBSTITUTE(TRIM($I154)," ",""),",",REPT(" ",100)),201,100)))</x:f>
      </x:c>
      <x:c r="W154" s="137" t="str">
        <x:f>IF($A154="","",TRIM(MID(SUBSTITUTE(SUBSTITUTE(TRIM($I154)," ",""),",",REPT(" ",100)),301,100)))</x:f>
      </x:c>
      <x:c r="X154" s="137" t="str">
        <x:f>IF($A154="","",TRIM(MID(SUBSTITUTE(SUBSTITUTE(TRIM($I154)," ",""),",",REPT(" ",100)),401,100)))</x:f>
      </x:c>
      <x:c r="Y154" s="137" t="str">
        <x:f>IF($A154="","",TRIM(MID(SUBSTITUTE(SUBSTITUTE(TRIM($I154)," ",""),",",REPT(" ",100)),501,100)))</x:f>
      </x:c>
      <x:c r="Z154" s="137" t="str">
        <x:f>IF($A154="","",TRIM(MID(SUBSTITUTE(SUBSTITUTE(TRIM($I154)," ",""),",",REPT(" ",100)),601,100)))</x:f>
      </x:c>
      <x:c r="AA154" s="137" t="str">
        <x:f>IF($A154="","",IF(SUBSTITUTE(TRIM($I154)," ","")="",0,1+LEN(SUBSTITUTE(TRIM($I154)," ",""))-LEN(SUBSTITUTE(SUBSTITUTE(TRIM($I154)," ",""),",",""))))</x:f>
      </x:c>
      <x:c r="AB154" s="137" t="str">
        <x:f>IF($A154="","",COUNTIF(TasksTable[Task ID],T154)+COUNTIF(TasksTable[Task ID],U154)+COUNTIF(TasksTable[Task ID],V154)+COUNTIF(TasksTable[Task ID],W154)+COUNTIF(TasksTable[Task ID],X154)+COUNTIF(TasksTable[Task ID],Y154)+COUNTIF(TasksTable[Task ID],Z154))</x:f>
      </x:c>
      <x:c r="AC154" s="137" t="b">
        <x:f>IF($A154="",FALSE,OR(T154=$A154,U154=$A154,V154=$A154,W154=$A154,X154=$A154,Y154=$A154,Z154=$A154))</x:f>
        <x:v>0</x:v>
      </x:c>
      <x:c r="AD154" s="144" t="n">
        <x:f>IF(AA154=0,0,MAX(IFERROR(INDEX(TasksTable[Start Date],MATCH(T154,TasksTable[Task ID],0)),0),IFERROR(INDEX(TasksTable[Start Date],MATCH(U154,TasksTable[Task ID],0)),0),IFERROR(INDEX(TasksTable[Start Date],MATCH(V154,TasksTable[Task ID],0)),0),IFERROR(INDEX(TasksTable[Start Date],MATCH(W154,TasksTable[Task ID],0)),0),IFERROR(INDEX(TasksTable[Start Date],MATCH(X154,TasksTable[Task ID],0)),0),IFERROR(INDEX(TasksTable[Start Date],MATCH(Y154,TasksTable[Task ID],0)),0),IFERROR(INDEX(TasksTable[Start Date],MATCH(Z154,TasksTable[Task ID],0)),0)))</x:f>
        <x:v>0</x:v>
      </x:c>
      <x:c r="AE154" s="144" t="n">
        <x:f>IF(AA154=0,0,MAX(IFERROR(INDEX(TasksTable[End Date],MATCH(T154,TasksTable[Task ID],0)),0),IFERROR(INDEX(TasksTable[End Date],MATCH(U154,TasksTable[Task ID],0)),0),IFERROR(INDEX(TasksTable[End Date],MATCH(V154,TasksTable[Task ID],0)),0),IFERROR(INDEX(TasksTable[End Date],MATCH(W154,TasksTable[Task ID],0)),0),IFERROR(INDEX(TasksTable[End Date],MATCH(X154,TasksTable[Task ID],0)),0),IFERROR(INDEX(TasksTable[End Date],MATCH(Y154,TasksTable[Task ID],0)),0),IFERROR(INDEX(TasksTable[End Date],MATCH(Z154,TasksTable[Task ID],0)),0)))</x:f>
        <x:v>0</x:v>
      </x:c>
      <x:c r="AF154" s="137" t="b">
        <x:f>IF(OR($A154="",AA154=0),FALSE,SWITCH($J154,"FS",$F154&lt;AE154,"SS",$F154&lt;AD154,"FF",$G154&lt;AE154,"SF",$G154&lt;AD154,TRUE))</x:f>
        <x:v>0</x:v>
      </x:c>
      <x:c r="AG154" s="137" t="str">
        <x:f>IF(AND($A154&lt;&gt;"",$K154="No",$N154&lt;&gt;"Completed",$F154&gt;=TODAY()),$F154+ROW()/100000,"")</x:f>
      </x:c>
      <x:c r="AH154" s="137" t="str">
        <x:f>IF(AND($A154&lt;&gt;"",$K154="Yes",$N154&lt;&gt;"Completed",$F154&gt;=TODAY()),$F154+ROW()/100000,"")</x:f>
      </x:c>
      <x:c r="AI154" s="137" t="str">
        <x:f>IF(AND($A154&lt;&gt;"",$K154="No",$N154&lt;&gt;"Completed",$G154&gt;=TODAY(),$G154&lt;=TODAY()+3),$G154+ROW()/100000,"")</x:f>
      </x:c>
      <x:c r="AJ154" s="137" t="str">
        <x:f>IF(AND($A154&lt;&gt;"",$K154="No",OR($N154="Delayed",$P154="Dependency conflict")),$G154+ROW()/100000,"")</x:f>
      </x:c>
      <x:c r="AK154" s="137" t="str">
        <x:f>IF(AG154="","",COUNTIFS($AG$7:$AG$206,"&gt;0",$AG$7:$AG$206,"&lt;"&amp;AG154)+1)</x:f>
      </x:c>
      <x:c r="AL154" s="137" t="str">
        <x:f>IF(AH154="","",COUNTIFS($AH$7:$AH$206,"&gt;0",$AH$7:$AH$206,"&lt;"&amp;AH154)+1)</x:f>
      </x:c>
      <x:c r="AM154" s="137" t="str">
        <x:f>IF(AI154="","",COUNTIFS($AI$7:$AI$206,"&gt;0",$AI$7:$AI$206,"&lt;"&amp;AI154)+1)</x:f>
      </x:c>
      <x:c r="AN154" s="137" t="str">
        <x:f>IF(AJ154="","",COUNTIFS($AJ$7:$AJ$206,"&gt;0",$AJ$7:$AJ$206,"&lt;"&amp;AJ154)+1)</x:f>
      </x:c>
    </x:row>
    <x:row r="155">
      <x:c r="T155" s="137" t="str">
        <x:f>IF($A155="","",TRIM(MID(SUBSTITUTE(SUBSTITUTE(TRIM($I155)," ",""),",",REPT(" ",100)),1,100)))</x:f>
      </x:c>
      <x:c r="U155" s="137" t="str">
        <x:f>IF($A155="","",TRIM(MID(SUBSTITUTE(SUBSTITUTE(TRIM($I155)," ",""),",",REPT(" ",100)),101,100)))</x:f>
      </x:c>
      <x:c r="V155" s="137" t="str">
        <x:f>IF($A155="","",TRIM(MID(SUBSTITUTE(SUBSTITUTE(TRIM($I155)," ",""),",",REPT(" ",100)),201,100)))</x:f>
      </x:c>
      <x:c r="W155" s="137" t="str">
        <x:f>IF($A155="","",TRIM(MID(SUBSTITUTE(SUBSTITUTE(TRIM($I155)," ",""),",",REPT(" ",100)),301,100)))</x:f>
      </x:c>
      <x:c r="X155" s="137" t="str">
        <x:f>IF($A155="","",TRIM(MID(SUBSTITUTE(SUBSTITUTE(TRIM($I155)," ",""),",",REPT(" ",100)),401,100)))</x:f>
      </x:c>
      <x:c r="Y155" s="137" t="str">
        <x:f>IF($A155="","",TRIM(MID(SUBSTITUTE(SUBSTITUTE(TRIM($I155)," ",""),",",REPT(" ",100)),501,100)))</x:f>
      </x:c>
      <x:c r="Z155" s="137" t="str">
        <x:f>IF($A155="","",TRIM(MID(SUBSTITUTE(SUBSTITUTE(TRIM($I155)," ",""),",",REPT(" ",100)),601,100)))</x:f>
      </x:c>
      <x:c r="AA155" s="137" t="str">
        <x:f>IF($A155="","",IF(SUBSTITUTE(TRIM($I155)," ","")="",0,1+LEN(SUBSTITUTE(TRIM($I155)," ",""))-LEN(SUBSTITUTE(SUBSTITUTE(TRIM($I155)," ",""),",",""))))</x:f>
      </x:c>
      <x:c r="AB155" s="137" t="str">
        <x:f>IF($A155="","",COUNTIF(TasksTable[Task ID],T155)+COUNTIF(TasksTable[Task ID],U155)+COUNTIF(TasksTable[Task ID],V155)+COUNTIF(TasksTable[Task ID],W155)+COUNTIF(TasksTable[Task ID],X155)+COUNTIF(TasksTable[Task ID],Y155)+COUNTIF(TasksTable[Task ID],Z155))</x:f>
      </x:c>
      <x:c r="AC155" s="137" t="b">
        <x:f>IF($A155="",FALSE,OR(T155=$A155,U155=$A155,V155=$A155,W155=$A155,X155=$A155,Y155=$A155,Z155=$A155))</x:f>
        <x:v>0</x:v>
      </x:c>
      <x:c r="AD155" s="144" t="n">
        <x:f>IF(AA155=0,0,MAX(IFERROR(INDEX(TasksTable[Start Date],MATCH(T155,TasksTable[Task ID],0)),0),IFERROR(INDEX(TasksTable[Start Date],MATCH(U155,TasksTable[Task ID],0)),0),IFERROR(INDEX(TasksTable[Start Date],MATCH(V155,TasksTable[Task ID],0)),0),IFERROR(INDEX(TasksTable[Start Date],MATCH(W155,TasksTable[Task ID],0)),0),IFERROR(INDEX(TasksTable[Start Date],MATCH(X155,TasksTable[Task ID],0)),0),IFERROR(INDEX(TasksTable[Start Date],MATCH(Y155,TasksTable[Task ID],0)),0),IFERROR(INDEX(TasksTable[Start Date],MATCH(Z155,TasksTable[Task ID],0)),0)))</x:f>
        <x:v>0</x:v>
      </x:c>
      <x:c r="AE155" s="144" t="n">
        <x:f>IF(AA155=0,0,MAX(IFERROR(INDEX(TasksTable[End Date],MATCH(T155,TasksTable[Task ID],0)),0),IFERROR(INDEX(TasksTable[End Date],MATCH(U155,TasksTable[Task ID],0)),0),IFERROR(INDEX(TasksTable[End Date],MATCH(V155,TasksTable[Task ID],0)),0),IFERROR(INDEX(TasksTable[End Date],MATCH(W155,TasksTable[Task ID],0)),0),IFERROR(INDEX(TasksTable[End Date],MATCH(X155,TasksTable[Task ID],0)),0),IFERROR(INDEX(TasksTable[End Date],MATCH(Y155,TasksTable[Task ID],0)),0),IFERROR(INDEX(TasksTable[End Date],MATCH(Z155,TasksTable[Task ID],0)),0)))</x:f>
        <x:v>0</x:v>
      </x:c>
      <x:c r="AF155" s="137" t="b">
        <x:f>IF(OR($A155="",AA155=0),FALSE,SWITCH($J155,"FS",$F155&lt;AE155,"SS",$F155&lt;AD155,"FF",$G155&lt;AE155,"SF",$G155&lt;AD155,TRUE))</x:f>
        <x:v>0</x:v>
      </x:c>
      <x:c r="AG155" s="137" t="str">
        <x:f>IF(AND($A155&lt;&gt;"",$K155="No",$N155&lt;&gt;"Completed",$F155&gt;=TODAY()),$F155+ROW()/100000,"")</x:f>
      </x:c>
      <x:c r="AH155" s="137" t="str">
        <x:f>IF(AND($A155&lt;&gt;"",$K155="Yes",$N155&lt;&gt;"Completed",$F155&gt;=TODAY()),$F155+ROW()/100000,"")</x:f>
      </x:c>
      <x:c r="AI155" s="137" t="str">
        <x:f>IF(AND($A155&lt;&gt;"",$K155="No",$N155&lt;&gt;"Completed",$G155&gt;=TODAY(),$G155&lt;=TODAY()+3),$G155+ROW()/100000,"")</x:f>
      </x:c>
      <x:c r="AJ155" s="137" t="str">
        <x:f>IF(AND($A155&lt;&gt;"",$K155="No",OR($N155="Delayed",$P155="Dependency conflict")),$G155+ROW()/100000,"")</x:f>
      </x:c>
      <x:c r="AK155" s="137" t="str">
        <x:f>IF(AG155="","",COUNTIFS($AG$7:$AG$206,"&gt;0",$AG$7:$AG$206,"&lt;"&amp;AG155)+1)</x:f>
      </x:c>
      <x:c r="AL155" s="137" t="str">
        <x:f>IF(AH155="","",COUNTIFS($AH$7:$AH$206,"&gt;0",$AH$7:$AH$206,"&lt;"&amp;AH155)+1)</x:f>
      </x:c>
      <x:c r="AM155" s="137" t="str">
        <x:f>IF(AI155="","",COUNTIFS($AI$7:$AI$206,"&gt;0",$AI$7:$AI$206,"&lt;"&amp;AI155)+1)</x:f>
      </x:c>
      <x:c r="AN155" s="137" t="str">
        <x:f>IF(AJ155="","",COUNTIFS($AJ$7:$AJ$206,"&gt;0",$AJ$7:$AJ$206,"&lt;"&amp;AJ155)+1)</x:f>
      </x:c>
    </x:row>
    <x:row r="156">
      <x:c r="T156" s="137" t="str">
        <x:f>IF($A156="","",TRIM(MID(SUBSTITUTE(SUBSTITUTE(TRIM($I156)," ",""),",",REPT(" ",100)),1,100)))</x:f>
      </x:c>
      <x:c r="U156" s="137" t="str">
        <x:f>IF($A156="","",TRIM(MID(SUBSTITUTE(SUBSTITUTE(TRIM($I156)," ",""),",",REPT(" ",100)),101,100)))</x:f>
      </x:c>
      <x:c r="V156" s="137" t="str">
        <x:f>IF($A156="","",TRIM(MID(SUBSTITUTE(SUBSTITUTE(TRIM($I156)," ",""),",",REPT(" ",100)),201,100)))</x:f>
      </x:c>
      <x:c r="W156" s="137" t="str">
        <x:f>IF($A156="","",TRIM(MID(SUBSTITUTE(SUBSTITUTE(TRIM($I156)," ",""),",",REPT(" ",100)),301,100)))</x:f>
      </x:c>
      <x:c r="X156" s="137" t="str">
        <x:f>IF($A156="","",TRIM(MID(SUBSTITUTE(SUBSTITUTE(TRIM($I156)," ",""),",",REPT(" ",100)),401,100)))</x:f>
      </x:c>
      <x:c r="Y156" s="137" t="str">
        <x:f>IF($A156="","",TRIM(MID(SUBSTITUTE(SUBSTITUTE(TRIM($I156)," ",""),",",REPT(" ",100)),501,100)))</x:f>
      </x:c>
      <x:c r="Z156" s="137" t="str">
        <x:f>IF($A156="","",TRIM(MID(SUBSTITUTE(SUBSTITUTE(TRIM($I156)," ",""),",",REPT(" ",100)),601,100)))</x:f>
      </x:c>
      <x:c r="AA156" s="137" t="str">
        <x:f>IF($A156="","",IF(SUBSTITUTE(TRIM($I156)," ","")="",0,1+LEN(SUBSTITUTE(TRIM($I156)," ",""))-LEN(SUBSTITUTE(SUBSTITUTE(TRIM($I156)," ",""),",",""))))</x:f>
      </x:c>
      <x:c r="AB156" s="137" t="str">
        <x:f>IF($A156="","",COUNTIF(TasksTable[Task ID],T156)+COUNTIF(TasksTable[Task ID],U156)+COUNTIF(TasksTable[Task ID],V156)+COUNTIF(TasksTable[Task ID],W156)+COUNTIF(TasksTable[Task ID],X156)+COUNTIF(TasksTable[Task ID],Y156)+COUNTIF(TasksTable[Task ID],Z156))</x:f>
      </x:c>
      <x:c r="AC156" s="137" t="b">
        <x:f>IF($A156="",FALSE,OR(T156=$A156,U156=$A156,V156=$A156,W156=$A156,X156=$A156,Y156=$A156,Z156=$A156))</x:f>
        <x:v>0</x:v>
      </x:c>
      <x:c r="AD156" s="144" t="n">
        <x:f>IF(AA156=0,0,MAX(IFERROR(INDEX(TasksTable[Start Date],MATCH(T156,TasksTable[Task ID],0)),0),IFERROR(INDEX(TasksTable[Start Date],MATCH(U156,TasksTable[Task ID],0)),0),IFERROR(INDEX(TasksTable[Start Date],MATCH(V156,TasksTable[Task ID],0)),0),IFERROR(INDEX(TasksTable[Start Date],MATCH(W156,TasksTable[Task ID],0)),0),IFERROR(INDEX(TasksTable[Start Date],MATCH(X156,TasksTable[Task ID],0)),0),IFERROR(INDEX(TasksTable[Start Date],MATCH(Y156,TasksTable[Task ID],0)),0),IFERROR(INDEX(TasksTable[Start Date],MATCH(Z156,TasksTable[Task ID],0)),0)))</x:f>
        <x:v>0</x:v>
      </x:c>
      <x:c r="AE156" s="144" t="n">
        <x:f>IF(AA156=0,0,MAX(IFERROR(INDEX(TasksTable[End Date],MATCH(T156,TasksTable[Task ID],0)),0),IFERROR(INDEX(TasksTable[End Date],MATCH(U156,TasksTable[Task ID],0)),0),IFERROR(INDEX(TasksTable[End Date],MATCH(V156,TasksTable[Task ID],0)),0),IFERROR(INDEX(TasksTable[End Date],MATCH(W156,TasksTable[Task ID],0)),0),IFERROR(INDEX(TasksTable[End Date],MATCH(X156,TasksTable[Task ID],0)),0),IFERROR(INDEX(TasksTable[End Date],MATCH(Y156,TasksTable[Task ID],0)),0),IFERROR(INDEX(TasksTable[End Date],MATCH(Z156,TasksTable[Task ID],0)),0)))</x:f>
        <x:v>0</x:v>
      </x:c>
      <x:c r="AF156" s="137" t="b">
        <x:f>IF(OR($A156="",AA156=0),FALSE,SWITCH($J156,"FS",$F156&lt;AE156,"SS",$F156&lt;AD156,"FF",$G156&lt;AE156,"SF",$G156&lt;AD156,TRUE))</x:f>
        <x:v>0</x:v>
      </x:c>
      <x:c r="AG156" s="137" t="str">
        <x:f>IF(AND($A156&lt;&gt;"",$K156="No",$N156&lt;&gt;"Completed",$F156&gt;=TODAY()),$F156+ROW()/100000,"")</x:f>
      </x:c>
      <x:c r="AH156" s="137" t="str">
        <x:f>IF(AND($A156&lt;&gt;"",$K156="Yes",$N156&lt;&gt;"Completed",$F156&gt;=TODAY()),$F156+ROW()/100000,"")</x:f>
      </x:c>
      <x:c r="AI156" s="137" t="str">
        <x:f>IF(AND($A156&lt;&gt;"",$K156="No",$N156&lt;&gt;"Completed",$G156&gt;=TODAY(),$G156&lt;=TODAY()+3),$G156+ROW()/100000,"")</x:f>
      </x:c>
      <x:c r="AJ156" s="137" t="str">
        <x:f>IF(AND($A156&lt;&gt;"",$K156="No",OR($N156="Delayed",$P156="Dependency conflict")),$G156+ROW()/100000,"")</x:f>
      </x:c>
      <x:c r="AK156" s="137" t="str">
        <x:f>IF(AG156="","",COUNTIFS($AG$7:$AG$206,"&gt;0",$AG$7:$AG$206,"&lt;"&amp;AG156)+1)</x:f>
      </x:c>
      <x:c r="AL156" s="137" t="str">
        <x:f>IF(AH156="","",COUNTIFS($AH$7:$AH$206,"&gt;0",$AH$7:$AH$206,"&lt;"&amp;AH156)+1)</x:f>
      </x:c>
      <x:c r="AM156" s="137" t="str">
        <x:f>IF(AI156="","",COUNTIFS($AI$7:$AI$206,"&gt;0",$AI$7:$AI$206,"&lt;"&amp;AI156)+1)</x:f>
      </x:c>
      <x:c r="AN156" s="137" t="str">
        <x:f>IF(AJ156="","",COUNTIFS($AJ$7:$AJ$206,"&gt;0",$AJ$7:$AJ$206,"&lt;"&amp;AJ156)+1)</x:f>
      </x:c>
    </x:row>
    <x:row r="157">
      <x:c r="T157" s="137" t="str">
        <x:f>IF($A157="","",TRIM(MID(SUBSTITUTE(SUBSTITUTE(TRIM($I157)," ",""),",",REPT(" ",100)),1,100)))</x:f>
      </x:c>
      <x:c r="U157" s="137" t="str">
        <x:f>IF($A157="","",TRIM(MID(SUBSTITUTE(SUBSTITUTE(TRIM($I157)," ",""),",",REPT(" ",100)),101,100)))</x:f>
      </x:c>
      <x:c r="V157" s="137" t="str">
        <x:f>IF($A157="","",TRIM(MID(SUBSTITUTE(SUBSTITUTE(TRIM($I157)," ",""),",",REPT(" ",100)),201,100)))</x:f>
      </x:c>
      <x:c r="W157" s="137" t="str">
        <x:f>IF($A157="","",TRIM(MID(SUBSTITUTE(SUBSTITUTE(TRIM($I157)," ",""),",",REPT(" ",100)),301,100)))</x:f>
      </x:c>
      <x:c r="X157" s="137" t="str">
        <x:f>IF($A157="","",TRIM(MID(SUBSTITUTE(SUBSTITUTE(TRIM($I157)," ",""),",",REPT(" ",100)),401,100)))</x:f>
      </x:c>
      <x:c r="Y157" s="137" t="str">
        <x:f>IF($A157="","",TRIM(MID(SUBSTITUTE(SUBSTITUTE(TRIM($I157)," ",""),",",REPT(" ",100)),501,100)))</x:f>
      </x:c>
      <x:c r="Z157" s="137" t="str">
        <x:f>IF($A157="","",TRIM(MID(SUBSTITUTE(SUBSTITUTE(TRIM($I157)," ",""),",",REPT(" ",100)),601,100)))</x:f>
      </x:c>
      <x:c r="AA157" s="137" t="str">
        <x:f>IF($A157="","",IF(SUBSTITUTE(TRIM($I157)," ","")="",0,1+LEN(SUBSTITUTE(TRIM($I157)," ",""))-LEN(SUBSTITUTE(SUBSTITUTE(TRIM($I157)," ",""),",",""))))</x:f>
      </x:c>
      <x:c r="AB157" s="137" t="str">
        <x:f>IF($A157="","",COUNTIF(TasksTable[Task ID],T157)+COUNTIF(TasksTable[Task ID],U157)+COUNTIF(TasksTable[Task ID],V157)+COUNTIF(TasksTable[Task ID],W157)+COUNTIF(TasksTable[Task ID],X157)+COUNTIF(TasksTable[Task ID],Y157)+COUNTIF(TasksTable[Task ID],Z157))</x:f>
      </x:c>
      <x:c r="AC157" s="137" t="b">
        <x:f>IF($A157="",FALSE,OR(T157=$A157,U157=$A157,V157=$A157,W157=$A157,X157=$A157,Y157=$A157,Z157=$A157))</x:f>
        <x:v>0</x:v>
      </x:c>
      <x:c r="AD157" s="144" t="n">
        <x:f>IF(AA157=0,0,MAX(IFERROR(INDEX(TasksTable[Start Date],MATCH(T157,TasksTable[Task ID],0)),0),IFERROR(INDEX(TasksTable[Start Date],MATCH(U157,TasksTable[Task ID],0)),0),IFERROR(INDEX(TasksTable[Start Date],MATCH(V157,TasksTable[Task ID],0)),0),IFERROR(INDEX(TasksTable[Start Date],MATCH(W157,TasksTable[Task ID],0)),0),IFERROR(INDEX(TasksTable[Start Date],MATCH(X157,TasksTable[Task ID],0)),0),IFERROR(INDEX(TasksTable[Start Date],MATCH(Y157,TasksTable[Task ID],0)),0),IFERROR(INDEX(TasksTable[Start Date],MATCH(Z157,TasksTable[Task ID],0)),0)))</x:f>
        <x:v>0</x:v>
      </x:c>
      <x:c r="AE157" s="144" t="n">
        <x:f>IF(AA157=0,0,MAX(IFERROR(INDEX(TasksTable[End Date],MATCH(T157,TasksTable[Task ID],0)),0),IFERROR(INDEX(TasksTable[End Date],MATCH(U157,TasksTable[Task ID],0)),0),IFERROR(INDEX(TasksTable[End Date],MATCH(V157,TasksTable[Task ID],0)),0),IFERROR(INDEX(TasksTable[End Date],MATCH(W157,TasksTable[Task ID],0)),0),IFERROR(INDEX(TasksTable[End Date],MATCH(X157,TasksTable[Task ID],0)),0),IFERROR(INDEX(TasksTable[End Date],MATCH(Y157,TasksTable[Task ID],0)),0),IFERROR(INDEX(TasksTable[End Date],MATCH(Z157,TasksTable[Task ID],0)),0)))</x:f>
        <x:v>0</x:v>
      </x:c>
      <x:c r="AF157" s="137" t="b">
        <x:f>IF(OR($A157="",AA157=0),FALSE,SWITCH($J157,"FS",$F157&lt;AE157,"SS",$F157&lt;AD157,"FF",$G157&lt;AE157,"SF",$G157&lt;AD157,TRUE))</x:f>
        <x:v>0</x:v>
      </x:c>
      <x:c r="AG157" s="137" t="str">
        <x:f>IF(AND($A157&lt;&gt;"",$K157="No",$N157&lt;&gt;"Completed",$F157&gt;=TODAY()),$F157+ROW()/100000,"")</x:f>
      </x:c>
      <x:c r="AH157" s="137" t="str">
        <x:f>IF(AND($A157&lt;&gt;"",$K157="Yes",$N157&lt;&gt;"Completed",$F157&gt;=TODAY()),$F157+ROW()/100000,"")</x:f>
      </x:c>
      <x:c r="AI157" s="137" t="str">
        <x:f>IF(AND($A157&lt;&gt;"",$K157="No",$N157&lt;&gt;"Completed",$G157&gt;=TODAY(),$G157&lt;=TODAY()+3),$G157+ROW()/100000,"")</x:f>
      </x:c>
      <x:c r="AJ157" s="137" t="str">
        <x:f>IF(AND($A157&lt;&gt;"",$K157="No",OR($N157="Delayed",$P157="Dependency conflict")),$G157+ROW()/100000,"")</x:f>
      </x:c>
      <x:c r="AK157" s="137" t="str">
        <x:f>IF(AG157="","",COUNTIFS($AG$7:$AG$206,"&gt;0",$AG$7:$AG$206,"&lt;"&amp;AG157)+1)</x:f>
      </x:c>
      <x:c r="AL157" s="137" t="str">
        <x:f>IF(AH157="","",COUNTIFS($AH$7:$AH$206,"&gt;0",$AH$7:$AH$206,"&lt;"&amp;AH157)+1)</x:f>
      </x:c>
      <x:c r="AM157" s="137" t="str">
        <x:f>IF(AI157="","",COUNTIFS($AI$7:$AI$206,"&gt;0",$AI$7:$AI$206,"&lt;"&amp;AI157)+1)</x:f>
      </x:c>
      <x:c r="AN157" s="137" t="str">
        <x:f>IF(AJ157="","",COUNTIFS($AJ$7:$AJ$206,"&gt;0",$AJ$7:$AJ$206,"&lt;"&amp;AJ157)+1)</x:f>
      </x:c>
    </x:row>
    <x:row r="158">
      <x:c r="T158" s="137" t="str">
        <x:f>IF($A158="","",TRIM(MID(SUBSTITUTE(SUBSTITUTE(TRIM($I158)," ",""),",",REPT(" ",100)),1,100)))</x:f>
      </x:c>
      <x:c r="U158" s="137" t="str">
        <x:f>IF($A158="","",TRIM(MID(SUBSTITUTE(SUBSTITUTE(TRIM($I158)," ",""),",",REPT(" ",100)),101,100)))</x:f>
      </x:c>
      <x:c r="V158" s="137" t="str">
        <x:f>IF($A158="","",TRIM(MID(SUBSTITUTE(SUBSTITUTE(TRIM($I158)," ",""),",",REPT(" ",100)),201,100)))</x:f>
      </x:c>
      <x:c r="W158" s="137" t="str">
        <x:f>IF($A158="","",TRIM(MID(SUBSTITUTE(SUBSTITUTE(TRIM($I158)," ",""),",",REPT(" ",100)),301,100)))</x:f>
      </x:c>
      <x:c r="X158" s="137" t="str">
        <x:f>IF($A158="","",TRIM(MID(SUBSTITUTE(SUBSTITUTE(TRIM($I158)," ",""),",",REPT(" ",100)),401,100)))</x:f>
      </x:c>
      <x:c r="Y158" s="137" t="str">
        <x:f>IF($A158="","",TRIM(MID(SUBSTITUTE(SUBSTITUTE(TRIM($I158)," ",""),",",REPT(" ",100)),501,100)))</x:f>
      </x:c>
      <x:c r="Z158" s="137" t="str">
        <x:f>IF($A158="","",TRIM(MID(SUBSTITUTE(SUBSTITUTE(TRIM($I158)," ",""),",",REPT(" ",100)),601,100)))</x:f>
      </x:c>
      <x:c r="AA158" s="137" t="str">
        <x:f>IF($A158="","",IF(SUBSTITUTE(TRIM($I158)," ","")="",0,1+LEN(SUBSTITUTE(TRIM($I158)," ",""))-LEN(SUBSTITUTE(SUBSTITUTE(TRIM($I158)," ",""),",",""))))</x:f>
      </x:c>
      <x:c r="AB158" s="137" t="str">
        <x:f>IF($A158="","",COUNTIF(TasksTable[Task ID],T158)+COUNTIF(TasksTable[Task ID],U158)+COUNTIF(TasksTable[Task ID],V158)+COUNTIF(TasksTable[Task ID],W158)+COUNTIF(TasksTable[Task ID],X158)+COUNTIF(TasksTable[Task ID],Y158)+COUNTIF(TasksTable[Task ID],Z158))</x:f>
      </x:c>
      <x:c r="AC158" s="137" t="b">
        <x:f>IF($A158="",FALSE,OR(T158=$A158,U158=$A158,V158=$A158,W158=$A158,X158=$A158,Y158=$A158,Z158=$A158))</x:f>
        <x:v>0</x:v>
      </x:c>
      <x:c r="AD158" s="144" t="n">
        <x:f>IF(AA158=0,0,MAX(IFERROR(INDEX(TasksTable[Start Date],MATCH(T158,TasksTable[Task ID],0)),0),IFERROR(INDEX(TasksTable[Start Date],MATCH(U158,TasksTable[Task ID],0)),0),IFERROR(INDEX(TasksTable[Start Date],MATCH(V158,TasksTable[Task ID],0)),0),IFERROR(INDEX(TasksTable[Start Date],MATCH(W158,TasksTable[Task ID],0)),0),IFERROR(INDEX(TasksTable[Start Date],MATCH(X158,TasksTable[Task ID],0)),0),IFERROR(INDEX(TasksTable[Start Date],MATCH(Y158,TasksTable[Task ID],0)),0),IFERROR(INDEX(TasksTable[Start Date],MATCH(Z158,TasksTable[Task ID],0)),0)))</x:f>
        <x:v>0</x:v>
      </x:c>
      <x:c r="AE158" s="144" t="n">
        <x:f>IF(AA158=0,0,MAX(IFERROR(INDEX(TasksTable[End Date],MATCH(T158,TasksTable[Task ID],0)),0),IFERROR(INDEX(TasksTable[End Date],MATCH(U158,TasksTable[Task ID],0)),0),IFERROR(INDEX(TasksTable[End Date],MATCH(V158,TasksTable[Task ID],0)),0),IFERROR(INDEX(TasksTable[End Date],MATCH(W158,TasksTable[Task ID],0)),0),IFERROR(INDEX(TasksTable[End Date],MATCH(X158,TasksTable[Task ID],0)),0),IFERROR(INDEX(TasksTable[End Date],MATCH(Y158,TasksTable[Task ID],0)),0),IFERROR(INDEX(TasksTable[End Date],MATCH(Z158,TasksTable[Task ID],0)),0)))</x:f>
        <x:v>0</x:v>
      </x:c>
      <x:c r="AF158" s="137" t="b">
        <x:f>IF(OR($A158="",AA158=0),FALSE,SWITCH($J158,"FS",$F158&lt;AE158,"SS",$F158&lt;AD158,"FF",$G158&lt;AE158,"SF",$G158&lt;AD158,TRUE))</x:f>
        <x:v>0</x:v>
      </x:c>
      <x:c r="AG158" s="137" t="str">
        <x:f>IF(AND($A158&lt;&gt;"",$K158="No",$N158&lt;&gt;"Completed",$F158&gt;=TODAY()),$F158+ROW()/100000,"")</x:f>
      </x:c>
      <x:c r="AH158" s="137" t="str">
        <x:f>IF(AND($A158&lt;&gt;"",$K158="Yes",$N158&lt;&gt;"Completed",$F158&gt;=TODAY()),$F158+ROW()/100000,"")</x:f>
      </x:c>
      <x:c r="AI158" s="137" t="str">
        <x:f>IF(AND($A158&lt;&gt;"",$K158="No",$N158&lt;&gt;"Completed",$G158&gt;=TODAY(),$G158&lt;=TODAY()+3),$G158+ROW()/100000,"")</x:f>
      </x:c>
      <x:c r="AJ158" s="137" t="str">
        <x:f>IF(AND($A158&lt;&gt;"",$K158="No",OR($N158="Delayed",$P158="Dependency conflict")),$G158+ROW()/100000,"")</x:f>
      </x:c>
      <x:c r="AK158" s="137" t="str">
        <x:f>IF(AG158="","",COUNTIFS($AG$7:$AG$206,"&gt;0",$AG$7:$AG$206,"&lt;"&amp;AG158)+1)</x:f>
      </x:c>
      <x:c r="AL158" s="137" t="str">
        <x:f>IF(AH158="","",COUNTIFS($AH$7:$AH$206,"&gt;0",$AH$7:$AH$206,"&lt;"&amp;AH158)+1)</x:f>
      </x:c>
      <x:c r="AM158" s="137" t="str">
        <x:f>IF(AI158="","",COUNTIFS($AI$7:$AI$206,"&gt;0",$AI$7:$AI$206,"&lt;"&amp;AI158)+1)</x:f>
      </x:c>
      <x:c r="AN158" s="137" t="str">
        <x:f>IF(AJ158="","",COUNTIFS($AJ$7:$AJ$206,"&gt;0",$AJ$7:$AJ$206,"&lt;"&amp;AJ158)+1)</x:f>
      </x:c>
    </x:row>
    <x:row r="159">
      <x:c r="T159" s="137" t="str">
        <x:f>IF($A159="","",TRIM(MID(SUBSTITUTE(SUBSTITUTE(TRIM($I159)," ",""),",",REPT(" ",100)),1,100)))</x:f>
      </x:c>
      <x:c r="U159" s="137" t="str">
        <x:f>IF($A159="","",TRIM(MID(SUBSTITUTE(SUBSTITUTE(TRIM($I159)," ",""),",",REPT(" ",100)),101,100)))</x:f>
      </x:c>
      <x:c r="V159" s="137" t="str">
        <x:f>IF($A159="","",TRIM(MID(SUBSTITUTE(SUBSTITUTE(TRIM($I159)," ",""),",",REPT(" ",100)),201,100)))</x:f>
      </x:c>
      <x:c r="W159" s="137" t="str">
        <x:f>IF($A159="","",TRIM(MID(SUBSTITUTE(SUBSTITUTE(TRIM($I159)," ",""),",",REPT(" ",100)),301,100)))</x:f>
      </x:c>
      <x:c r="X159" s="137" t="str">
        <x:f>IF($A159="","",TRIM(MID(SUBSTITUTE(SUBSTITUTE(TRIM($I159)," ",""),",",REPT(" ",100)),401,100)))</x:f>
      </x:c>
      <x:c r="Y159" s="137" t="str">
        <x:f>IF($A159="","",TRIM(MID(SUBSTITUTE(SUBSTITUTE(TRIM($I159)," ",""),",",REPT(" ",100)),501,100)))</x:f>
      </x:c>
      <x:c r="Z159" s="137" t="str">
        <x:f>IF($A159="","",TRIM(MID(SUBSTITUTE(SUBSTITUTE(TRIM($I159)," ",""),",",REPT(" ",100)),601,100)))</x:f>
      </x:c>
      <x:c r="AA159" s="137" t="str">
        <x:f>IF($A159="","",IF(SUBSTITUTE(TRIM($I159)," ","")="",0,1+LEN(SUBSTITUTE(TRIM($I159)," ",""))-LEN(SUBSTITUTE(SUBSTITUTE(TRIM($I159)," ",""),",",""))))</x:f>
      </x:c>
      <x:c r="AB159" s="137" t="str">
        <x:f>IF($A159="","",COUNTIF(TasksTable[Task ID],T159)+COUNTIF(TasksTable[Task ID],U159)+COUNTIF(TasksTable[Task ID],V159)+COUNTIF(TasksTable[Task ID],W159)+COUNTIF(TasksTable[Task ID],X159)+COUNTIF(TasksTable[Task ID],Y159)+COUNTIF(TasksTable[Task ID],Z159))</x:f>
      </x:c>
      <x:c r="AC159" s="137" t="b">
        <x:f>IF($A159="",FALSE,OR(T159=$A159,U159=$A159,V159=$A159,W159=$A159,X159=$A159,Y159=$A159,Z159=$A159))</x:f>
        <x:v>0</x:v>
      </x:c>
      <x:c r="AD159" s="144" t="n">
        <x:f>IF(AA159=0,0,MAX(IFERROR(INDEX(TasksTable[Start Date],MATCH(T159,TasksTable[Task ID],0)),0),IFERROR(INDEX(TasksTable[Start Date],MATCH(U159,TasksTable[Task ID],0)),0),IFERROR(INDEX(TasksTable[Start Date],MATCH(V159,TasksTable[Task ID],0)),0),IFERROR(INDEX(TasksTable[Start Date],MATCH(W159,TasksTable[Task ID],0)),0),IFERROR(INDEX(TasksTable[Start Date],MATCH(X159,TasksTable[Task ID],0)),0),IFERROR(INDEX(TasksTable[Start Date],MATCH(Y159,TasksTable[Task ID],0)),0),IFERROR(INDEX(TasksTable[Start Date],MATCH(Z159,TasksTable[Task ID],0)),0)))</x:f>
        <x:v>0</x:v>
      </x:c>
      <x:c r="AE159" s="144" t="n">
        <x:f>IF(AA159=0,0,MAX(IFERROR(INDEX(TasksTable[End Date],MATCH(T159,TasksTable[Task ID],0)),0),IFERROR(INDEX(TasksTable[End Date],MATCH(U159,TasksTable[Task ID],0)),0),IFERROR(INDEX(TasksTable[End Date],MATCH(V159,TasksTable[Task ID],0)),0),IFERROR(INDEX(TasksTable[End Date],MATCH(W159,TasksTable[Task ID],0)),0),IFERROR(INDEX(TasksTable[End Date],MATCH(X159,TasksTable[Task ID],0)),0),IFERROR(INDEX(TasksTable[End Date],MATCH(Y159,TasksTable[Task ID],0)),0),IFERROR(INDEX(TasksTable[End Date],MATCH(Z159,TasksTable[Task ID],0)),0)))</x:f>
        <x:v>0</x:v>
      </x:c>
      <x:c r="AF159" s="137" t="b">
        <x:f>IF(OR($A159="",AA159=0),FALSE,SWITCH($J159,"FS",$F159&lt;AE159,"SS",$F159&lt;AD159,"FF",$G159&lt;AE159,"SF",$G159&lt;AD159,TRUE))</x:f>
        <x:v>0</x:v>
      </x:c>
      <x:c r="AG159" s="137" t="str">
        <x:f>IF(AND($A159&lt;&gt;"",$K159="No",$N159&lt;&gt;"Completed",$F159&gt;=TODAY()),$F159+ROW()/100000,"")</x:f>
      </x:c>
      <x:c r="AH159" s="137" t="str">
        <x:f>IF(AND($A159&lt;&gt;"",$K159="Yes",$N159&lt;&gt;"Completed",$F159&gt;=TODAY()),$F159+ROW()/100000,"")</x:f>
      </x:c>
      <x:c r="AI159" s="137" t="str">
        <x:f>IF(AND($A159&lt;&gt;"",$K159="No",$N159&lt;&gt;"Completed",$G159&gt;=TODAY(),$G159&lt;=TODAY()+3),$G159+ROW()/100000,"")</x:f>
      </x:c>
      <x:c r="AJ159" s="137" t="str">
        <x:f>IF(AND($A159&lt;&gt;"",$K159="No",OR($N159="Delayed",$P159="Dependency conflict")),$G159+ROW()/100000,"")</x:f>
      </x:c>
      <x:c r="AK159" s="137" t="str">
        <x:f>IF(AG159="","",COUNTIFS($AG$7:$AG$206,"&gt;0",$AG$7:$AG$206,"&lt;"&amp;AG159)+1)</x:f>
      </x:c>
      <x:c r="AL159" s="137" t="str">
        <x:f>IF(AH159="","",COUNTIFS($AH$7:$AH$206,"&gt;0",$AH$7:$AH$206,"&lt;"&amp;AH159)+1)</x:f>
      </x:c>
      <x:c r="AM159" s="137" t="str">
        <x:f>IF(AI159="","",COUNTIFS($AI$7:$AI$206,"&gt;0",$AI$7:$AI$206,"&lt;"&amp;AI159)+1)</x:f>
      </x:c>
      <x:c r="AN159" s="137" t="str">
        <x:f>IF(AJ159="","",COUNTIFS($AJ$7:$AJ$206,"&gt;0",$AJ$7:$AJ$206,"&lt;"&amp;AJ159)+1)</x:f>
      </x:c>
    </x:row>
    <x:row r="160">
      <x:c r="T160" s="137" t="str">
        <x:f>IF($A160="","",TRIM(MID(SUBSTITUTE(SUBSTITUTE(TRIM($I160)," ",""),",",REPT(" ",100)),1,100)))</x:f>
      </x:c>
      <x:c r="U160" s="137" t="str">
        <x:f>IF($A160="","",TRIM(MID(SUBSTITUTE(SUBSTITUTE(TRIM($I160)," ",""),",",REPT(" ",100)),101,100)))</x:f>
      </x:c>
      <x:c r="V160" s="137" t="str">
        <x:f>IF($A160="","",TRIM(MID(SUBSTITUTE(SUBSTITUTE(TRIM($I160)," ",""),",",REPT(" ",100)),201,100)))</x:f>
      </x:c>
      <x:c r="W160" s="137" t="str">
        <x:f>IF($A160="","",TRIM(MID(SUBSTITUTE(SUBSTITUTE(TRIM($I160)," ",""),",",REPT(" ",100)),301,100)))</x:f>
      </x:c>
      <x:c r="X160" s="137" t="str">
        <x:f>IF($A160="","",TRIM(MID(SUBSTITUTE(SUBSTITUTE(TRIM($I160)," ",""),",",REPT(" ",100)),401,100)))</x:f>
      </x:c>
      <x:c r="Y160" s="137" t="str">
        <x:f>IF($A160="","",TRIM(MID(SUBSTITUTE(SUBSTITUTE(TRIM($I160)," ",""),",",REPT(" ",100)),501,100)))</x:f>
      </x:c>
      <x:c r="Z160" s="137" t="str">
        <x:f>IF($A160="","",TRIM(MID(SUBSTITUTE(SUBSTITUTE(TRIM($I160)," ",""),",",REPT(" ",100)),601,100)))</x:f>
      </x:c>
      <x:c r="AA160" s="137" t="str">
        <x:f>IF($A160="","",IF(SUBSTITUTE(TRIM($I160)," ","")="",0,1+LEN(SUBSTITUTE(TRIM($I160)," ",""))-LEN(SUBSTITUTE(SUBSTITUTE(TRIM($I160)," ",""),",",""))))</x:f>
      </x:c>
      <x:c r="AB160" s="137" t="str">
        <x:f>IF($A160="","",COUNTIF(TasksTable[Task ID],T160)+COUNTIF(TasksTable[Task ID],U160)+COUNTIF(TasksTable[Task ID],V160)+COUNTIF(TasksTable[Task ID],W160)+COUNTIF(TasksTable[Task ID],X160)+COUNTIF(TasksTable[Task ID],Y160)+COUNTIF(TasksTable[Task ID],Z160))</x:f>
      </x:c>
      <x:c r="AC160" s="137" t="b">
        <x:f>IF($A160="",FALSE,OR(T160=$A160,U160=$A160,V160=$A160,W160=$A160,X160=$A160,Y160=$A160,Z160=$A160))</x:f>
        <x:v>0</x:v>
      </x:c>
      <x:c r="AD160" s="144" t="n">
        <x:f>IF(AA160=0,0,MAX(IFERROR(INDEX(TasksTable[Start Date],MATCH(T160,TasksTable[Task ID],0)),0),IFERROR(INDEX(TasksTable[Start Date],MATCH(U160,TasksTable[Task ID],0)),0),IFERROR(INDEX(TasksTable[Start Date],MATCH(V160,TasksTable[Task ID],0)),0),IFERROR(INDEX(TasksTable[Start Date],MATCH(W160,TasksTable[Task ID],0)),0),IFERROR(INDEX(TasksTable[Start Date],MATCH(X160,TasksTable[Task ID],0)),0),IFERROR(INDEX(TasksTable[Start Date],MATCH(Y160,TasksTable[Task ID],0)),0),IFERROR(INDEX(TasksTable[Start Date],MATCH(Z160,TasksTable[Task ID],0)),0)))</x:f>
        <x:v>0</x:v>
      </x:c>
      <x:c r="AE160" s="144" t="n">
        <x:f>IF(AA160=0,0,MAX(IFERROR(INDEX(TasksTable[End Date],MATCH(T160,TasksTable[Task ID],0)),0),IFERROR(INDEX(TasksTable[End Date],MATCH(U160,TasksTable[Task ID],0)),0),IFERROR(INDEX(TasksTable[End Date],MATCH(V160,TasksTable[Task ID],0)),0),IFERROR(INDEX(TasksTable[End Date],MATCH(W160,TasksTable[Task ID],0)),0),IFERROR(INDEX(TasksTable[End Date],MATCH(X160,TasksTable[Task ID],0)),0),IFERROR(INDEX(TasksTable[End Date],MATCH(Y160,TasksTable[Task ID],0)),0),IFERROR(INDEX(TasksTable[End Date],MATCH(Z160,TasksTable[Task ID],0)),0)))</x:f>
        <x:v>0</x:v>
      </x:c>
      <x:c r="AF160" s="137" t="b">
        <x:f>IF(OR($A160="",AA160=0),FALSE,SWITCH($J160,"FS",$F160&lt;AE160,"SS",$F160&lt;AD160,"FF",$G160&lt;AE160,"SF",$G160&lt;AD160,TRUE))</x:f>
        <x:v>0</x:v>
      </x:c>
      <x:c r="AG160" s="137" t="str">
        <x:f>IF(AND($A160&lt;&gt;"",$K160="No",$N160&lt;&gt;"Completed",$F160&gt;=TODAY()),$F160+ROW()/100000,"")</x:f>
      </x:c>
      <x:c r="AH160" s="137" t="str">
        <x:f>IF(AND($A160&lt;&gt;"",$K160="Yes",$N160&lt;&gt;"Completed",$F160&gt;=TODAY()),$F160+ROW()/100000,"")</x:f>
      </x:c>
      <x:c r="AI160" s="137" t="str">
        <x:f>IF(AND($A160&lt;&gt;"",$K160="No",$N160&lt;&gt;"Completed",$G160&gt;=TODAY(),$G160&lt;=TODAY()+3),$G160+ROW()/100000,"")</x:f>
      </x:c>
      <x:c r="AJ160" s="137" t="str">
        <x:f>IF(AND($A160&lt;&gt;"",$K160="No",OR($N160="Delayed",$P160="Dependency conflict")),$G160+ROW()/100000,"")</x:f>
      </x:c>
      <x:c r="AK160" s="137" t="str">
        <x:f>IF(AG160="","",COUNTIFS($AG$7:$AG$206,"&gt;0",$AG$7:$AG$206,"&lt;"&amp;AG160)+1)</x:f>
      </x:c>
      <x:c r="AL160" s="137" t="str">
        <x:f>IF(AH160="","",COUNTIFS($AH$7:$AH$206,"&gt;0",$AH$7:$AH$206,"&lt;"&amp;AH160)+1)</x:f>
      </x:c>
      <x:c r="AM160" s="137" t="str">
        <x:f>IF(AI160="","",COUNTIFS($AI$7:$AI$206,"&gt;0",$AI$7:$AI$206,"&lt;"&amp;AI160)+1)</x:f>
      </x:c>
      <x:c r="AN160" s="137" t="str">
        <x:f>IF(AJ160="","",COUNTIFS($AJ$7:$AJ$206,"&gt;0",$AJ$7:$AJ$206,"&lt;"&amp;AJ160)+1)</x:f>
      </x:c>
    </x:row>
    <x:row r="161">
      <x:c r="T161" s="137" t="str">
        <x:f>IF($A161="","",TRIM(MID(SUBSTITUTE(SUBSTITUTE(TRIM($I161)," ",""),",",REPT(" ",100)),1,100)))</x:f>
      </x:c>
      <x:c r="U161" s="137" t="str">
        <x:f>IF($A161="","",TRIM(MID(SUBSTITUTE(SUBSTITUTE(TRIM($I161)," ",""),",",REPT(" ",100)),101,100)))</x:f>
      </x:c>
      <x:c r="V161" s="137" t="str">
        <x:f>IF($A161="","",TRIM(MID(SUBSTITUTE(SUBSTITUTE(TRIM($I161)," ",""),",",REPT(" ",100)),201,100)))</x:f>
      </x:c>
      <x:c r="W161" s="137" t="str">
        <x:f>IF($A161="","",TRIM(MID(SUBSTITUTE(SUBSTITUTE(TRIM($I161)," ",""),",",REPT(" ",100)),301,100)))</x:f>
      </x:c>
      <x:c r="X161" s="137" t="str">
        <x:f>IF($A161="","",TRIM(MID(SUBSTITUTE(SUBSTITUTE(TRIM($I161)," ",""),",",REPT(" ",100)),401,100)))</x:f>
      </x:c>
      <x:c r="Y161" s="137" t="str">
        <x:f>IF($A161="","",TRIM(MID(SUBSTITUTE(SUBSTITUTE(TRIM($I161)," ",""),",",REPT(" ",100)),501,100)))</x:f>
      </x:c>
      <x:c r="Z161" s="137" t="str">
        <x:f>IF($A161="","",TRIM(MID(SUBSTITUTE(SUBSTITUTE(TRIM($I161)," ",""),",",REPT(" ",100)),601,100)))</x:f>
      </x:c>
      <x:c r="AA161" s="137" t="str">
        <x:f>IF($A161="","",IF(SUBSTITUTE(TRIM($I161)," ","")="",0,1+LEN(SUBSTITUTE(TRIM($I161)," ",""))-LEN(SUBSTITUTE(SUBSTITUTE(TRIM($I161)," ",""),",",""))))</x:f>
      </x:c>
      <x:c r="AB161" s="137" t="str">
        <x:f>IF($A161="","",COUNTIF(TasksTable[Task ID],T161)+COUNTIF(TasksTable[Task ID],U161)+COUNTIF(TasksTable[Task ID],V161)+COUNTIF(TasksTable[Task ID],W161)+COUNTIF(TasksTable[Task ID],X161)+COUNTIF(TasksTable[Task ID],Y161)+COUNTIF(TasksTable[Task ID],Z161))</x:f>
      </x:c>
      <x:c r="AC161" s="137" t="b">
        <x:f>IF($A161="",FALSE,OR(T161=$A161,U161=$A161,V161=$A161,W161=$A161,X161=$A161,Y161=$A161,Z161=$A161))</x:f>
        <x:v>0</x:v>
      </x:c>
      <x:c r="AD161" s="144" t="n">
        <x:f>IF(AA161=0,0,MAX(IFERROR(INDEX(TasksTable[Start Date],MATCH(T161,TasksTable[Task ID],0)),0),IFERROR(INDEX(TasksTable[Start Date],MATCH(U161,TasksTable[Task ID],0)),0),IFERROR(INDEX(TasksTable[Start Date],MATCH(V161,TasksTable[Task ID],0)),0),IFERROR(INDEX(TasksTable[Start Date],MATCH(W161,TasksTable[Task ID],0)),0),IFERROR(INDEX(TasksTable[Start Date],MATCH(X161,TasksTable[Task ID],0)),0),IFERROR(INDEX(TasksTable[Start Date],MATCH(Y161,TasksTable[Task ID],0)),0),IFERROR(INDEX(TasksTable[Start Date],MATCH(Z161,TasksTable[Task ID],0)),0)))</x:f>
        <x:v>0</x:v>
      </x:c>
      <x:c r="AE161" s="144" t="n">
        <x:f>IF(AA161=0,0,MAX(IFERROR(INDEX(TasksTable[End Date],MATCH(T161,TasksTable[Task ID],0)),0),IFERROR(INDEX(TasksTable[End Date],MATCH(U161,TasksTable[Task ID],0)),0),IFERROR(INDEX(TasksTable[End Date],MATCH(V161,TasksTable[Task ID],0)),0),IFERROR(INDEX(TasksTable[End Date],MATCH(W161,TasksTable[Task ID],0)),0),IFERROR(INDEX(TasksTable[End Date],MATCH(X161,TasksTable[Task ID],0)),0),IFERROR(INDEX(TasksTable[End Date],MATCH(Y161,TasksTable[Task ID],0)),0),IFERROR(INDEX(TasksTable[End Date],MATCH(Z161,TasksTable[Task ID],0)),0)))</x:f>
        <x:v>0</x:v>
      </x:c>
      <x:c r="AF161" s="137" t="b">
        <x:f>IF(OR($A161="",AA161=0),FALSE,SWITCH($J161,"FS",$F161&lt;AE161,"SS",$F161&lt;AD161,"FF",$G161&lt;AE161,"SF",$G161&lt;AD161,TRUE))</x:f>
        <x:v>0</x:v>
      </x:c>
      <x:c r="AG161" s="137" t="str">
        <x:f>IF(AND($A161&lt;&gt;"",$K161="No",$N161&lt;&gt;"Completed",$F161&gt;=TODAY()),$F161+ROW()/100000,"")</x:f>
      </x:c>
      <x:c r="AH161" s="137" t="str">
        <x:f>IF(AND($A161&lt;&gt;"",$K161="Yes",$N161&lt;&gt;"Completed",$F161&gt;=TODAY()),$F161+ROW()/100000,"")</x:f>
      </x:c>
      <x:c r="AI161" s="137" t="str">
        <x:f>IF(AND($A161&lt;&gt;"",$K161="No",$N161&lt;&gt;"Completed",$G161&gt;=TODAY(),$G161&lt;=TODAY()+3),$G161+ROW()/100000,"")</x:f>
      </x:c>
      <x:c r="AJ161" s="137" t="str">
        <x:f>IF(AND($A161&lt;&gt;"",$K161="No",OR($N161="Delayed",$P161="Dependency conflict")),$G161+ROW()/100000,"")</x:f>
      </x:c>
      <x:c r="AK161" s="137" t="str">
        <x:f>IF(AG161="","",COUNTIFS($AG$7:$AG$206,"&gt;0",$AG$7:$AG$206,"&lt;"&amp;AG161)+1)</x:f>
      </x:c>
      <x:c r="AL161" s="137" t="str">
        <x:f>IF(AH161="","",COUNTIFS($AH$7:$AH$206,"&gt;0",$AH$7:$AH$206,"&lt;"&amp;AH161)+1)</x:f>
      </x:c>
      <x:c r="AM161" s="137" t="str">
        <x:f>IF(AI161="","",COUNTIFS($AI$7:$AI$206,"&gt;0",$AI$7:$AI$206,"&lt;"&amp;AI161)+1)</x:f>
      </x:c>
      <x:c r="AN161" s="137" t="str">
        <x:f>IF(AJ161="","",COUNTIFS($AJ$7:$AJ$206,"&gt;0",$AJ$7:$AJ$206,"&lt;"&amp;AJ161)+1)</x:f>
      </x:c>
    </x:row>
    <x:row r="162">
      <x:c r="T162" s="137" t="str">
        <x:f>IF($A162="","",TRIM(MID(SUBSTITUTE(SUBSTITUTE(TRIM($I162)," ",""),",",REPT(" ",100)),1,100)))</x:f>
      </x:c>
      <x:c r="U162" s="137" t="str">
        <x:f>IF($A162="","",TRIM(MID(SUBSTITUTE(SUBSTITUTE(TRIM($I162)," ",""),",",REPT(" ",100)),101,100)))</x:f>
      </x:c>
      <x:c r="V162" s="137" t="str">
        <x:f>IF($A162="","",TRIM(MID(SUBSTITUTE(SUBSTITUTE(TRIM($I162)," ",""),",",REPT(" ",100)),201,100)))</x:f>
      </x:c>
      <x:c r="W162" s="137" t="str">
        <x:f>IF($A162="","",TRIM(MID(SUBSTITUTE(SUBSTITUTE(TRIM($I162)," ",""),",",REPT(" ",100)),301,100)))</x:f>
      </x:c>
      <x:c r="X162" s="137" t="str">
        <x:f>IF($A162="","",TRIM(MID(SUBSTITUTE(SUBSTITUTE(TRIM($I162)," ",""),",",REPT(" ",100)),401,100)))</x:f>
      </x:c>
      <x:c r="Y162" s="137" t="str">
        <x:f>IF($A162="","",TRIM(MID(SUBSTITUTE(SUBSTITUTE(TRIM($I162)," ",""),",",REPT(" ",100)),501,100)))</x:f>
      </x:c>
      <x:c r="Z162" s="137" t="str">
        <x:f>IF($A162="","",TRIM(MID(SUBSTITUTE(SUBSTITUTE(TRIM($I162)," ",""),",",REPT(" ",100)),601,100)))</x:f>
      </x:c>
      <x:c r="AA162" s="137" t="str">
        <x:f>IF($A162="","",IF(SUBSTITUTE(TRIM($I162)," ","")="",0,1+LEN(SUBSTITUTE(TRIM($I162)," ",""))-LEN(SUBSTITUTE(SUBSTITUTE(TRIM($I162)," ",""),",",""))))</x:f>
      </x:c>
      <x:c r="AB162" s="137" t="str">
        <x:f>IF($A162="","",COUNTIF(TasksTable[Task ID],T162)+COUNTIF(TasksTable[Task ID],U162)+COUNTIF(TasksTable[Task ID],V162)+COUNTIF(TasksTable[Task ID],W162)+COUNTIF(TasksTable[Task ID],X162)+COUNTIF(TasksTable[Task ID],Y162)+COUNTIF(TasksTable[Task ID],Z162))</x:f>
      </x:c>
      <x:c r="AC162" s="137" t="b">
        <x:f>IF($A162="",FALSE,OR(T162=$A162,U162=$A162,V162=$A162,W162=$A162,X162=$A162,Y162=$A162,Z162=$A162))</x:f>
        <x:v>0</x:v>
      </x:c>
      <x:c r="AD162" s="144" t="n">
        <x:f>IF(AA162=0,0,MAX(IFERROR(INDEX(TasksTable[Start Date],MATCH(T162,TasksTable[Task ID],0)),0),IFERROR(INDEX(TasksTable[Start Date],MATCH(U162,TasksTable[Task ID],0)),0),IFERROR(INDEX(TasksTable[Start Date],MATCH(V162,TasksTable[Task ID],0)),0),IFERROR(INDEX(TasksTable[Start Date],MATCH(W162,TasksTable[Task ID],0)),0),IFERROR(INDEX(TasksTable[Start Date],MATCH(X162,TasksTable[Task ID],0)),0),IFERROR(INDEX(TasksTable[Start Date],MATCH(Y162,TasksTable[Task ID],0)),0),IFERROR(INDEX(TasksTable[Start Date],MATCH(Z162,TasksTable[Task ID],0)),0)))</x:f>
        <x:v>0</x:v>
      </x:c>
      <x:c r="AE162" s="144" t="n">
        <x:f>IF(AA162=0,0,MAX(IFERROR(INDEX(TasksTable[End Date],MATCH(T162,TasksTable[Task ID],0)),0),IFERROR(INDEX(TasksTable[End Date],MATCH(U162,TasksTable[Task ID],0)),0),IFERROR(INDEX(TasksTable[End Date],MATCH(V162,TasksTable[Task ID],0)),0),IFERROR(INDEX(TasksTable[End Date],MATCH(W162,TasksTable[Task ID],0)),0),IFERROR(INDEX(TasksTable[End Date],MATCH(X162,TasksTable[Task ID],0)),0),IFERROR(INDEX(TasksTable[End Date],MATCH(Y162,TasksTable[Task ID],0)),0),IFERROR(INDEX(TasksTable[End Date],MATCH(Z162,TasksTable[Task ID],0)),0)))</x:f>
        <x:v>0</x:v>
      </x:c>
      <x:c r="AF162" s="137" t="b">
        <x:f>IF(OR($A162="",AA162=0),FALSE,SWITCH($J162,"FS",$F162&lt;AE162,"SS",$F162&lt;AD162,"FF",$G162&lt;AE162,"SF",$G162&lt;AD162,TRUE))</x:f>
        <x:v>0</x:v>
      </x:c>
      <x:c r="AG162" s="137" t="str">
        <x:f>IF(AND($A162&lt;&gt;"",$K162="No",$N162&lt;&gt;"Completed",$F162&gt;=TODAY()),$F162+ROW()/100000,"")</x:f>
      </x:c>
      <x:c r="AH162" s="137" t="str">
        <x:f>IF(AND($A162&lt;&gt;"",$K162="Yes",$N162&lt;&gt;"Completed",$F162&gt;=TODAY()),$F162+ROW()/100000,"")</x:f>
      </x:c>
      <x:c r="AI162" s="137" t="str">
        <x:f>IF(AND($A162&lt;&gt;"",$K162="No",$N162&lt;&gt;"Completed",$G162&gt;=TODAY(),$G162&lt;=TODAY()+3),$G162+ROW()/100000,"")</x:f>
      </x:c>
      <x:c r="AJ162" s="137" t="str">
        <x:f>IF(AND($A162&lt;&gt;"",$K162="No",OR($N162="Delayed",$P162="Dependency conflict")),$G162+ROW()/100000,"")</x:f>
      </x:c>
      <x:c r="AK162" s="137" t="str">
        <x:f>IF(AG162="","",COUNTIFS($AG$7:$AG$206,"&gt;0",$AG$7:$AG$206,"&lt;"&amp;AG162)+1)</x:f>
      </x:c>
      <x:c r="AL162" s="137" t="str">
        <x:f>IF(AH162="","",COUNTIFS($AH$7:$AH$206,"&gt;0",$AH$7:$AH$206,"&lt;"&amp;AH162)+1)</x:f>
      </x:c>
      <x:c r="AM162" s="137" t="str">
        <x:f>IF(AI162="","",COUNTIFS($AI$7:$AI$206,"&gt;0",$AI$7:$AI$206,"&lt;"&amp;AI162)+1)</x:f>
      </x:c>
      <x:c r="AN162" s="137" t="str">
        <x:f>IF(AJ162="","",COUNTIFS($AJ$7:$AJ$206,"&gt;0",$AJ$7:$AJ$206,"&lt;"&amp;AJ162)+1)</x:f>
      </x:c>
    </x:row>
    <x:row r="163">
      <x:c r="T163" s="137" t="str">
        <x:f>IF($A163="","",TRIM(MID(SUBSTITUTE(SUBSTITUTE(TRIM($I163)," ",""),",",REPT(" ",100)),1,100)))</x:f>
      </x:c>
      <x:c r="U163" s="137" t="str">
        <x:f>IF($A163="","",TRIM(MID(SUBSTITUTE(SUBSTITUTE(TRIM($I163)," ",""),",",REPT(" ",100)),101,100)))</x:f>
      </x:c>
      <x:c r="V163" s="137" t="str">
        <x:f>IF($A163="","",TRIM(MID(SUBSTITUTE(SUBSTITUTE(TRIM($I163)," ",""),",",REPT(" ",100)),201,100)))</x:f>
      </x:c>
      <x:c r="W163" s="137" t="str">
        <x:f>IF($A163="","",TRIM(MID(SUBSTITUTE(SUBSTITUTE(TRIM($I163)," ",""),",",REPT(" ",100)),301,100)))</x:f>
      </x:c>
      <x:c r="X163" s="137" t="str">
        <x:f>IF($A163="","",TRIM(MID(SUBSTITUTE(SUBSTITUTE(TRIM($I163)," ",""),",",REPT(" ",100)),401,100)))</x:f>
      </x:c>
      <x:c r="Y163" s="137" t="str">
        <x:f>IF($A163="","",TRIM(MID(SUBSTITUTE(SUBSTITUTE(TRIM($I163)," ",""),",",REPT(" ",100)),501,100)))</x:f>
      </x:c>
      <x:c r="Z163" s="137" t="str">
        <x:f>IF($A163="","",TRIM(MID(SUBSTITUTE(SUBSTITUTE(TRIM($I163)," ",""),",",REPT(" ",100)),601,100)))</x:f>
      </x:c>
      <x:c r="AA163" s="137" t="str">
        <x:f>IF($A163="","",IF(SUBSTITUTE(TRIM($I163)," ","")="",0,1+LEN(SUBSTITUTE(TRIM($I163)," ",""))-LEN(SUBSTITUTE(SUBSTITUTE(TRIM($I163)," ",""),",",""))))</x:f>
      </x:c>
      <x:c r="AB163" s="137" t="str">
        <x:f>IF($A163="","",COUNTIF(TasksTable[Task ID],T163)+COUNTIF(TasksTable[Task ID],U163)+COUNTIF(TasksTable[Task ID],V163)+COUNTIF(TasksTable[Task ID],W163)+COUNTIF(TasksTable[Task ID],X163)+COUNTIF(TasksTable[Task ID],Y163)+COUNTIF(TasksTable[Task ID],Z163))</x:f>
      </x:c>
      <x:c r="AC163" s="137" t="b">
        <x:f>IF($A163="",FALSE,OR(T163=$A163,U163=$A163,V163=$A163,W163=$A163,X163=$A163,Y163=$A163,Z163=$A163))</x:f>
        <x:v>0</x:v>
      </x:c>
      <x:c r="AD163" s="144" t="n">
        <x:f>IF(AA163=0,0,MAX(IFERROR(INDEX(TasksTable[Start Date],MATCH(T163,TasksTable[Task ID],0)),0),IFERROR(INDEX(TasksTable[Start Date],MATCH(U163,TasksTable[Task ID],0)),0),IFERROR(INDEX(TasksTable[Start Date],MATCH(V163,TasksTable[Task ID],0)),0),IFERROR(INDEX(TasksTable[Start Date],MATCH(W163,TasksTable[Task ID],0)),0),IFERROR(INDEX(TasksTable[Start Date],MATCH(X163,TasksTable[Task ID],0)),0),IFERROR(INDEX(TasksTable[Start Date],MATCH(Y163,TasksTable[Task ID],0)),0),IFERROR(INDEX(TasksTable[Start Date],MATCH(Z163,TasksTable[Task ID],0)),0)))</x:f>
        <x:v>0</x:v>
      </x:c>
      <x:c r="AE163" s="144" t="n">
        <x:f>IF(AA163=0,0,MAX(IFERROR(INDEX(TasksTable[End Date],MATCH(T163,TasksTable[Task ID],0)),0),IFERROR(INDEX(TasksTable[End Date],MATCH(U163,TasksTable[Task ID],0)),0),IFERROR(INDEX(TasksTable[End Date],MATCH(V163,TasksTable[Task ID],0)),0),IFERROR(INDEX(TasksTable[End Date],MATCH(W163,TasksTable[Task ID],0)),0),IFERROR(INDEX(TasksTable[End Date],MATCH(X163,TasksTable[Task ID],0)),0),IFERROR(INDEX(TasksTable[End Date],MATCH(Y163,TasksTable[Task ID],0)),0),IFERROR(INDEX(TasksTable[End Date],MATCH(Z163,TasksTable[Task ID],0)),0)))</x:f>
        <x:v>0</x:v>
      </x:c>
      <x:c r="AF163" s="137" t="b">
        <x:f>IF(OR($A163="",AA163=0),FALSE,SWITCH($J163,"FS",$F163&lt;AE163,"SS",$F163&lt;AD163,"FF",$G163&lt;AE163,"SF",$G163&lt;AD163,TRUE))</x:f>
        <x:v>0</x:v>
      </x:c>
      <x:c r="AG163" s="137" t="str">
        <x:f>IF(AND($A163&lt;&gt;"",$K163="No",$N163&lt;&gt;"Completed",$F163&gt;=TODAY()),$F163+ROW()/100000,"")</x:f>
      </x:c>
      <x:c r="AH163" s="137" t="str">
        <x:f>IF(AND($A163&lt;&gt;"",$K163="Yes",$N163&lt;&gt;"Completed",$F163&gt;=TODAY()),$F163+ROW()/100000,"")</x:f>
      </x:c>
      <x:c r="AI163" s="137" t="str">
        <x:f>IF(AND($A163&lt;&gt;"",$K163="No",$N163&lt;&gt;"Completed",$G163&gt;=TODAY(),$G163&lt;=TODAY()+3),$G163+ROW()/100000,"")</x:f>
      </x:c>
      <x:c r="AJ163" s="137" t="str">
        <x:f>IF(AND($A163&lt;&gt;"",$K163="No",OR($N163="Delayed",$P163="Dependency conflict")),$G163+ROW()/100000,"")</x:f>
      </x:c>
      <x:c r="AK163" s="137" t="str">
        <x:f>IF(AG163="","",COUNTIFS($AG$7:$AG$206,"&gt;0",$AG$7:$AG$206,"&lt;"&amp;AG163)+1)</x:f>
      </x:c>
      <x:c r="AL163" s="137" t="str">
        <x:f>IF(AH163="","",COUNTIFS($AH$7:$AH$206,"&gt;0",$AH$7:$AH$206,"&lt;"&amp;AH163)+1)</x:f>
      </x:c>
      <x:c r="AM163" s="137" t="str">
        <x:f>IF(AI163="","",COUNTIFS($AI$7:$AI$206,"&gt;0",$AI$7:$AI$206,"&lt;"&amp;AI163)+1)</x:f>
      </x:c>
      <x:c r="AN163" s="137" t="str">
        <x:f>IF(AJ163="","",COUNTIFS($AJ$7:$AJ$206,"&gt;0",$AJ$7:$AJ$206,"&lt;"&amp;AJ163)+1)</x:f>
      </x:c>
    </x:row>
    <x:row r="164">
      <x:c r="T164" s="137" t="str">
        <x:f>IF($A164="","",TRIM(MID(SUBSTITUTE(SUBSTITUTE(TRIM($I164)," ",""),",",REPT(" ",100)),1,100)))</x:f>
      </x:c>
      <x:c r="U164" s="137" t="str">
        <x:f>IF($A164="","",TRIM(MID(SUBSTITUTE(SUBSTITUTE(TRIM($I164)," ",""),",",REPT(" ",100)),101,100)))</x:f>
      </x:c>
      <x:c r="V164" s="137" t="str">
        <x:f>IF($A164="","",TRIM(MID(SUBSTITUTE(SUBSTITUTE(TRIM($I164)," ",""),",",REPT(" ",100)),201,100)))</x:f>
      </x:c>
      <x:c r="W164" s="137" t="str">
        <x:f>IF($A164="","",TRIM(MID(SUBSTITUTE(SUBSTITUTE(TRIM($I164)," ",""),",",REPT(" ",100)),301,100)))</x:f>
      </x:c>
      <x:c r="X164" s="137" t="str">
        <x:f>IF($A164="","",TRIM(MID(SUBSTITUTE(SUBSTITUTE(TRIM($I164)," ",""),",",REPT(" ",100)),401,100)))</x:f>
      </x:c>
      <x:c r="Y164" s="137" t="str">
        <x:f>IF($A164="","",TRIM(MID(SUBSTITUTE(SUBSTITUTE(TRIM($I164)," ",""),",",REPT(" ",100)),501,100)))</x:f>
      </x:c>
      <x:c r="Z164" s="137" t="str">
        <x:f>IF($A164="","",TRIM(MID(SUBSTITUTE(SUBSTITUTE(TRIM($I164)," ",""),",",REPT(" ",100)),601,100)))</x:f>
      </x:c>
      <x:c r="AA164" s="137" t="str">
        <x:f>IF($A164="","",IF(SUBSTITUTE(TRIM($I164)," ","")="",0,1+LEN(SUBSTITUTE(TRIM($I164)," ",""))-LEN(SUBSTITUTE(SUBSTITUTE(TRIM($I164)," ",""),",",""))))</x:f>
      </x:c>
      <x:c r="AB164" s="137" t="str">
        <x:f>IF($A164="","",COUNTIF(TasksTable[Task ID],T164)+COUNTIF(TasksTable[Task ID],U164)+COUNTIF(TasksTable[Task ID],V164)+COUNTIF(TasksTable[Task ID],W164)+COUNTIF(TasksTable[Task ID],X164)+COUNTIF(TasksTable[Task ID],Y164)+COUNTIF(TasksTable[Task ID],Z164))</x:f>
      </x:c>
      <x:c r="AC164" s="137" t="b">
        <x:f>IF($A164="",FALSE,OR(T164=$A164,U164=$A164,V164=$A164,W164=$A164,X164=$A164,Y164=$A164,Z164=$A164))</x:f>
        <x:v>0</x:v>
      </x:c>
      <x:c r="AD164" s="144" t="n">
        <x:f>IF(AA164=0,0,MAX(IFERROR(INDEX(TasksTable[Start Date],MATCH(T164,TasksTable[Task ID],0)),0),IFERROR(INDEX(TasksTable[Start Date],MATCH(U164,TasksTable[Task ID],0)),0),IFERROR(INDEX(TasksTable[Start Date],MATCH(V164,TasksTable[Task ID],0)),0),IFERROR(INDEX(TasksTable[Start Date],MATCH(W164,TasksTable[Task ID],0)),0),IFERROR(INDEX(TasksTable[Start Date],MATCH(X164,TasksTable[Task ID],0)),0),IFERROR(INDEX(TasksTable[Start Date],MATCH(Y164,TasksTable[Task ID],0)),0),IFERROR(INDEX(TasksTable[Start Date],MATCH(Z164,TasksTable[Task ID],0)),0)))</x:f>
        <x:v>0</x:v>
      </x:c>
      <x:c r="AE164" s="144" t="n">
        <x:f>IF(AA164=0,0,MAX(IFERROR(INDEX(TasksTable[End Date],MATCH(T164,TasksTable[Task ID],0)),0),IFERROR(INDEX(TasksTable[End Date],MATCH(U164,TasksTable[Task ID],0)),0),IFERROR(INDEX(TasksTable[End Date],MATCH(V164,TasksTable[Task ID],0)),0),IFERROR(INDEX(TasksTable[End Date],MATCH(W164,TasksTable[Task ID],0)),0),IFERROR(INDEX(TasksTable[End Date],MATCH(X164,TasksTable[Task ID],0)),0),IFERROR(INDEX(TasksTable[End Date],MATCH(Y164,TasksTable[Task ID],0)),0),IFERROR(INDEX(TasksTable[End Date],MATCH(Z164,TasksTable[Task ID],0)),0)))</x:f>
        <x:v>0</x:v>
      </x:c>
      <x:c r="AF164" s="137" t="b">
        <x:f>IF(OR($A164="",AA164=0),FALSE,SWITCH($J164,"FS",$F164&lt;AE164,"SS",$F164&lt;AD164,"FF",$G164&lt;AE164,"SF",$G164&lt;AD164,TRUE))</x:f>
        <x:v>0</x:v>
      </x:c>
      <x:c r="AG164" s="137" t="str">
        <x:f>IF(AND($A164&lt;&gt;"",$K164="No",$N164&lt;&gt;"Completed",$F164&gt;=TODAY()),$F164+ROW()/100000,"")</x:f>
      </x:c>
      <x:c r="AH164" s="137" t="str">
        <x:f>IF(AND($A164&lt;&gt;"",$K164="Yes",$N164&lt;&gt;"Completed",$F164&gt;=TODAY()),$F164+ROW()/100000,"")</x:f>
      </x:c>
      <x:c r="AI164" s="137" t="str">
        <x:f>IF(AND($A164&lt;&gt;"",$K164="No",$N164&lt;&gt;"Completed",$G164&gt;=TODAY(),$G164&lt;=TODAY()+3),$G164+ROW()/100000,"")</x:f>
      </x:c>
      <x:c r="AJ164" s="137" t="str">
        <x:f>IF(AND($A164&lt;&gt;"",$K164="No",OR($N164="Delayed",$P164="Dependency conflict")),$G164+ROW()/100000,"")</x:f>
      </x:c>
      <x:c r="AK164" s="137" t="str">
        <x:f>IF(AG164="","",COUNTIFS($AG$7:$AG$206,"&gt;0",$AG$7:$AG$206,"&lt;"&amp;AG164)+1)</x:f>
      </x:c>
      <x:c r="AL164" s="137" t="str">
        <x:f>IF(AH164="","",COUNTIFS($AH$7:$AH$206,"&gt;0",$AH$7:$AH$206,"&lt;"&amp;AH164)+1)</x:f>
      </x:c>
      <x:c r="AM164" s="137" t="str">
        <x:f>IF(AI164="","",COUNTIFS($AI$7:$AI$206,"&gt;0",$AI$7:$AI$206,"&lt;"&amp;AI164)+1)</x:f>
      </x:c>
      <x:c r="AN164" s="137" t="str">
        <x:f>IF(AJ164="","",COUNTIFS($AJ$7:$AJ$206,"&gt;0",$AJ$7:$AJ$206,"&lt;"&amp;AJ164)+1)</x:f>
      </x:c>
    </x:row>
    <x:row r="165">
      <x:c r="T165" s="137" t="str">
        <x:f>IF($A165="","",TRIM(MID(SUBSTITUTE(SUBSTITUTE(TRIM($I165)," ",""),",",REPT(" ",100)),1,100)))</x:f>
      </x:c>
      <x:c r="U165" s="137" t="str">
        <x:f>IF($A165="","",TRIM(MID(SUBSTITUTE(SUBSTITUTE(TRIM($I165)," ",""),",",REPT(" ",100)),101,100)))</x:f>
      </x:c>
      <x:c r="V165" s="137" t="str">
        <x:f>IF($A165="","",TRIM(MID(SUBSTITUTE(SUBSTITUTE(TRIM($I165)," ",""),",",REPT(" ",100)),201,100)))</x:f>
      </x:c>
      <x:c r="W165" s="137" t="str">
        <x:f>IF($A165="","",TRIM(MID(SUBSTITUTE(SUBSTITUTE(TRIM($I165)," ",""),",",REPT(" ",100)),301,100)))</x:f>
      </x:c>
      <x:c r="X165" s="137" t="str">
        <x:f>IF($A165="","",TRIM(MID(SUBSTITUTE(SUBSTITUTE(TRIM($I165)," ",""),",",REPT(" ",100)),401,100)))</x:f>
      </x:c>
      <x:c r="Y165" s="137" t="str">
        <x:f>IF($A165="","",TRIM(MID(SUBSTITUTE(SUBSTITUTE(TRIM($I165)," ",""),",",REPT(" ",100)),501,100)))</x:f>
      </x:c>
      <x:c r="Z165" s="137" t="str">
        <x:f>IF($A165="","",TRIM(MID(SUBSTITUTE(SUBSTITUTE(TRIM($I165)," ",""),",",REPT(" ",100)),601,100)))</x:f>
      </x:c>
      <x:c r="AA165" s="137" t="str">
        <x:f>IF($A165="","",IF(SUBSTITUTE(TRIM($I165)," ","")="",0,1+LEN(SUBSTITUTE(TRIM($I165)," ",""))-LEN(SUBSTITUTE(SUBSTITUTE(TRIM($I165)," ",""),",",""))))</x:f>
      </x:c>
      <x:c r="AB165" s="137" t="str">
        <x:f>IF($A165="","",COUNTIF(TasksTable[Task ID],T165)+COUNTIF(TasksTable[Task ID],U165)+COUNTIF(TasksTable[Task ID],V165)+COUNTIF(TasksTable[Task ID],W165)+COUNTIF(TasksTable[Task ID],X165)+COUNTIF(TasksTable[Task ID],Y165)+COUNTIF(TasksTable[Task ID],Z165))</x:f>
      </x:c>
      <x:c r="AC165" s="137" t="b">
        <x:f>IF($A165="",FALSE,OR(T165=$A165,U165=$A165,V165=$A165,W165=$A165,X165=$A165,Y165=$A165,Z165=$A165))</x:f>
        <x:v>0</x:v>
      </x:c>
      <x:c r="AD165" s="144" t="n">
        <x:f>IF(AA165=0,0,MAX(IFERROR(INDEX(TasksTable[Start Date],MATCH(T165,TasksTable[Task ID],0)),0),IFERROR(INDEX(TasksTable[Start Date],MATCH(U165,TasksTable[Task ID],0)),0),IFERROR(INDEX(TasksTable[Start Date],MATCH(V165,TasksTable[Task ID],0)),0),IFERROR(INDEX(TasksTable[Start Date],MATCH(W165,TasksTable[Task ID],0)),0),IFERROR(INDEX(TasksTable[Start Date],MATCH(X165,TasksTable[Task ID],0)),0),IFERROR(INDEX(TasksTable[Start Date],MATCH(Y165,TasksTable[Task ID],0)),0),IFERROR(INDEX(TasksTable[Start Date],MATCH(Z165,TasksTable[Task ID],0)),0)))</x:f>
        <x:v>0</x:v>
      </x:c>
      <x:c r="AE165" s="144" t="n">
        <x:f>IF(AA165=0,0,MAX(IFERROR(INDEX(TasksTable[End Date],MATCH(T165,TasksTable[Task ID],0)),0),IFERROR(INDEX(TasksTable[End Date],MATCH(U165,TasksTable[Task ID],0)),0),IFERROR(INDEX(TasksTable[End Date],MATCH(V165,TasksTable[Task ID],0)),0),IFERROR(INDEX(TasksTable[End Date],MATCH(W165,TasksTable[Task ID],0)),0),IFERROR(INDEX(TasksTable[End Date],MATCH(X165,TasksTable[Task ID],0)),0),IFERROR(INDEX(TasksTable[End Date],MATCH(Y165,TasksTable[Task ID],0)),0),IFERROR(INDEX(TasksTable[End Date],MATCH(Z165,TasksTable[Task ID],0)),0)))</x:f>
        <x:v>0</x:v>
      </x:c>
      <x:c r="AF165" s="137" t="b">
        <x:f>IF(OR($A165="",AA165=0),FALSE,SWITCH($J165,"FS",$F165&lt;AE165,"SS",$F165&lt;AD165,"FF",$G165&lt;AE165,"SF",$G165&lt;AD165,TRUE))</x:f>
        <x:v>0</x:v>
      </x:c>
      <x:c r="AG165" s="137" t="str">
        <x:f>IF(AND($A165&lt;&gt;"",$K165="No",$N165&lt;&gt;"Completed",$F165&gt;=TODAY()),$F165+ROW()/100000,"")</x:f>
      </x:c>
      <x:c r="AH165" s="137" t="str">
        <x:f>IF(AND($A165&lt;&gt;"",$K165="Yes",$N165&lt;&gt;"Completed",$F165&gt;=TODAY()),$F165+ROW()/100000,"")</x:f>
      </x:c>
      <x:c r="AI165" s="137" t="str">
        <x:f>IF(AND($A165&lt;&gt;"",$K165="No",$N165&lt;&gt;"Completed",$G165&gt;=TODAY(),$G165&lt;=TODAY()+3),$G165+ROW()/100000,"")</x:f>
      </x:c>
      <x:c r="AJ165" s="137" t="str">
        <x:f>IF(AND($A165&lt;&gt;"",$K165="No",OR($N165="Delayed",$P165="Dependency conflict")),$G165+ROW()/100000,"")</x:f>
      </x:c>
      <x:c r="AK165" s="137" t="str">
        <x:f>IF(AG165="","",COUNTIFS($AG$7:$AG$206,"&gt;0",$AG$7:$AG$206,"&lt;"&amp;AG165)+1)</x:f>
      </x:c>
      <x:c r="AL165" s="137" t="str">
        <x:f>IF(AH165="","",COUNTIFS($AH$7:$AH$206,"&gt;0",$AH$7:$AH$206,"&lt;"&amp;AH165)+1)</x:f>
      </x:c>
      <x:c r="AM165" s="137" t="str">
        <x:f>IF(AI165="","",COUNTIFS($AI$7:$AI$206,"&gt;0",$AI$7:$AI$206,"&lt;"&amp;AI165)+1)</x:f>
      </x:c>
      <x:c r="AN165" s="137" t="str">
        <x:f>IF(AJ165="","",COUNTIFS($AJ$7:$AJ$206,"&gt;0",$AJ$7:$AJ$206,"&lt;"&amp;AJ165)+1)</x:f>
      </x:c>
    </x:row>
    <x:row r="166">
      <x:c r="T166" s="137" t="str">
        <x:f>IF($A166="","",TRIM(MID(SUBSTITUTE(SUBSTITUTE(TRIM($I166)," ",""),",",REPT(" ",100)),1,100)))</x:f>
      </x:c>
      <x:c r="U166" s="137" t="str">
        <x:f>IF($A166="","",TRIM(MID(SUBSTITUTE(SUBSTITUTE(TRIM($I166)," ",""),",",REPT(" ",100)),101,100)))</x:f>
      </x:c>
      <x:c r="V166" s="137" t="str">
        <x:f>IF($A166="","",TRIM(MID(SUBSTITUTE(SUBSTITUTE(TRIM($I166)," ",""),",",REPT(" ",100)),201,100)))</x:f>
      </x:c>
      <x:c r="W166" s="137" t="str">
        <x:f>IF($A166="","",TRIM(MID(SUBSTITUTE(SUBSTITUTE(TRIM($I166)," ",""),",",REPT(" ",100)),301,100)))</x:f>
      </x:c>
      <x:c r="X166" s="137" t="str">
        <x:f>IF($A166="","",TRIM(MID(SUBSTITUTE(SUBSTITUTE(TRIM($I166)," ",""),",",REPT(" ",100)),401,100)))</x:f>
      </x:c>
      <x:c r="Y166" s="137" t="str">
        <x:f>IF($A166="","",TRIM(MID(SUBSTITUTE(SUBSTITUTE(TRIM($I166)," ",""),",",REPT(" ",100)),501,100)))</x:f>
      </x:c>
      <x:c r="Z166" s="137" t="str">
        <x:f>IF($A166="","",TRIM(MID(SUBSTITUTE(SUBSTITUTE(TRIM($I166)," ",""),",",REPT(" ",100)),601,100)))</x:f>
      </x:c>
      <x:c r="AA166" s="137" t="str">
        <x:f>IF($A166="","",IF(SUBSTITUTE(TRIM($I166)," ","")="",0,1+LEN(SUBSTITUTE(TRIM($I166)," ",""))-LEN(SUBSTITUTE(SUBSTITUTE(TRIM($I166)," ",""),",",""))))</x:f>
      </x:c>
      <x:c r="AB166" s="137" t="str">
        <x:f>IF($A166="","",COUNTIF(TasksTable[Task ID],T166)+COUNTIF(TasksTable[Task ID],U166)+COUNTIF(TasksTable[Task ID],V166)+COUNTIF(TasksTable[Task ID],W166)+COUNTIF(TasksTable[Task ID],X166)+COUNTIF(TasksTable[Task ID],Y166)+COUNTIF(TasksTable[Task ID],Z166))</x:f>
      </x:c>
      <x:c r="AC166" s="137" t="b">
        <x:f>IF($A166="",FALSE,OR(T166=$A166,U166=$A166,V166=$A166,W166=$A166,X166=$A166,Y166=$A166,Z166=$A166))</x:f>
        <x:v>0</x:v>
      </x:c>
      <x:c r="AD166" s="144" t="n">
        <x:f>IF(AA166=0,0,MAX(IFERROR(INDEX(TasksTable[Start Date],MATCH(T166,TasksTable[Task ID],0)),0),IFERROR(INDEX(TasksTable[Start Date],MATCH(U166,TasksTable[Task ID],0)),0),IFERROR(INDEX(TasksTable[Start Date],MATCH(V166,TasksTable[Task ID],0)),0),IFERROR(INDEX(TasksTable[Start Date],MATCH(W166,TasksTable[Task ID],0)),0),IFERROR(INDEX(TasksTable[Start Date],MATCH(X166,TasksTable[Task ID],0)),0),IFERROR(INDEX(TasksTable[Start Date],MATCH(Y166,TasksTable[Task ID],0)),0),IFERROR(INDEX(TasksTable[Start Date],MATCH(Z166,TasksTable[Task ID],0)),0)))</x:f>
        <x:v>0</x:v>
      </x:c>
      <x:c r="AE166" s="144" t="n">
        <x:f>IF(AA166=0,0,MAX(IFERROR(INDEX(TasksTable[End Date],MATCH(T166,TasksTable[Task ID],0)),0),IFERROR(INDEX(TasksTable[End Date],MATCH(U166,TasksTable[Task ID],0)),0),IFERROR(INDEX(TasksTable[End Date],MATCH(V166,TasksTable[Task ID],0)),0),IFERROR(INDEX(TasksTable[End Date],MATCH(W166,TasksTable[Task ID],0)),0),IFERROR(INDEX(TasksTable[End Date],MATCH(X166,TasksTable[Task ID],0)),0),IFERROR(INDEX(TasksTable[End Date],MATCH(Y166,TasksTable[Task ID],0)),0),IFERROR(INDEX(TasksTable[End Date],MATCH(Z166,TasksTable[Task ID],0)),0)))</x:f>
        <x:v>0</x:v>
      </x:c>
      <x:c r="AF166" s="137" t="b">
        <x:f>IF(OR($A166="",AA166=0),FALSE,SWITCH($J166,"FS",$F166&lt;AE166,"SS",$F166&lt;AD166,"FF",$G166&lt;AE166,"SF",$G166&lt;AD166,TRUE))</x:f>
        <x:v>0</x:v>
      </x:c>
      <x:c r="AG166" s="137" t="str">
        <x:f>IF(AND($A166&lt;&gt;"",$K166="No",$N166&lt;&gt;"Completed",$F166&gt;=TODAY()),$F166+ROW()/100000,"")</x:f>
      </x:c>
      <x:c r="AH166" s="137" t="str">
        <x:f>IF(AND($A166&lt;&gt;"",$K166="Yes",$N166&lt;&gt;"Completed",$F166&gt;=TODAY()),$F166+ROW()/100000,"")</x:f>
      </x:c>
      <x:c r="AI166" s="137" t="str">
        <x:f>IF(AND($A166&lt;&gt;"",$K166="No",$N166&lt;&gt;"Completed",$G166&gt;=TODAY(),$G166&lt;=TODAY()+3),$G166+ROW()/100000,"")</x:f>
      </x:c>
      <x:c r="AJ166" s="137" t="str">
        <x:f>IF(AND($A166&lt;&gt;"",$K166="No",OR($N166="Delayed",$P166="Dependency conflict")),$G166+ROW()/100000,"")</x:f>
      </x:c>
      <x:c r="AK166" s="137" t="str">
        <x:f>IF(AG166="","",COUNTIFS($AG$7:$AG$206,"&gt;0",$AG$7:$AG$206,"&lt;"&amp;AG166)+1)</x:f>
      </x:c>
      <x:c r="AL166" s="137" t="str">
        <x:f>IF(AH166="","",COUNTIFS($AH$7:$AH$206,"&gt;0",$AH$7:$AH$206,"&lt;"&amp;AH166)+1)</x:f>
      </x:c>
      <x:c r="AM166" s="137" t="str">
        <x:f>IF(AI166="","",COUNTIFS($AI$7:$AI$206,"&gt;0",$AI$7:$AI$206,"&lt;"&amp;AI166)+1)</x:f>
      </x:c>
      <x:c r="AN166" s="137" t="str">
        <x:f>IF(AJ166="","",COUNTIFS($AJ$7:$AJ$206,"&gt;0",$AJ$7:$AJ$206,"&lt;"&amp;AJ166)+1)</x:f>
      </x:c>
    </x:row>
    <x:row r="167">
      <x:c r="T167" s="137" t="str">
        <x:f>IF($A167="","",TRIM(MID(SUBSTITUTE(SUBSTITUTE(TRIM($I167)," ",""),",",REPT(" ",100)),1,100)))</x:f>
      </x:c>
      <x:c r="U167" s="137" t="str">
        <x:f>IF($A167="","",TRIM(MID(SUBSTITUTE(SUBSTITUTE(TRIM($I167)," ",""),",",REPT(" ",100)),101,100)))</x:f>
      </x:c>
      <x:c r="V167" s="137" t="str">
        <x:f>IF($A167="","",TRIM(MID(SUBSTITUTE(SUBSTITUTE(TRIM($I167)," ",""),",",REPT(" ",100)),201,100)))</x:f>
      </x:c>
      <x:c r="W167" s="137" t="str">
        <x:f>IF($A167="","",TRIM(MID(SUBSTITUTE(SUBSTITUTE(TRIM($I167)," ",""),",",REPT(" ",100)),301,100)))</x:f>
      </x:c>
      <x:c r="X167" s="137" t="str">
        <x:f>IF($A167="","",TRIM(MID(SUBSTITUTE(SUBSTITUTE(TRIM($I167)," ",""),",",REPT(" ",100)),401,100)))</x:f>
      </x:c>
      <x:c r="Y167" s="137" t="str">
        <x:f>IF($A167="","",TRIM(MID(SUBSTITUTE(SUBSTITUTE(TRIM($I167)," ",""),",",REPT(" ",100)),501,100)))</x:f>
      </x:c>
      <x:c r="Z167" s="137" t="str">
        <x:f>IF($A167="","",TRIM(MID(SUBSTITUTE(SUBSTITUTE(TRIM($I167)," ",""),",",REPT(" ",100)),601,100)))</x:f>
      </x:c>
      <x:c r="AA167" s="137" t="str">
        <x:f>IF($A167="","",IF(SUBSTITUTE(TRIM($I167)," ","")="",0,1+LEN(SUBSTITUTE(TRIM($I167)," ",""))-LEN(SUBSTITUTE(SUBSTITUTE(TRIM($I167)," ",""),",",""))))</x:f>
      </x:c>
      <x:c r="AB167" s="137" t="str">
        <x:f>IF($A167="","",COUNTIF(TasksTable[Task ID],T167)+COUNTIF(TasksTable[Task ID],U167)+COUNTIF(TasksTable[Task ID],V167)+COUNTIF(TasksTable[Task ID],W167)+COUNTIF(TasksTable[Task ID],X167)+COUNTIF(TasksTable[Task ID],Y167)+COUNTIF(TasksTable[Task ID],Z167))</x:f>
      </x:c>
      <x:c r="AC167" s="137" t="b">
        <x:f>IF($A167="",FALSE,OR(T167=$A167,U167=$A167,V167=$A167,W167=$A167,X167=$A167,Y167=$A167,Z167=$A167))</x:f>
        <x:v>0</x:v>
      </x:c>
      <x:c r="AD167" s="144" t="n">
        <x:f>IF(AA167=0,0,MAX(IFERROR(INDEX(TasksTable[Start Date],MATCH(T167,TasksTable[Task ID],0)),0),IFERROR(INDEX(TasksTable[Start Date],MATCH(U167,TasksTable[Task ID],0)),0),IFERROR(INDEX(TasksTable[Start Date],MATCH(V167,TasksTable[Task ID],0)),0),IFERROR(INDEX(TasksTable[Start Date],MATCH(W167,TasksTable[Task ID],0)),0),IFERROR(INDEX(TasksTable[Start Date],MATCH(X167,TasksTable[Task ID],0)),0),IFERROR(INDEX(TasksTable[Start Date],MATCH(Y167,TasksTable[Task ID],0)),0),IFERROR(INDEX(TasksTable[Start Date],MATCH(Z167,TasksTable[Task ID],0)),0)))</x:f>
        <x:v>0</x:v>
      </x:c>
      <x:c r="AE167" s="144" t="n">
        <x:f>IF(AA167=0,0,MAX(IFERROR(INDEX(TasksTable[End Date],MATCH(T167,TasksTable[Task ID],0)),0),IFERROR(INDEX(TasksTable[End Date],MATCH(U167,TasksTable[Task ID],0)),0),IFERROR(INDEX(TasksTable[End Date],MATCH(V167,TasksTable[Task ID],0)),0),IFERROR(INDEX(TasksTable[End Date],MATCH(W167,TasksTable[Task ID],0)),0),IFERROR(INDEX(TasksTable[End Date],MATCH(X167,TasksTable[Task ID],0)),0),IFERROR(INDEX(TasksTable[End Date],MATCH(Y167,TasksTable[Task ID],0)),0),IFERROR(INDEX(TasksTable[End Date],MATCH(Z167,TasksTable[Task ID],0)),0)))</x:f>
        <x:v>0</x:v>
      </x:c>
      <x:c r="AF167" s="137" t="b">
        <x:f>IF(OR($A167="",AA167=0),FALSE,SWITCH($J167,"FS",$F167&lt;AE167,"SS",$F167&lt;AD167,"FF",$G167&lt;AE167,"SF",$G167&lt;AD167,TRUE))</x:f>
        <x:v>0</x:v>
      </x:c>
      <x:c r="AG167" s="137" t="str">
        <x:f>IF(AND($A167&lt;&gt;"",$K167="No",$N167&lt;&gt;"Completed",$F167&gt;=TODAY()),$F167+ROW()/100000,"")</x:f>
      </x:c>
      <x:c r="AH167" s="137" t="str">
        <x:f>IF(AND($A167&lt;&gt;"",$K167="Yes",$N167&lt;&gt;"Completed",$F167&gt;=TODAY()),$F167+ROW()/100000,"")</x:f>
      </x:c>
      <x:c r="AI167" s="137" t="str">
        <x:f>IF(AND($A167&lt;&gt;"",$K167="No",$N167&lt;&gt;"Completed",$G167&gt;=TODAY(),$G167&lt;=TODAY()+3),$G167+ROW()/100000,"")</x:f>
      </x:c>
      <x:c r="AJ167" s="137" t="str">
        <x:f>IF(AND($A167&lt;&gt;"",$K167="No",OR($N167="Delayed",$P167="Dependency conflict")),$G167+ROW()/100000,"")</x:f>
      </x:c>
      <x:c r="AK167" s="137" t="str">
        <x:f>IF(AG167="","",COUNTIFS($AG$7:$AG$206,"&gt;0",$AG$7:$AG$206,"&lt;"&amp;AG167)+1)</x:f>
      </x:c>
      <x:c r="AL167" s="137" t="str">
        <x:f>IF(AH167="","",COUNTIFS($AH$7:$AH$206,"&gt;0",$AH$7:$AH$206,"&lt;"&amp;AH167)+1)</x:f>
      </x:c>
      <x:c r="AM167" s="137" t="str">
        <x:f>IF(AI167="","",COUNTIFS($AI$7:$AI$206,"&gt;0",$AI$7:$AI$206,"&lt;"&amp;AI167)+1)</x:f>
      </x:c>
      <x:c r="AN167" s="137" t="str">
        <x:f>IF(AJ167="","",COUNTIFS($AJ$7:$AJ$206,"&gt;0",$AJ$7:$AJ$206,"&lt;"&amp;AJ167)+1)</x:f>
      </x:c>
    </x:row>
    <x:row r="168">
      <x:c r="T168" s="137" t="str">
        <x:f>IF($A168="","",TRIM(MID(SUBSTITUTE(SUBSTITUTE(TRIM($I168)," ",""),",",REPT(" ",100)),1,100)))</x:f>
      </x:c>
      <x:c r="U168" s="137" t="str">
        <x:f>IF($A168="","",TRIM(MID(SUBSTITUTE(SUBSTITUTE(TRIM($I168)," ",""),",",REPT(" ",100)),101,100)))</x:f>
      </x:c>
      <x:c r="V168" s="137" t="str">
        <x:f>IF($A168="","",TRIM(MID(SUBSTITUTE(SUBSTITUTE(TRIM($I168)," ",""),",",REPT(" ",100)),201,100)))</x:f>
      </x:c>
      <x:c r="W168" s="137" t="str">
        <x:f>IF($A168="","",TRIM(MID(SUBSTITUTE(SUBSTITUTE(TRIM($I168)," ",""),",",REPT(" ",100)),301,100)))</x:f>
      </x:c>
      <x:c r="X168" s="137" t="str">
        <x:f>IF($A168="","",TRIM(MID(SUBSTITUTE(SUBSTITUTE(TRIM($I168)," ",""),",",REPT(" ",100)),401,100)))</x:f>
      </x:c>
      <x:c r="Y168" s="137" t="str">
        <x:f>IF($A168="","",TRIM(MID(SUBSTITUTE(SUBSTITUTE(TRIM($I168)," ",""),",",REPT(" ",100)),501,100)))</x:f>
      </x:c>
      <x:c r="Z168" s="137" t="str">
        <x:f>IF($A168="","",TRIM(MID(SUBSTITUTE(SUBSTITUTE(TRIM($I168)," ",""),",",REPT(" ",100)),601,100)))</x:f>
      </x:c>
      <x:c r="AA168" s="137" t="str">
        <x:f>IF($A168="","",IF(SUBSTITUTE(TRIM($I168)," ","")="",0,1+LEN(SUBSTITUTE(TRIM($I168)," ",""))-LEN(SUBSTITUTE(SUBSTITUTE(TRIM($I168)," ",""),",",""))))</x:f>
      </x:c>
      <x:c r="AB168" s="137" t="str">
        <x:f>IF($A168="","",COUNTIF(TasksTable[Task ID],T168)+COUNTIF(TasksTable[Task ID],U168)+COUNTIF(TasksTable[Task ID],V168)+COUNTIF(TasksTable[Task ID],W168)+COUNTIF(TasksTable[Task ID],X168)+COUNTIF(TasksTable[Task ID],Y168)+COUNTIF(TasksTable[Task ID],Z168))</x:f>
      </x:c>
      <x:c r="AC168" s="137" t="b">
        <x:f>IF($A168="",FALSE,OR(T168=$A168,U168=$A168,V168=$A168,W168=$A168,X168=$A168,Y168=$A168,Z168=$A168))</x:f>
        <x:v>0</x:v>
      </x:c>
      <x:c r="AD168" s="144" t="n">
        <x:f>IF(AA168=0,0,MAX(IFERROR(INDEX(TasksTable[Start Date],MATCH(T168,TasksTable[Task ID],0)),0),IFERROR(INDEX(TasksTable[Start Date],MATCH(U168,TasksTable[Task ID],0)),0),IFERROR(INDEX(TasksTable[Start Date],MATCH(V168,TasksTable[Task ID],0)),0),IFERROR(INDEX(TasksTable[Start Date],MATCH(W168,TasksTable[Task ID],0)),0),IFERROR(INDEX(TasksTable[Start Date],MATCH(X168,TasksTable[Task ID],0)),0),IFERROR(INDEX(TasksTable[Start Date],MATCH(Y168,TasksTable[Task ID],0)),0),IFERROR(INDEX(TasksTable[Start Date],MATCH(Z168,TasksTable[Task ID],0)),0)))</x:f>
        <x:v>0</x:v>
      </x:c>
      <x:c r="AE168" s="144" t="n">
        <x:f>IF(AA168=0,0,MAX(IFERROR(INDEX(TasksTable[End Date],MATCH(T168,TasksTable[Task ID],0)),0),IFERROR(INDEX(TasksTable[End Date],MATCH(U168,TasksTable[Task ID],0)),0),IFERROR(INDEX(TasksTable[End Date],MATCH(V168,TasksTable[Task ID],0)),0),IFERROR(INDEX(TasksTable[End Date],MATCH(W168,TasksTable[Task ID],0)),0),IFERROR(INDEX(TasksTable[End Date],MATCH(X168,TasksTable[Task ID],0)),0),IFERROR(INDEX(TasksTable[End Date],MATCH(Y168,TasksTable[Task ID],0)),0),IFERROR(INDEX(TasksTable[End Date],MATCH(Z168,TasksTable[Task ID],0)),0)))</x:f>
        <x:v>0</x:v>
      </x:c>
      <x:c r="AF168" s="137" t="b">
        <x:f>IF(OR($A168="",AA168=0),FALSE,SWITCH($J168,"FS",$F168&lt;AE168,"SS",$F168&lt;AD168,"FF",$G168&lt;AE168,"SF",$G168&lt;AD168,TRUE))</x:f>
        <x:v>0</x:v>
      </x:c>
      <x:c r="AG168" s="137" t="str">
        <x:f>IF(AND($A168&lt;&gt;"",$K168="No",$N168&lt;&gt;"Completed",$F168&gt;=TODAY()),$F168+ROW()/100000,"")</x:f>
      </x:c>
      <x:c r="AH168" s="137" t="str">
        <x:f>IF(AND($A168&lt;&gt;"",$K168="Yes",$N168&lt;&gt;"Completed",$F168&gt;=TODAY()),$F168+ROW()/100000,"")</x:f>
      </x:c>
      <x:c r="AI168" s="137" t="str">
        <x:f>IF(AND($A168&lt;&gt;"",$K168="No",$N168&lt;&gt;"Completed",$G168&gt;=TODAY(),$G168&lt;=TODAY()+3),$G168+ROW()/100000,"")</x:f>
      </x:c>
      <x:c r="AJ168" s="137" t="str">
        <x:f>IF(AND($A168&lt;&gt;"",$K168="No",OR($N168="Delayed",$P168="Dependency conflict")),$G168+ROW()/100000,"")</x:f>
      </x:c>
      <x:c r="AK168" s="137" t="str">
        <x:f>IF(AG168="","",COUNTIFS($AG$7:$AG$206,"&gt;0",$AG$7:$AG$206,"&lt;"&amp;AG168)+1)</x:f>
      </x:c>
      <x:c r="AL168" s="137" t="str">
        <x:f>IF(AH168="","",COUNTIFS($AH$7:$AH$206,"&gt;0",$AH$7:$AH$206,"&lt;"&amp;AH168)+1)</x:f>
      </x:c>
      <x:c r="AM168" s="137" t="str">
        <x:f>IF(AI168="","",COUNTIFS($AI$7:$AI$206,"&gt;0",$AI$7:$AI$206,"&lt;"&amp;AI168)+1)</x:f>
      </x:c>
      <x:c r="AN168" s="137" t="str">
        <x:f>IF(AJ168="","",COUNTIFS($AJ$7:$AJ$206,"&gt;0",$AJ$7:$AJ$206,"&lt;"&amp;AJ168)+1)</x:f>
      </x:c>
    </x:row>
    <x:row r="169">
      <x:c r="T169" s="137" t="str">
        <x:f>IF($A169="","",TRIM(MID(SUBSTITUTE(SUBSTITUTE(TRIM($I169)," ",""),",",REPT(" ",100)),1,100)))</x:f>
      </x:c>
      <x:c r="U169" s="137" t="str">
        <x:f>IF($A169="","",TRIM(MID(SUBSTITUTE(SUBSTITUTE(TRIM($I169)," ",""),",",REPT(" ",100)),101,100)))</x:f>
      </x:c>
      <x:c r="V169" s="137" t="str">
        <x:f>IF($A169="","",TRIM(MID(SUBSTITUTE(SUBSTITUTE(TRIM($I169)," ",""),",",REPT(" ",100)),201,100)))</x:f>
      </x:c>
      <x:c r="W169" s="137" t="str">
        <x:f>IF($A169="","",TRIM(MID(SUBSTITUTE(SUBSTITUTE(TRIM($I169)," ",""),",",REPT(" ",100)),301,100)))</x:f>
      </x:c>
      <x:c r="X169" s="137" t="str">
        <x:f>IF($A169="","",TRIM(MID(SUBSTITUTE(SUBSTITUTE(TRIM($I169)," ",""),",",REPT(" ",100)),401,100)))</x:f>
      </x:c>
      <x:c r="Y169" s="137" t="str">
        <x:f>IF($A169="","",TRIM(MID(SUBSTITUTE(SUBSTITUTE(TRIM($I169)," ",""),",",REPT(" ",100)),501,100)))</x:f>
      </x:c>
      <x:c r="Z169" s="137" t="str">
        <x:f>IF($A169="","",TRIM(MID(SUBSTITUTE(SUBSTITUTE(TRIM($I169)," ",""),",",REPT(" ",100)),601,100)))</x:f>
      </x:c>
      <x:c r="AA169" s="137" t="str">
        <x:f>IF($A169="","",IF(SUBSTITUTE(TRIM($I169)," ","")="",0,1+LEN(SUBSTITUTE(TRIM($I169)," ",""))-LEN(SUBSTITUTE(SUBSTITUTE(TRIM($I169)," ",""),",",""))))</x:f>
      </x:c>
      <x:c r="AB169" s="137" t="str">
        <x:f>IF($A169="","",COUNTIF(TasksTable[Task ID],T169)+COUNTIF(TasksTable[Task ID],U169)+COUNTIF(TasksTable[Task ID],V169)+COUNTIF(TasksTable[Task ID],W169)+COUNTIF(TasksTable[Task ID],X169)+COUNTIF(TasksTable[Task ID],Y169)+COUNTIF(TasksTable[Task ID],Z169))</x:f>
      </x:c>
      <x:c r="AC169" s="137" t="b">
        <x:f>IF($A169="",FALSE,OR(T169=$A169,U169=$A169,V169=$A169,W169=$A169,X169=$A169,Y169=$A169,Z169=$A169))</x:f>
        <x:v>0</x:v>
      </x:c>
      <x:c r="AD169" s="144" t="n">
        <x:f>IF(AA169=0,0,MAX(IFERROR(INDEX(TasksTable[Start Date],MATCH(T169,TasksTable[Task ID],0)),0),IFERROR(INDEX(TasksTable[Start Date],MATCH(U169,TasksTable[Task ID],0)),0),IFERROR(INDEX(TasksTable[Start Date],MATCH(V169,TasksTable[Task ID],0)),0),IFERROR(INDEX(TasksTable[Start Date],MATCH(W169,TasksTable[Task ID],0)),0),IFERROR(INDEX(TasksTable[Start Date],MATCH(X169,TasksTable[Task ID],0)),0),IFERROR(INDEX(TasksTable[Start Date],MATCH(Y169,TasksTable[Task ID],0)),0),IFERROR(INDEX(TasksTable[Start Date],MATCH(Z169,TasksTable[Task ID],0)),0)))</x:f>
        <x:v>0</x:v>
      </x:c>
      <x:c r="AE169" s="144" t="n">
        <x:f>IF(AA169=0,0,MAX(IFERROR(INDEX(TasksTable[End Date],MATCH(T169,TasksTable[Task ID],0)),0),IFERROR(INDEX(TasksTable[End Date],MATCH(U169,TasksTable[Task ID],0)),0),IFERROR(INDEX(TasksTable[End Date],MATCH(V169,TasksTable[Task ID],0)),0),IFERROR(INDEX(TasksTable[End Date],MATCH(W169,TasksTable[Task ID],0)),0),IFERROR(INDEX(TasksTable[End Date],MATCH(X169,TasksTable[Task ID],0)),0),IFERROR(INDEX(TasksTable[End Date],MATCH(Y169,TasksTable[Task ID],0)),0),IFERROR(INDEX(TasksTable[End Date],MATCH(Z169,TasksTable[Task ID],0)),0)))</x:f>
        <x:v>0</x:v>
      </x:c>
      <x:c r="AF169" s="137" t="b">
        <x:f>IF(OR($A169="",AA169=0),FALSE,SWITCH($J169,"FS",$F169&lt;AE169,"SS",$F169&lt;AD169,"FF",$G169&lt;AE169,"SF",$G169&lt;AD169,TRUE))</x:f>
        <x:v>0</x:v>
      </x:c>
      <x:c r="AG169" s="137" t="str">
        <x:f>IF(AND($A169&lt;&gt;"",$K169="No",$N169&lt;&gt;"Completed",$F169&gt;=TODAY()),$F169+ROW()/100000,"")</x:f>
      </x:c>
      <x:c r="AH169" s="137" t="str">
        <x:f>IF(AND($A169&lt;&gt;"",$K169="Yes",$N169&lt;&gt;"Completed",$F169&gt;=TODAY()),$F169+ROW()/100000,"")</x:f>
      </x:c>
      <x:c r="AI169" s="137" t="str">
        <x:f>IF(AND($A169&lt;&gt;"",$K169="No",$N169&lt;&gt;"Completed",$G169&gt;=TODAY(),$G169&lt;=TODAY()+3),$G169+ROW()/100000,"")</x:f>
      </x:c>
      <x:c r="AJ169" s="137" t="str">
        <x:f>IF(AND($A169&lt;&gt;"",$K169="No",OR($N169="Delayed",$P169="Dependency conflict")),$G169+ROW()/100000,"")</x:f>
      </x:c>
      <x:c r="AK169" s="137" t="str">
        <x:f>IF(AG169="","",COUNTIFS($AG$7:$AG$206,"&gt;0",$AG$7:$AG$206,"&lt;"&amp;AG169)+1)</x:f>
      </x:c>
      <x:c r="AL169" s="137" t="str">
        <x:f>IF(AH169="","",COUNTIFS($AH$7:$AH$206,"&gt;0",$AH$7:$AH$206,"&lt;"&amp;AH169)+1)</x:f>
      </x:c>
      <x:c r="AM169" s="137" t="str">
        <x:f>IF(AI169="","",COUNTIFS($AI$7:$AI$206,"&gt;0",$AI$7:$AI$206,"&lt;"&amp;AI169)+1)</x:f>
      </x:c>
      <x:c r="AN169" s="137" t="str">
        <x:f>IF(AJ169="","",COUNTIFS($AJ$7:$AJ$206,"&gt;0",$AJ$7:$AJ$206,"&lt;"&amp;AJ169)+1)</x:f>
      </x:c>
    </x:row>
    <x:row r="170">
      <x:c r="T170" s="137" t="str">
        <x:f>IF($A170="","",TRIM(MID(SUBSTITUTE(SUBSTITUTE(TRIM($I170)," ",""),",",REPT(" ",100)),1,100)))</x:f>
      </x:c>
      <x:c r="U170" s="137" t="str">
        <x:f>IF($A170="","",TRIM(MID(SUBSTITUTE(SUBSTITUTE(TRIM($I170)," ",""),",",REPT(" ",100)),101,100)))</x:f>
      </x:c>
      <x:c r="V170" s="137" t="str">
        <x:f>IF($A170="","",TRIM(MID(SUBSTITUTE(SUBSTITUTE(TRIM($I170)," ",""),",",REPT(" ",100)),201,100)))</x:f>
      </x:c>
      <x:c r="W170" s="137" t="str">
        <x:f>IF($A170="","",TRIM(MID(SUBSTITUTE(SUBSTITUTE(TRIM($I170)," ",""),",",REPT(" ",100)),301,100)))</x:f>
      </x:c>
      <x:c r="X170" s="137" t="str">
        <x:f>IF($A170="","",TRIM(MID(SUBSTITUTE(SUBSTITUTE(TRIM($I170)," ",""),",",REPT(" ",100)),401,100)))</x:f>
      </x:c>
      <x:c r="Y170" s="137" t="str">
        <x:f>IF($A170="","",TRIM(MID(SUBSTITUTE(SUBSTITUTE(TRIM($I170)," ",""),",",REPT(" ",100)),501,100)))</x:f>
      </x:c>
      <x:c r="Z170" s="137" t="str">
        <x:f>IF($A170="","",TRIM(MID(SUBSTITUTE(SUBSTITUTE(TRIM($I170)," ",""),",",REPT(" ",100)),601,100)))</x:f>
      </x:c>
      <x:c r="AA170" s="137" t="str">
        <x:f>IF($A170="","",IF(SUBSTITUTE(TRIM($I170)," ","")="",0,1+LEN(SUBSTITUTE(TRIM($I170)," ",""))-LEN(SUBSTITUTE(SUBSTITUTE(TRIM($I170)," ",""),",",""))))</x:f>
      </x:c>
      <x:c r="AB170" s="137" t="str">
        <x:f>IF($A170="","",COUNTIF(TasksTable[Task ID],T170)+COUNTIF(TasksTable[Task ID],U170)+COUNTIF(TasksTable[Task ID],V170)+COUNTIF(TasksTable[Task ID],W170)+COUNTIF(TasksTable[Task ID],X170)+COUNTIF(TasksTable[Task ID],Y170)+COUNTIF(TasksTable[Task ID],Z170))</x:f>
      </x:c>
      <x:c r="AC170" s="137" t="b">
        <x:f>IF($A170="",FALSE,OR(T170=$A170,U170=$A170,V170=$A170,W170=$A170,X170=$A170,Y170=$A170,Z170=$A170))</x:f>
        <x:v>0</x:v>
      </x:c>
      <x:c r="AD170" s="144" t="n">
        <x:f>IF(AA170=0,0,MAX(IFERROR(INDEX(TasksTable[Start Date],MATCH(T170,TasksTable[Task ID],0)),0),IFERROR(INDEX(TasksTable[Start Date],MATCH(U170,TasksTable[Task ID],0)),0),IFERROR(INDEX(TasksTable[Start Date],MATCH(V170,TasksTable[Task ID],0)),0),IFERROR(INDEX(TasksTable[Start Date],MATCH(W170,TasksTable[Task ID],0)),0),IFERROR(INDEX(TasksTable[Start Date],MATCH(X170,TasksTable[Task ID],0)),0),IFERROR(INDEX(TasksTable[Start Date],MATCH(Y170,TasksTable[Task ID],0)),0),IFERROR(INDEX(TasksTable[Start Date],MATCH(Z170,TasksTable[Task ID],0)),0)))</x:f>
        <x:v>0</x:v>
      </x:c>
      <x:c r="AE170" s="144" t="n">
        <x:f>IF(AA170=0,0,MAX(IFERROR(INDEX(TasksTable[End Date],MATCH(T170,TasksTable[Task ID],0)),0),IFERROR(INDEX(TasksTable[End Date],MATCH(U170,TasksTable[Task ID],0)),0),IFERROR(INDEX(TasksTable[End Date],MATCH(V170,TasksTable[Task ID],0)),0),IFERROR(INDEX(TasksTable[End Date],MATCH(W170,TasksTable[Task ID],0)),0),IFERROR(INDEX(TasksTable[End Date],MATCH(X170,TasksTable[Task ID],0)),0),IFERROR(INDEX(TasksTable[End Date],MATCH(Y170,TasksTable[Task ID],0)),0),IFERROR(INDEX(TasksTable[End Date],MATCH(Z170,TasksTable[Task ID],0)),0)))</x:f>
        <x:v>0</x:v>
      </x:c>
      <x:c r="AF170" s="137" t="b">
        <x:f>IF(OR($A170="",AA170=0),FALSE,SWITCH($J170,"FS",$F170&lt;AE170,"SS",$F170&lt;AD170,"FF",$G170&lt;AE170,"SF",$G170&lt;AD170,TRUE))</x:f>
        <x:v>0</x:v>
      </x:c>
      <x:c r="AG170" s="137" t="str">
        <x:f>IF(AND($A170&lt;&gt;"",$K170="No",$N170&lt;&gt;"Completed",$F170&gt;=TODAY()),$F170+ROW()/100000,"")</x:f>
      </x:c>
      <x:c r="AH170" s="137" t="str">
        <x:f>IF(AND($A170&lt;&gt;"",$K170="Yes",$N170&lt;&gt;"Completed",$F170&gt;=TODAY()),$F170+ROW()/100000,"")</x:f>
      </x:c>
      <x:c r="AI170" s="137" t="str">
        <x:f>IF(AND($A170&lt;&gt;"",$K170="No",$N170&lt;&gt;"Completed",$G170&gt;=TODAY(),$G170&lt;=TODAY()+3),$G170+ROW()/100000,"")</x:f>
      </x:c>
      <x:c r="AJ170" s="137" t="str">
        <x:f>IF(AND($A170&lt;&gt;"",$K170="No",OR($N170="Delayed",$P170="Dependency conflict")),$G170+ROW()/100000,"")</x:f>
      </x:c>
      <x:c r="AK170" s="137" t="str">
        <x:f>IF(AG170="","",COUNTIFS($AG$7:$AG$206,"&gt;0",$AG$7:$AG$206,"&lt;"&amp;AG170)+1)</x:f>
      </x:c>
      <x:c r="AL170" s="137" t="str">
        <x:f>IF(AH170="","",COUNTIFS($AH$7:$AH$206,"&gt;0",$AH$7:$AH$206,"&lt;"&amp;AH170)+1)</x:f>
      </x:c>
      <x:c r="AM170" s="137" t="str">
        <x:f>IF(AI170="","",COUNTIFS($AI$7:$AI$206,"&gt;0",$AI$7:$AI$206,"&lt;"&amp;AI170)+1)</x:f>
      </x:c>
      <x:c r="AN170" s="137" t="str">
        <x:f>IF(AJ170="","",COUNTIFS($AJ$7:$AJ$206,"&gt;0",$AJ$7:$AJ$206,"&lt;"&amp;AJ170)+1)</x:f>
      </x:c>
    </x:row>
    <x:row r="171">
      <x:c r="T171" s="137" t="str">
        <x:f>IF($A171="","",TRIM(MID(SUBSTITUTE(SUBSTITUTE(TRIM($I171)," ",""),",",REPT(" ",100)),1,100)))</x:f>
      </x:c>
      <x:c r="U171" s="137" t="str">
        <x:f>IF($A171="","",TRIM(MID(SUBSTITUTE(SUBSTITUTE(TRIM($I171)," ",""),",",REPT(" ",100)),101,100)))</x:f>
      </x:c>
      <x:c r="V171" s="137" t="str">
        <x:f>IF($A171="","",TRIM(MID(SUBSTITUTE(SUBSTITUTE(TRIM($I171)," ",""),",",REPT(" ",100)),201,100)))</x:f>
      </x:c>
      <x:c r="W171" s="137" t="str">
        <x:f>IF($A171="","",TRIM(MID(SUBSTITUTE(SUBSTITUTE(TRIM($I171)," ",""),",",REPT(" ",100)),301,100)))</x:f>
      </x:c>
      <x:c r="X171" s="137" t="str">
        <x:f>IF($A171="","",TRIM(MID(SUBSTITUTE(SUBSTITUTE(TRIM($I171)," ",""),",",REPT(" ",100)),401,100)))</x:f>
      </x:c>
      <x:c r="Y171" s="137" t="str">
        <x:f>IF($A171="","",TRIM(MID(SUBSTITUTE(SUBSTITUTE(TRIM($I171)," ",""),",",REPT(" ",100)),501,100)))</x:f>
      </x:c>
      <x:c r="Z171" s="137" t="str">
        <x:f>IF($A171="","",TRIM(MID(SUBSTITUTE(SUBSTITUTE(TRIM($I171)," ",""),",",REPT(" ",100)),601,100)))</x:f>
      </x:c>
      <x:c r="AA171" s="137" t="str">
        <x:f>IF($A171="","",IF(SUBSTITUTE(TRIM($I171)," ","")="",0,1+LEN(SUBSTITUTE(TRIM($I171)," ",""))-LEN(SUBSTITUTE(SUBSTITUTE(TRIM($I171)," ",""),",",""))))</x:f>
      </x:c>
      <x:c r="AB171" s="137" t="str">
        <x:f>IF($A171="","",COUNTIF(TasksTable[Task ID],T171)+COUNTIF(TasksTable[Task ID],U171)+COUNTIF(TasksTable[Task ID],V171)+COUNTIF(TasksTable[Task ID],W171)+COUNTIF(TasksTable[Task ID],X171)+COUNTIF(TasksTable[Task ID],Y171)+COUNTIF(TasksTable[Task ID],Z171))</x:f>
      </x:c>
      <x:c r="AC171" s="137" t="b">
        <x:f>IF($A171="",FALSE,OR(T171=$A171,U171=$A171,V171=$A171,W171=$A171,X171=$A171,Y171=$A171,Z171=$A171))</x:f>
        <x:v>0</x:v>
      </x:c>
      <x:c r="AD171" s="144" t="n">
        <x:f>IF(AA171=0,0,MAX(IFERROR(INDEX(TasksTable[Start Date],MATCH(T171,TasksTable[Task ID],0)),0),IFERROR(INDEX(TasksTable[Start Date],MATCH(U171,TasksTable[Task ID],0)),0),IFERROR(INDEX(TasksTable[Start Date],MATCH(V171,TasksTable[Task ID],0)),0),IFERROR(INDEX(TasksTable[Start Date],MATCH(W171,TasksTable[Task ID],0)),0),IFERROR(INDEX(TasksTable[Start Date],MATCH(X171,TasksTable[Task ID],0)),0),IFERROR(INDEX(TasksTable[Start Date],MATCH(Y171,TasksTable[Task ID],0)),0),IFERROR(INDEX(TasksTable[Start Date],MATCH(Z171,TasksTable[Task ID],0)),0)))</x:f>
        <x:v>0</x:v>
      </x:c>
      <x:c r="AE171" s="144" t="n">
        <x:f>IF(AA171=0,0,MAX(IFERROR(INDEX(TasksTable[End Date],MATCH(T171,TasksTable[Task ID],0)),0),IFERROR(INDEX(TasksTable[End Date],MATCH(U171,TasksTable[Task ID],0)),0),IFERROR(INDEX(TasksTable[End Date],MATCH(V171,TasksTable[Task ID],0)),0),IFERROR(INDEX(TasksTable[End Date],MATCH(W171,TasksTable[Task ID],0)),0),IFERROR(INDEX(TasksTable[End Date],MATCH(X171,TasksTable[Task ID],0)),0),IFERROR(INDEX(TasksTable[End Date],MATCH(Y171,TasksTable[Task ID],0)),0),IFERROR(INDEX(TasksTable[End Date],MATCH(Z171,TasksTable[Task ID],0)),0)))</x:f>
        <x:v>0</x:v>
      </x:c>
      <x:c r="AF171" s="137" t="b">
        <x:f>IF(OR($A171="",AA171=0),FALSE,SWITCH($J171,"FS",$F171&lt;AE171,"SS",$F171&lt;AD171,"FF",$G171&lt;AE171,"SF",$G171&lt;AD171,TRUE))</x:f>
        <x:v>0</x:v>
      </x:c>
      <x:c r="AG171" s="137" t="str">
        <x:f>IF(AND($A171&lt;&gt;"",$K171="No",$N171&lt;&gt;"Completed",$F171&gt;=TODAY()),$F171+ROW()/100000,"")</x:f>
      </x:c>
      <x:c r="AH171" s="137" t="str">
        <x:f>IF(AND($A171&lt;&gt;"",$K171="Yes",$N171&lt;&gt;"Completed",$F171&gt;=TODAY()),$F171+ROW()/100000,"")</x:f>
      </x:c>
      <x:c r="AI171" s="137" t="str">
        <x:f>IF(AND($A171&lt;&gt;"",$K171="No",$N171&lt;&gt;"Completed",$G171&gt;=TODAY(),$G171&lt;=TODAY()+3),$G171+ROW()/100000,"")</x:f>
      </x:c>
      <x:c r="AJ171" s="137" t="str">
        <x:f>IF(AND($A171&lt;&gt;"",$K171="No",OR($N171="Delayed",$P171="Dependency conflict")),$G171+ROW()/100000,"")</x:f>
      </x:c>
      <x:c r="AK171" s="137" t="str">
        <x:f>IF(AG171="","",COUNTIFS($AG$7:$AG$206,"&gt;0",$AG$7:$AG$206,"&lt;"&amp;AG171)+1)</x:f>
      </x:c>
      <x:c r="AL171" s="137" t="str">
        <x:f>IF(AH171="","",COUNTIFS($AH$7:$AH$206,"&gt;0",$AH$7:$AH$206,"&lt;"&amp;AH171)+1)</x:f>
      </x:c>
      <x:c r="AM171" s="137" t="str">
        <x:f>IF(AI171="","",COUNTIFS($AI$7:$AI$206,"&gt;0",$AI$7:$AI$206,"&lt;"&amp;AI171)+1)</x:f>
      </x:c>
      <x:c r="AN171" s="137" t="str">
        <x:f>IF(AJ171="","",COUNTIFS($AJ$7:$AJ$206,"&gt;0",$AJ$7:$AJ$206,"&lt;"&amp;AJ171)+1)</x:f>
      </x:c>
    </x:row>
    <x:row r="172">
      <x:c r="T172" s="137" t="str">
        <x:f>IF($A172="","",TRIM(MID(SUBSTITUTE(SUBSTITUTE(TRIM($I172)," ",""),",",REPT(" ",100)),1,100)))</x:f>
      </x:c>
      <x:c r="U172" s="137" t="str">
        <x:f>IF($A172="","",TRIM(MID(SUBSTITUTE(SUBSTITUTE(TRIM($I172)," ",""),",",REPT(" ",100)),101,100)))</x:f>
      </x:c>
      <x:c r="V172" s="137" t="str">
        <x:f>IF($A172="","",TRIM(MID(SUBSTITUTE(SUBSTITUTE(TRIM($I172)," ",""),",",REPT(" ",100)),201,100)))</x:f>
      </x:c>
      <x:c r="W172" s="137" t="str">
        <x:f>IF($A172="","",TRIM(MID(SUBSTITUTE(SUBSTITUTE(TRIM($I172)," ",""),",",REPT(" ",100)),301,100)))</x:f>
      </x:c>
      <x:c r="X172" s="137" t="str">
        <x:f>IF($A172="","",TRIM(MID(SUBSTITUTE(SUBSTITUTE(TRIM($I172)," ",""),",",REPT(" ",100)),401,100)))</x:f>
      </x:c>
      <x:c r="Y172" s="137" t="str">
        <x:f>IF($A172="","",TRIM(MID(SUBSTITUTE(SUBSTITUTE(TRIM($I172)," ",""),",",REPT(" ",100)),501,100)))</x:f>
      </x:c>
      <x:c r="Z172" s="137" t="str">
        <x:f>IF($A172="","",TRIM(MID(SUBSTITUTE(SUBSTITUTE(TRIM($I172)," ",""),",",REPT(" ",100)),601,100)))</x:f>
      </x:c>
      <x:c r="AA172" s="137" t="str">
        <x:f>IF($A172="","",IF(SUBSTITUTE(TRIM($I172)," ","")="",0,1+LEN(SUBSTITUTE(TRIM($I172)," ",""))-LEN(SUBSTITUTE(SUBSTITUTE(TRIM($I172)," ",""),",",""))))</x:f>
      </x:c>
      <x:c r="AB172" s="137" t="str">
        <x:f>IF($A172="","",COUNTIF(TasksTable[Task ID],T172)+COUNTIF(TasksTable[Task ID],U172)+COUNTIF(TasksTable[Task ID],V172)+COUNTIF(TasksTable[Task ID],W172)+COUNTIF(TasksTable[Task ID],X172)+COUNTIF(TasksTable[Task ID],Y172)+COUNTIF(TasksTable[Task ID],Z172))</x:f>
      </x:c>
      <x:c r="AC172" s="137" t="b">
        <x:f>IF($A172="",FALSE,OR(T172=$A172,U172=$A172,V172=$A172,W172=$A172,X172=$A172,Y172=$A172,Z172=$A172))</x:f>
        <x:v>0</x:v>
      </x:c>
      <x:c r="AD172" s="144" t="n">
        <x:f>IF(AA172=0,0,MAX(IFERROR(INDEX(TasksTable[Start Date],MATCH(T172,TasksTable[Task ID],0)),0),IFERROR(INDEX(TasksTable[Start Date],MATCH(U172,TasksTable[Task ID],0)),0),IFERROR(INDEX(TasksTable[Start Date],MATCH(V172,TasksTable[Task ID],0)),0),IFERROR(INDEX(TasksTable[Start Date],MATCH(W172,TasksTable[Task ID],0)),0),IFERROR(INDEX(TasksTable[Start Date],MATCH(X172,TasksTable[Task ID],0)),0),IFERROR(INDEX(TasksTable[Start Date],MATCH(Y172,TasksTable[Task ID],0)),0),IFERROR(INDEX(TasksTable[Start Date],MATCH(Z172,TasksTable[Task ID],0)),0)))</x:f>
        <x:v>0</x:v>
      </x:c>
      <x:c r="AE172" s="144" t="n">
        <x:f>IF(AA172=0,0,MAX(IFERROR(INDEX(TasksTable[End Date],MATCH(T172,TasksTable[Task ID],0)),0),IFERROR(INDEX(TasksTable[End Date],MATCH(U172,TasksTable[Task ID],0)),0),IFERROR(INDEX(TasksTable[End Date],MATCH(V172,TasksTable[Task ID],0)),0),IFERROR(INDEX(TasksTable[End Date],MATCH(W172,TasksTable[Task ID],0)),0),IFERROR(INDEX(TasksTable[End Date],MATCH(X172,TasksTable[Task ID],0)),0),IFERROR(INDEX(TasksTable[End Date],MATCH(Y172,TasksTable[Task ID],0)),0),IFERROR(INDEX(TasksTable[End Date],MATCH(Z172,TasksTable[Task ID],0)),0)))</x:f>
        <x:v>0</x:v>
      </x:c>
      <x:c r="AF172" s="137" t="b">
        <x:f>IF(OR($A172="",AA172=0),FALSE,SWITCH($J172,"FS",$F172&lt;AE172,"SS",$F172&lt;AD172,"FF",$G172&lt;AE172,"SF",$G172&lt;AD172,TRUE))</x:f>
        <x:v>0</x:v>
      </x:c>
      <x:c r="AG172" s="137" t="str">
        <x:f>IF(AND($A172&lt;&gt;"",$K172="No",$N172&lt;&gt;"Completed",$F172&gt;=TODAY()),$F172+ROW()/100000,"")</x:f>
      </x:c>
      <x:c r="AH172" s="137" t="str">
        <x:f>IF(AND($A172&lt;&gt;"",$K172="Yes",$N172&lt;&gt;"Completed",$F172&gt;=TODAY()),$F172+ROW()/100000,"")</x:f>
      </x:c>
      <x:c r="AI172" s="137" t="str">
        <x:f>IF(AND($A172&lt;&gt;"",$K172="No",$N172&lt;&gt;"Completed",$G172&gt;=TODAY(),$G172&lt;=TODAY()+3),$G172+ROW()/100000,"")</x:f>
      </x:c>
      <x:c r="AJ172" s="137" t="str">
        <x:f>IF(AND($A172&lt;&gt;"",$K172="No",OR($N172="Delayed",$P172="Dependency conflict")),$G172+ROW()/100000,"")</x:f>
      </x:c>
      <x:c r="AK172" s="137" t="str">
        <x:f>IF(AG172="","",COUNTIFS($AG$7:$AG$206,"&gt;0",$AG$7:$AG$206,"&lt;"&amp;AG172)+1)</x:f>
      </x:c>
      <x:c r="AL172" s="137" t="str">
        <x:f>IF(AH172="","",COUNTIFS($AH$7:$AH$206,"&gt;0",$AH$7:$AH$206,"&lt;"&amp;AH172)+1)</x:f>
      </x:c>
      <x:c r="AM172" s="137" t="str">
        <x:f>IF(AI172="","",COUNTIFS($AI$7:$AI$206,"&gt;0",$AI$7:$AI$206,"&lt;"&amp;AI172)+1)</x:f>
      </x:c>
      <x:c r="AN172" s="137" t="str">
        <x:f>IF(AJ172="","",COUNTIFS($AJ$7:$AJ$206,"&gt;0",$AJ$7:$AJ$206,"&lt;"&amp;AJ172)+1)</x:f>
      </x:c>
    </x:row>
    <x:row r="173">
      <x:c r="T173" s="137" t="str">
        <x:f>IF($A173="","",TRIM(MID(SUBSTITUTE(SUBSTITUTE(TRIM($I173)," ",""),",",REPT(" ",100)),1,100)))</x:f>
      </x:c>
      <x:c r="U173" s="137" t="str">
        <x:f>IF($A173="","",TRIM(MID(SUBSTITUTE(SUBSTITUTE(TRIM($I173)," ",""),",",REPT(" ",100)),101,100)))</x:f>
      </x:c>
      <x:c r="V173" s="137" t="str">
        <x:f>IF($A173="","",TRIM(MID(SUBSTITUTE(SUBSTITUTE(TRIM($I173)," ",""),",",REPT(" ",100)),201,100)))</x:f>
      </x:c>
      <x:c r="W173" s="137" t="str">
        <x:f>IF($A173="","",TRIM(MID(SUBSTITUTE(SUBSTITUTE(TRIM($I173)," ",""),",",REPT(" ",100)),301,100)))</x:f>
      </x:c>
      <x:c r="X173" s="137" t="str">
        <x:f>IF($A173="","",TRIM(MID(SUBSTITUTE(SUBSTITUTE(TRIM($I173)," ",""),",",REPT(" ",100)),401,100)))</x:f>
      </x:c>
      <x:c r="Y173" s="137" t="str">
        <x:f>IF($A173="","",TRIM(MID(SUBSTITUTE(SUBSTITUTE(TRIM($I173)," ",""),",",REPT(" ",100)),501,100)))</x:f>
      </x:c>
      <x:c r="Z173" s="137" t="str">
        <x:f>IF($A173="","",TRIM(MID(SUBSTITUTE(SUBSTITUTE(TRIM($I173)," ",""),",",REPT(" ",100)),601,100)))</x:f>
      </x:c>
      <x:c r="AA173" s="137" t="str">
        <x:f>IF($A173="","",IF(SUBSTITUTE(TRIM($I173)," ","")="",0,1+LEN(SUBSTITUTE(TRIM($I173)," ",""))-LEN(SUBSTITUTE(SUBSTITUTE(TRIM($I173)," ",""),",",""))))</x:f>
      </x:c>
      <x:c r="AB173" s="137" t="str">
        <x:f>IF($A173="","",COUNTIF(TasksTable[Task ID],T173)+COUNTIF(TasksTable[Task ID],U173)+COUNTIF(TasksTable[Task ID],V173)+COUNTIF(TasksTable[Task ID],W173)+COUNTIF(TasksTable[Task ID],X173)+COUNTIF(TasksTable[Task ID],Y173)+COUNTIF(TasksTable[Task ID],Z173))</x:f>
      </x:c>
      <x:c r="AC173" s="137" t="b">
        <x:f>IF($A173="",FALSE,OR(T173=$A173,U173=$A173,V173=$A173,W173=$A173,X173=$A173,Y173=$A173,Z173=$A173))</x:f>
        <x:v>0</x:v>
      </x:c>
      <x:c r="AD173" s="144" t="n">
        <x:f>IF(AA173=0,0,MAX(IFERROR(INDEX(TasksTable[Start Date],MATCH(T173,TasksTable[Task ID],0)),0),IFERROR(INDEX(TasksTable[Start Date],MATCH(U173,TasksTable[Task ID],0)),0),IFERROR(INDEX(TasksTable[Start Date],MATCH(V173,TasksTable[Task ID],0)),0),IFERROR(INDEX(TasksTable[Start Date],MATCH(W173,TasksTable[Task ID],0)),0),IFERROR(INDEX(TasksTable[Start Date],MATCH(X173,TasksTable[Task ID],0)),0),IFERROR(INDEX(TasksTable[Start Date],MATCH(Y173,TasksTable[Task ID],0)),0),IFERROR(INDEX(TasksTable[Start Date],MATCH(Z173,TasksTable[Task ID],0)),0)))</x:f>
        <x:v>0</x:v>
      </x:c>
      <x:c r="AE173" s="144" t="n">
        <x:f>IF(AA173=0,0,MAX(IFERROR(INDEX(TasksTable[End Date],MATCH(T173,TasksTable[Task ID],0)),0),IFERROR(INDEX(TasksTable[End Date],MATCH(U173,TasksTable[Task ID],0)),0),IFERROR(INDEX(TasksTable[End Date],MATCH(V173,TasksTable[Task ID],0)),0),IFERROR(INDEX(TasksTable[End Date],MATCH(W173,TasksTable[Task ID],0)),0),IFERROR(INDEX(TasksTable[End Date],MATCH(X173,TasksTable[Task ID],0)),0),IFERROR(INDEX(TasksTable[End Date],MATCH(Y173,TasksTable[Task ID],0)),0),IFERROR(INDEX(TasksTable[End Date],MATCH(Z173,TasksTable[Task ID],0)),0)))</x:f>
        <x:v>0</x:v>
      </x:c>
      <x:c r="AF173" s="137" t="b">
        <x:f>IF(OR($A173="",AA173=0),FALSE,SWITCH($J173,"FS",$F173&lt;AE173,"SS",$F173&lt;AD173,"FF",$G173&lt;AE173,"SF",$G173&lt;AD173,TRUE))</x:f>
        <x:v>0</x:v>
      </x:c>
      <x:c r="AG173" s="137" t="str">
        <x:f>IF(AND($A173&lt;&gt;"",$K173="No",$N173&lt;&gt;"Completed",$F173&gt;=TODAY()),$F173+ROW()/100000,"")</x:f>
      </x:c>
      <x:c r="AH173" s="137" t="str">
        <x:f>IF(AND($A173&lt;&gt;"",$K173="Yes",$N173&lt;&gt;"Completed",$F173&gt;=TODAY()),$F173+ROW()/100000,"")</x:f>
      </x:c>
      <x:c r="AI173" s="137" t="str">
        <x:f>IF(AND($A173&lt;&gt;"",$K173="No",$N173&lt;&gt;"Completed",$G173&gt;=TODAY(),$G173&lt;=TODAY()+3),$G173+ROW()/100000,"")</x:f>
      </x:c>
      <x:c r="AJ173" s="137" t="str">
        <x:f>IF(AND($A173&lt;&gt;"",$K173="No",OR($N173="Delayed",$P173="Dependency conflict")),$G173+ROW()/100000,"")</x:f>
      </x:c>
      <x:c r="AK173" s="137" t="str">
        <x:f>IF(AG173="","",COUNTIFS($AG$7:$AG$206,"&gt;0",$AG$7:$AG$206,"&lt;"&amp;AG173)+1)</x:f>
      </x:c>
      <x:c r="AL173" s="137" t="str">
        <x:f>IF(AH173="","",COUNTIFS($AH$7:$AH$206,"&gt;0",$AH$7:$AH$206,"&lt;"&amp;AH173)+1)</x:f>
      </x:c>
      <x:c r="AM173" s="137" t="str">
        <x:f>IF(AI173="","",COUNTIFS($AI$7:$AI$206,"&gt;0",$AI$7:$AI$206,"&lt;"&amp;AI173)+1)</x:f>
      </x:c>
      <x:c r="AN173" s="137" t="str">
        <x:f>IF(AJ173="","",COUNTIFS($AJ$7:$AJ$206,"&gt;0",$AJ$7:$AJ$206,"&lt;"&amp;AJ173)+1)</x:f>
      </x:c>
    </x:row>
    <x:row r="174">
      <x:c r="T174" s="137" t="str">
        <x:f>IF($A174="","",TRIM(MID(SUBSTITUTE(SUBSTITUTE(TRIM($I174)," ",""),",",REPT(" ",100)),1,100)))</x:f>
      </x:c>
      <x:c r="U174" s="137" t="str">
        <x:f>IF($A174="","",TRIM(MID(SUBSTITUTE(SUBSTITUTE(TRIM($I174)," ",""),",",REPT(" ",100)),101,100)))</x:f>
      </x:c>
      <x:c r="V174" s="137" t="str">
        <x:f>IF($A174="","",TRIM(MID(SUBSTITUTE(SUBSTITUTE(TRIM($I174)," ",""),",",REPT(" ",100)),201,100)))</x:f>
      </x:c>
      <x:c r="W174" s="137" t="str">
        <x:f>IF($A174="","",TRIM(MID(SUBSTITUTE(SUBSTITUTE(TRIM($I174)," ",""),",",REPT(" ",100)),301,100)))</x:f>
      </x:c>
      <x:c r="X174" s="137" t="str">
        <x:f>IF($A174="","",TRIM(MID(SUBSTITUTE(SUBSTITUTE(TRIM($I174)," ",""),",",REPT(" ",100)),401,100)))</x:f>
      </x:c>
      <x:c r="Y174" s="137" t="str">
        <x:f>IF($A174="","",TRIM(MID(SUBSTITUTE(SUBSTITUTE(TRIM($I174)," ",""),",",REPT(" ",100)),501,100)))</x:f>
      </x:c>
      <x:c r="Z174" s="137" t="str">
        <x:f>IF($A174="","",TRIM(MID(SUBSTITUTE(SUBSTITUTE(TRIM($I174)," ",""),",",REPT(" ",100)),601,100)))</x:f>
      </x:c>
      <x:c r="AA174" s="137" t="str">
        <x:f>IF($A174="","",IF(SUBSTITUTE(TRIM($I174)," ","")="",0,1+LEN(SUBSTITUTE(TRIM($I174)," ",""))-LEN(SUBSTITUTE(SUBSTITUTE(TRIM($I174)," ",""),",",""))))</x:f>
      </x:c>
      <x:c r="AB174" s="137" t="str">
        <x:f>IF($A174="","",COUNTIF(TasksTable[Task ID],T174)+COUNTIF(TasksTable[Task ID],U174)+COUNTIF(TasksTable[Task ID],V174)+COUNTIF(TasksTable[Task ID],W174)+COUNTIF(TasksTable[Task ID],X174)+COUNTIF(TasksTable[Task ID],Y174)+COUNTIF(TasksTable[Task ID],Z174))</x:f>
      </x:c>
      <x:c r="AC174" s="137" t="b">
        <x:f>IF($A174="",FALSE,OR(T174=$A174,U174=$A174,V174=$A174,W174=$A174,X174=$A174,Y174=$A174,Z174=$A174))</x:f>
        <x:v>0</x:v>
      </x:c>
      <x:c r="AD174" s="144" t="n">
        <x:f>IF(AA174=0,0,MAX(IFERROR(INDEX(TasksTable[Start Date],MATCH(T174,TasksTable[Task ID],0)),0),IFERROR(INDEX(TasksTable[Start Date],MATCH(U174,TasksTable[Task ID],0)),0),IFERROR(INDEX(TasksTable[Start Date],MATCH(V174,TasksTable[Task ID],0)),0),IFERROR(INDEX(TasksTable[Start Date],MATCH(W174,TasksTable[Task ID],0)),0),IFERROR(INDEX(TasksTable[Start Date],MATCH(X174,TasksTable[Task ID],0)),0),IFERROR(INDEX(TasksTable[Start Date],MATCH(Y174,TasksTable[Task ID],0)),0),IFERROR(INDEX(TasksTable[Start Date],MATCH(Z174,TasksTable[Task ID],0)),0)))</x:f>
        <x:v>0</x:v>
      </x:c>
      <x:c r="AE174" s="144" t="n">
        <x:f>IF(AA174=0,0,MAX(IFERROR(INDEX(TasksTable[End Date],MATCH(T174,TasksTable[Task ID],0)),0),IFERROR(INDEX(TasksTable[End Date],MATCH(U174,TasksTable[Task ID],0)),0),IFERROR(INDEX(TasksTable[End Date],MATCH(V174,TasksTable[Task ID],0)),0),IFERROR(INDEX(TasksTable[End Date],MATCH(W174,TasksTable[Task ID],0)),0),IFERROR(INDEX(TasksTable[End Date],MATCH(X174,TasksTable[Task ID],0)),0),IFERROR(INDEX(TasksTable[End Date],MATCH(Y174,TasksTable[Task ID],0)),0),IFERROR(INDEX(TasksTable[End Date],MATCH(Z174,TasksTable[Task ID],0)),0)))</x:f>
        <x:v>0</x:v>
      </x:c>
      <x:c r="AF174" s="137" t="b">
        <x:f>IF(OR($A174="",AA174=0),FALSE,SWITCH($J174,"FS",$F174&lt;AE174,"SS",$F174&lt;AD174,"FF",$G174&lt;AE174,"SF",$G174&lt;AD174,TRUE))</x:f>
        <x:v>0</x:v>
      </x:c>
      <x:c r="AG174" s="137" t="str">
        <x:f>IF(AND($A174&lt;&gt;"",$K174="No",$N174&lt;&gt;"Completed",$F174&gt;=TODAY()),$F174+ROW()/100000,"")</x:f>
      </x:c>
      <x:c r="AH174" s="137" t="str">
        <x:f>IF(AND($A174&lt;&gt;"",$K174="Yes",$N174&lt;&gt;"Completed",$F174&gt;=TODAY()),$F174+ROW()/100000,"")</x:f>
      </x:c>
      <x:c r="AI174" s="137" t="str">
        <x:f>IF(AND($A174&lt;&gt;"",$K174="No",$N174&lt;&gt;"Completed",$G174&gt;=TODAY(),$G174&lt;=TODAY()+3),$G174+ROW()/100000,"")</x:f>
      </x:c>
      <x:c r="AJ174" s="137" t="str">
        <x:f>IF(AND($A174&lt;&gt;"",$K174="No",OR($N174="Delayed",$P174="Dependency conflict")),$G174+ROW()/100000,"")</x:f>
      </x:c>
      <x:c r="AK174" s="137" t="str">
        <x:f>IF(AG174="","",COUNTIFS($AG$7:$AG$206,"&gt;0",$AG$7:$AG$206,"&lt;"&amp;AG174)+1)</x:f>
      </x:c>
      <x:c r="AL174" s="137" t="str">
        <x:f>IF(AH174="","",COUNTIFS($AH$7:$AH$206,"&gt;0",$AH$7:$AH$206,"&lt;"&amp;AH174)+1)</x:f>
      </x:c>
      <x:c r="AM174" s="137" t="str">
        <x:f>IF(AI174="","",COUNTIFS($AI$7:$AI$206,"&gt;0",$AI$7:$AI$206,"&lt;"&amp;AI174)+1)</x:f>
      </x:c>
      <x:c r="AN174" s="137" t="str">
        <x:f>IF(AJ174="","",COUNTIFS($AJ$7:$AJ$206,"&gt;0",$AJ$7:$AJ$206,"&lt;"&amp;AJ174)+1)</x:f>
      </x:c>
    </x:row>
    <x:row r="175">
      <x:c r="T175" s="137" t="str">
        <x:f>IF($A175="","",TRIM(MID(SUBSTITUTE(SUBSTITUTE(TRIM($I175)," ",""),",",REPT(" ",100)),1,100)))</x:f>
      </x:c>
      <x:c r="U175" s="137" t="str">
        <x:f>IF($A175="","",TRIM(MID(SUBSTITUTE(SUBSTITUTE(TRIM($I175)," ",""),",",REPT(" ",100)),101,100)))</x:f>
      </x:c>
      <x:c r="V175" s="137" t="str">
        <x:f>IF($A175="","",TRIM(MID(SUBSTITUTE(SUBSTITUTE(TRIM($I175)," ",""),",",REPT(" ",100)),201,100)))</x:f>
      </x:c>
      <x:c r="W175" s="137" t="str">
        <x:f>IF($A175="","",TRIM(MID(SUBSTITUTE(SUBSTITUTE(TRIM($I175)," ",""),",",REPT(" ",100)),301,100)))</x:f>
      </x:c>
      <x:c r="X175" s="137" t="str">
        <x:f>IF($A175="","",TRIM(MID(SUBSTITUTE(SUBSTITUTE(TRIM($I175)," ",""),",",REPT(" ",100)),401,100)))</x:f>
      </x:c>
      <x:c r="Y175" s="137" t="str">
        <x:f>IF($A175="","",TRIM(MID(SUBSTITUTE(SUBSTITUTE(TRIM($I175)," ",""),",",REPT(" ",100)),501,100)))</x:f>
      </x:c>
      <x:c r="Z175" s="137" t="str">
        <x:f>IF($A175="","",TRIM(MID(SUBSTITUTE(SUBSTITUTE(TRIM($I175)," ",""),",",REPT(" ",100)),601,100)))</x:f>
      </x:c>
      <x:c r="AA175" s="137" t="str">
        <x:f>IF($A175="","",IF(SUBSTITUTE(TRIM($I175)," ","")="",0,1+LEN(SUBSTITUTE(TRIM($I175)," ",""))-LEN(SUBSTITUTE(SUBSTITUTE(TRIM($I175)," ",""),",",""))))</x:f>
      </x:c>
      <x:c r="AB175" s="137" t="str">
        <x:f>IF($A175="","",COUNTIF(TasksTable[Task ID],T175)+COUNTIF(TasksTable[Task ID],U175)+COUNTIF(TasksTable[Task ID],V175)+COUNTIF(TasksTable[Task ID],W175)+COUNTIF(TasksTable[Task ID],X175)+COUNTIF(TasksTable[Task ID],Y175)+COUNTIF(TasksTable[Task ID],Z175))</x:f>
      </x:c>
      <x:c r="AC175" s="137" t="b">
        <x:f>IF($A175="",FALSE,OR(T175=$A175,U175=$A175,V175=$A175,W175=$A175,X175=$A175,Y175=$A175,Z175=$A175))</x:f>
        <x:v>0</x:v>
      </x:c>
      <x:c r="AD175" s="144" t="n">
        <x:f>IF(AA175=0,0,MAX(IFERROR(INDEX(TasksTable[Start Date],MATCH(T175,TasksTable[Task ID],0)),0),IFERROR(INDEX(TasksTable[Start Date],MATCH(U175,TasksTable[Task ID],0)),0),IFERROR(INDEX(TasksTable[Start Date],MATCH(V175,TasksTable[Task ID],0)),0),IFERROR(INDEX(TasksTable[Start Date],MATCH(W175,TasksTable[Task ID],0)),0),IFERROR(INDEX(TasksTable[Start Date],MATCH(X175,TasksTable[Task ID],0)),0),IFERROR(INDEX(TasksTable[Start Date],MATCH(Y175,TasksTable[Task ID],0)),0),IFERROR(INDEX(TasksTable[Start Date],MATCH(Z175,TasksTable[Task ID],0)),0)))</x:f>
        <x:v>0</x:v>
      </x:c>
      <x:c r="AE175" s="144" t="n">
        <x:f>IF(AA175=0,0,MAX(IFERROR(INDEX(TasksTable[End Date],MATCH(T175,TasksTable[Task ID],0)),0),IFERROR(INDEX(TasksTable[End Date],MATCH(U175,TasksTable[Task ID],0)),0),IFERROR(INDEX(TasksTable[End Date],MATCH(V175,TasksTable[Task ID],0)),0),IFERROR(INDEX(TasksTable[End Date],MATCH(W175,TasksTable[Task ID],0)),0),IFERROR(INDEX(TasksTable[End Date],MATCH(X175,TasksTable[Task ID],0)),0),IFERROR(INDEX(TasksTable[End Date],MATCH(Y175,TasksTable[Task ID],0)),0),IFERROR(INDEX(TasksTable[End Date],MATCH(Z175,TasksTable[Task ID],0)),0)))</x:f>
        <x:v>0</x:v>
      </x:c>
      <x:c r="AF175" s="137" t="b">
        <x:f>IF(OR($A175="",AA175=0),FALSE,SWITCH($J175,"FS",$F175&lt;AE175,"SS",$F175&lt;AD175,"FF",$G175&lt;AE175,"SF",$G175&lt;AD175,TRUE))</x:f>
        <x:v>0</x:v>
      </x:c>
      <x:c r="AG175" s="137" t="str">
        <x:f>IF(AND($A175&lt;&gt;"",$K175="No",$N175&lt;&gt;"Completed",$F175&gt;=TODAY()),$F175+ROW()/100000,"")</x:f>
      </x:c>
      <x:c r="AH175" s="137" t="str">
        <x:f>IF(AND($A175&lt;&gt;"",$K175="Yes",$N175&lt;&gt;"Completed",$F175&gt;=TODAY()),$F175+ROW()/100000,"")</x:f>
      </x:c>
      <x:c r="AI175" s="137" t="str">
        <x:f>IF(AND($A175&lt;&gt;"",$K175="No",$N175&lt;&gt;"Completed",$G175&gt;=TODAY(),$G175&lt;=TODAY()+3),$G175+ROW()/100000,"")</x:f>
      </x:c>
      <x:c r="AJ175" s="137" t="str">
        <x:f>IF(AND($A175&lt;&gt;"",$K175="No",OR($N175="Delayed",$P175="Dependency conflict")),$G175+ROW()/100000,"")</x:f>
      </x:c>
      <x:c r="AK175" s="137" t="str">
        <x:f>IF(AG175="","",COUNTIFS($AG$7:$AG$206,"&gt;0",$AG$7:$AG$206,"&lt;"&amp;AG175)+1)</x:f>
      </x:c>
      <x:c r="AL175" s="137" t="str">
        <x:f>IF(AH175="","",COUNTIFS($AH$7:$AH$206,"&gt;0",$AH$7:$AH$206,"&lt;"&amp;AH175)+1)</x:f>
      </x:c>
      <x:c r="AM175" s="137" t="str">
        <x:f>IF(AI175="","",COUNTIFS($AI$7:$AI$206,"&gt;0",$AI$7:$AI$206,"&lt;"&amp;AI175)+1)</x:f>
      </x:c>
      <x:c r="AN175" s="137" t="str">
        <x:f>IF(AJ175="","",COUNTIFS($AJ$7:$AJ$206,"&gt;0",$AJ$7:$AJ$206,"&lt;"&amp;AJ175)+1)</x:f>
      </x:c>
    </x:row>
    <x:row r="176">
      <x:c r="T176" s="137" t="str">
        <x:f>IF($A176="","",TRIM(MID(SUBSTITUTE(SUBSTITUTE(TRIM($I176)," ",""),",",REPT(" ",100)),1,100)))</x:f>
      </x:c>
      <x:c r="U176" s="137" t="str">
        <x:f>IF($A176="","",TRIM(MID(SUBSTITUTE(SUBSTITUTE(TRIM($I176)," ",""),",",REPT(" ",100)),101,100)))</x:f>
      </x:c>
      <x:c r="V176" s="137" t="str">
        <x:f>IF($A176="","",TRIM(MID(SUBSTITUTE(SUBSTITUTE(TRIM($I176)," ",""),",",REPT(" ",100)),201,100)))</x:f>
      </x:c>
      <x:c r="W176" s="137" t="str">
        <x:f>IF($A176="","",TRIM(MID(SUBSTITUTE(SUBSTITUTE(TRIM($I176)," ",""),",",REPT(" ",100)),301,100)))</x:f>
      </x:c>
      <x:c r="X176" s="137" t="str">
        <x:f>IF($A176="","",TRIM(MID(SUBSTITUTE(SUBSTITUTE(TRIM($I176)," ",""),",",REPT(" ",100)),401,100)))</x:f>
      </x:c>
      <x:c r="Y176" s="137" t="str">
        <x:f>IF($A176="","",TRIM(MID(SUBSTITUTE(SUBSTITUTE(TRIM($I176)," ",""),",",REPT(" ",100)),501,100)))</x:f>
      </x:c>
      <x:c r="Z176" s="137" t="str">
        <x:f>IF($A176="","",TRIM(MID(SUBSTITUTE(SUBSTITUTE(TRIM($I176)," ",""),",",REPT(" ",100)),601,100)))</x:f>
      </x:c>
      <x:c r="AA176" s="137" t="str">
        <x:f>IF($A176="","",IF(SUBSTITUTE(TRIM($I176)," ","")="",0,1+LEN(SUBSTITUTE(TRIM($I176)," ",""))-LEN(SUBSTITUTE(SUBSTITUTE(TRIM($I176)," ",""),",",""))))</x:f>
      </x:c>
      <x:c r="AB176" s="137" t="str">
        <x:f>IF($A176="","",COUNTIF(TasksTable[Task ID],T176)+COUNTIF(TasksTable[Task ID],U176)+COUNTIF(TasksTable[Task ID],V176)+COUNTIF(TasksTable[Task ID],W176)+COUNTIF(TasksTable[Task ID],X176)+COUNTIF(TasksTable[Task ID],Y176)+COUNTIF(TasksTable[Task ID],Z176))</x:f>
      </x:c>
      <x:c r="AC176" s="137" t="b">
        <x:f>IF($A176="",FALSE,OR(T176=$A176,U176=$A176,V176=$A176,W176=$A176,X176=$A176,Y176=$A176,Z176=$A176))</x:f>
        <x:v>0</x:v>
      </x:c>
      <x:c r="AD176" s="144" t="n">
        <x:f>IF(AA176=0,0,MAX(IFERROR(INDEX(TasksTable[Start Date],MATCH(T176,TasksTable[Task ID],0)),0),IFERROR(INDEX(TasksTable[Start Date],MATCH(U176,TasksTable[Task ID],0)),0),IFERROR(INDEX(TasksTable[Start Date],MATCH(V176,TasksTable[Task ID],0)),0),IFERROR(INDEX(TasksTable[Start Date],MATCH(W176,TasksTable[Task ID],0)),0),IFERROR(INDEX(TasksTable[Start Date],MATCH(X176,TasksTable[Task ID],0)),0),IFERROR(INDEX(TasksTable[Start Date],MATCH(Y176,TasksTable[Task ID],0)),0),IFERROR(INDEX(TasksTable[Start Date],MATCH(Z176,TasksTable[Task ID],0)),0)))</x:f>
        <x:v>0</x:v>
      </x:c>
      <x:c r="AE176" s="144" t="n">
        <x:f>IF(AA176=0,0,MAX(IFERROR(INDEX(TasksTable[End Date],MATCH(T176,TasksTable[Task ID],0)),0),IFERROR(INDEX(TasksTable[End Date],MATCH(U176,TasksTable[Task ID],0)),0),IFERROR(INDEX(TasksTable[End Date],MATCH(V176,TasksTable[Task ID],0)),0),IFERROR(INDEX(TasksTable[End Date],MATCH(W176,TasksTable[Task ID],0)),0),IFERROR(INDEX(TasksTable[End Date],MATCH(X176,TasksTable[Task ID],0)),0),IFERROR(INDEX(TasksTable[End Date],MATCH(Y176,TasksTable[Task ID],0)),0),IFERROR(INDEX(TasksTable[End Date],MATCH(Z176,TasksTable[Task ID],0)),0)))</x:f>
        <x:v>0</x:v>
      </x:c>
      <x:c r="AF176" s="137" t="b">
        <x:f>IF(OR($A176="",AA176=0),FALSE,SWITCH($J176,"FS",$F176&lt;AE176,"SS",$F176&lt;AD176,"FF",$G176&lt;AE176,"SF",$G176&lt;AD176,TRUE))</x:f>
        <x:v>0</x:v>
      </x:c>
      <x:c r="AG176" s="137" t="str">
        <x:f>IF(AND($A176&lt;&gt;"",$K176="No",$N176&lt;&gt;"Completed",$F176&gt;=TODAY()),$F176+ROW()/100000,"")</x:f>
      </x:c>
      <x:c r="AH176" s="137" t="str">
        <x:f>IF(AND($A176&lt;&gt;"",$K176="Yes",$N176&lt;&gt;"Completed",$F176&gt;=TODAY()),$F176+ROW()/100000,"")</x:f>
      </x:c>
      <x:c r="AI176" s="137" t="str">
        <x:f>IF(AND($A176&lt;&gt;"",$K176="No",$N176&lt;&gt;"Completed",$G176&gt;=TODAY(),$G176&lt;=TODAY()+3),$G176+ROW()/100000,"")</x:f>
      </x:c>
      <x:c r="AJ176" s="137" t="str">
        <x:f>IF(AND($A176&lt;&gt;"",$K176="No",OR($N176="Delayed",$P176="Dependency conflict")),$G176+ROW()/100000,"")</x:f>
      </x:c>
      <x:c r="AK176" s="137" t="str">
        <x:f>IF(AG176="","",COUNTIFS($AG$7:$AG$206,"&gt;0",$AG$7:$AG$206,"&lt;"&amp;AG176)+1)</x:f>
      </x:c>
      <x:c r="AL176" s="137" t="str">
        <x:f>IF(AH176="","",COUNTIFS($AH$7:$AH$206,"&gt;0",$AH$7:$AH$206,"&lt;"&amp;AH176)+1)</x:f>
      </x:c>
      <x:c r="AM176" s="137" t="str">
        <x:f>IF(AI176="","",COUNTIFS($AI$7:$AI$206,"&gt;0",$AI$7:$AI$206,"&lt;"&amp;AI176)+1)</x:f>
      </x:c>
      <x:c r="AN176" s="137" t="str">
        <x:f>IF(AJ176="","",COUNTIFS($AJ$7:$AJ$206,"&gt;0",$AJ$7:$AJ$206,"&lt;"&amp;AJ176)+1)</x:f>
      </x:c>
    </x:row>
    <x:row r="177">
      <x:c r="T177" s="137" t="str">
        <x:f>IF($A177="","",TRIM(MID(SUBSTITUTE(SUBSTITUTE(TRIM($I177)," ",""),",",REPT(" ",100)),1,100)))</x:f>
      </x:c>
      <x:c r="U177" s="137" t="str">
        <x:f>IF($A177="","",TRIM(MID(SUBSTITUTE(SUBSTITUTE(TRIM($I177)," ",""),",",REPT(" ",100)),101,100)))</x:f>
      </x:c>
      <x:c r="V177" s="137" t="str">
        <x:f>IF($A177="","",TRIM(MID(SUBSTITUTE(SUBSTITUTE(TRIM($I177)," ",""),",",REPT(" ",100)),201,100)))</x:f>
      </x:c>
      <x:c r="W177" s="137" t="str">
        <x:f>IF($A177="","",TRIM(MID(SUBSTITUTE(SUBSTITUTE(TRIM($I177)," ",""),",",REPT(" ",100)),301,100)))</x:f>
      </x:c>
      <x:c r="X177" s="137" t="str">
        <x:f>IF($A177="","",TRIM(MID(SUBSTITUTE(SUBSTITUTE(TRIM($I177)," ",""),",",REPT(" ",100)),401,100)))</x:f>
      </x:c>
      <x:c r="Y177" s="137" t="str">
        <x:f>IF($A177="","",TRIM(MID(SUBSTITUTE(SUBSTITUTE(TRIM($I177)," ",""),",",REPT(" ",100)),501,100)))</x:f>
      </x:c>
      <x:c r="Z177" s="137" t="str">
        <x:f>IF($A177="","",TRIM(MID(SUBSTITUTE(SUBSTITUTE(TRIM($I177)," ",""),",",REPT(" ",100)),601,100)))</x:f>
      </x:c>
      <x:c r="AA177" s="137" t="str">
        <x:f>IF($A177="","",IF(SUBSTITUTE(TRIM($I177)," ","")="",0,1+LEN(SUBSTITUTE(TRIM($I177)," ",""))-LEN(SUBSTITUTE(SUBSTITUTE(TRIM($I177)," ",""),",",""))))</x:f>
      </x:c>
      <x:c r="AB177" s="137" t="str">
        <x:f>IF($A177="","",COUNTIF(TasksTable[Task ID],T177)+COUNTIF(TasksTable[Task ID],U177)+COUNTIF(TasksTable[Task ID],V177)+COUNTIF(TasksTable[Task ID],W177)+COUNTIF(TasksTable[Task ID],X177)+COUNTIF(TasksTable[Task ID],Y177)+COUNTIF(TasksTable[Task ID],Z177))</x:f>
      </x:c>
      <x:c r="AC177" s="137" t="b">
        <x:f>IF($A177="",FALSE,OR(T177=$A177,U177=$A177,V177=$A177,W177=$A177,X177=$A177,Y177=$A177,Z177=$A177))</x:f>
        <x:v>0</x:v>
      </x:c>
      <x:c r="AD177" s="144" t="n">
        <x:f>IF(AA177=0,0,MAX(IFERROR(INDEX(TasksTable[Start Date],MATCH(T177,TasksTable[Task ID],0)),0),IFERROR(INDEX(TasksTable[Start Date],MATCH(U177,TasksTable[Task ID],0)),0),IFERROR(INDEX(TasksTable[Start Date],MATCH(V177,TasksTable[Task ID],0)),0),IFERROR(INDEX(TasksTable[Start Date],MATCH(W177,TasksTable[Task ID],0)),0),IFERROR(INDEX(TasksTable[Start Date],MATCH(X177,TasksTable[Task ID],0)),0),IFERROR(INDEX(TasksTable[Start Date],MATCH(Y177,TasksTable[Task ID],0)),0),IFERROR(INDEX(TasksTable[Start Date],MATCH(Z177,TasksTable[Task ID],0)),0)))</x:f>
        <x:v>0</x:v>
      </x:c>
      <x:c r="AE177" s="144" t="n">
        <x:f>IF(AA177=0,0,MAX(IFERROR(INDEX(TasksTable[End Date],MATCH(T177,TasksTable[Task ID],0)),0),IFERROR(INDEX(TasksTable[End Date],MATCH(U177,TasksTable[Task ID],0)),0),IFERROR(INDEX(TasksTable[End Date],MATCH(V177,TasksTable[Task ID],0)),0),IFERROR(INDEX(TasksTable[End Date],MATCH(W177,TasksTable[Task ID],0)),0),IFERROR(INDEX(TasksTable[End Date],MATCH(X177,TasksTable[Task ID],0)),0),IFERROR(INDEX(TasksTable[End Date],MATCH(Y177,TasksTable[Task ID],0)),0),IFERROR(INDEX(TasksTable[End Date],MATCH(Z177,TasksTable[Task ID],0)),0)))</x:f>
        <x:v>0</x:v>
      </x:c>
      <x:c r="AF177" s="137" t="b">
        <x:f>IF(OR($A177="",AA177=0),FALSE,SWITCH($J177,"FS",$F177&lt;AE177,"SS",$F177&lt;AD177,"FF",$G177&lt;AE177,"SF",$G177&lt;AD177,TRUE))</x:f>
        <x:v>0</x:v>
      </x:c>
      <x:c r="AG177" s="137" t="str">
        <x:f>IF(AND($A177&lt;&gt;"",$K177="No",$N177&lt;&gt;"Completed",$F177&gt;=TODAY()),$F177+ROW()/100000,"")</x:f>
      </x:c>
      <x:c r="AH177" s="137" t="str">
        <x:f>IF(AND($A177&lt;&gt;"",$K177="Yes",$N177&lt;&gt;"Completed",$F177&gt;=TODAY()),$F177+ROW()/100000,"")</x:f>
      </x:c>
      <x:c r="AI177" s="137" t="str">
        <x:f>IF(AND($A177&lt;&gt;"",$K177="No",$N177&lt;&gt;"Completed",$G177&gt;=TODAY(),$G177&lt;=TODAY()+3),$G177+ROW()/100000,"")</x:f>
      </x:c>
      <x:c r="AJ177" s="137" t="str">
        <x:f>IF(AND($A177&lt;&gt;"",$K177="No",OR($N177="Delayed",$P177="Dependency conflict")),$G177+ROW()/100000,"")</x:f>
      </x:c>
      <x:c r="AK177" s="137" t="str">
        <x:f>IF(AG177="","",COUNTIFS($AG$7:$AG$206,"&gt;0",$AG$7:$AG$206,"&lt;"&amp;AG177)+1)</x:f>
      </x:c>
      <x:c r="AL177" s="137" t="str">
        <x:f>IF(AH177="","",COUNTIFS($AH$7:$AH$206,"&gt;0",$AH$7:$AH$206,"&lt;"&amp;AH177)+1)</x:f>
      </x:c>
      <x:c r="AM177" s="137" t="str">
        <x:f>IF(AI177="","",COUNTIFS($AI$7:$AI$206,"&gt;0",$AI$7:$AI$206,"&lt;"&amp;AI177)+1)</x:f>
      </x:c>
      <x:c r="AN177" s="137" t="str">
        <x:f>IF(AJ177="","",COUNTIFS($AJ$7:$AJ$206,"&gt;0",$AJ$7:$AJ$206,"&lt;"&amp;AJ177)+1)</x:f>
      </x:c>
    </x:row>
    <x:row r="178">
      <x:c r="T178" s="137" t="str">
        <x:f>IF($A178="","",TRIM(MID(SUBSTITUTE(SUBSTITUTE(TRIM($I178)," ",""),",",REPT(" ",100)),1,100)))</x:f>
      </x:c>
      <x:c r="U178" s="137" t="str">
        <x:f>IF($A178="","",TRIM(MID(SUBSTITUTE(SUBSTITUTE(TRIM($I178)," ",""),",",REPT(" ",100)),101,100)))</x:f>
      </x:c>
      <x:c r="V178" s="137" t="str">
        <x:f>IF($A178="","",TRIM(MID(SUBSTITUTE(SUBSTITUTE(TRIM($I178)," ",""),",",REPT(" ",100)),201,100)))</x:f>
      </x:c>
      <x:c r="W178" s="137" t="str">
        <x:f>IF($A178="","",TRIM(MID(SUBSTITUTE(SUBSTITUTE(TRIM($I178)," ",""),",",REPT(" ",100)),301,100)))</x:f>
      </x:c>
      <x:c r="X178" s="137" t="str">
        <x:f>IF($A178="","",TRIM(MID(SUBSTITUTE(SUBSTITUTE(TRIM($I178)," ",""),",",REPT(" ",100)),401,100)))</x:f>
      </x:c>
      <x:c r="Y178" s="137" t="str">
        <x:f>IF($A178="","",TRIM(MID(SUBSTITUTE(SUBSTITUTE(TRIM($I178)," ",""),",",REPT(" ",100)),501,100)))</x:f>
      </x:c>
      <x:c r="Z178" s="137" t="str">
        <x:f>IF($A178="","",TRIM(MID(SUBSTITUTE(SUBSTITUTE(TRIM($I178)," ",""),",",REPT(" ",100)),601,100)))</x:f>
      </x:c>
      <x:c r="AA178" s="137" t="str">
        <x:f>IF($A178="","",IF(SUBSTITUTE(TRIM($I178)," ","")="",0,1+LEN(SUBSTITUTE(TRIM($I178)," ",""))-LEN(SUBSTITUTE(SUBSTITUTE(TRIM($I178)," ",""),",",""))))</x:f>
      </x:c>
      <x:c r="AB178" s="137" t="str">
        <x:f>IF($A178="","",COUNTIF(TasksTable[Task ID],T178)+COUNTIF(TasksTable[Task ID],U178)+COUNTIF(TasksTable[Task ID],V178)+COUNTIF(TasksTable[Task ID],W178)+COUNTIF(TasksTable[Task ID],X178)+COUNTIF(TasksTable[Task ID],Y178)+COUNTIF(TasksTable[Task ID],Z178))</x:f>
      </x:c>
      <x:c r="AC178" s="137" t="b">
        <x:f>IF($A178="",FALSE,OR(T178=$A178,U178=$A178,V178=$A178,W178=$A178,X178=$A178,Y178=$A178,Z178=$A178))</x:f>
        <x:v>0</x:v>
      </x:c>
      <x:c r="AD178" s="144" t="n">
        <x:f>IF(AA178=0,0,MAX(IFERROR(INDEX(TasksTable[Start Date],MATCH(T178,TasksTable[Task ID],0)),0),IFERROR(INDEX(TasksTable[Start Date],MATCH(U178,TasksTable[Task ID],0)),0),IFERROR(INDEX(TasksTable[Start Date],MATCH(V178,TasksTable[Task ID],0)),0),IFERROR(INDEX(TasksTable[Start Date],MATCH(W178,TasksTable[Task ID],0)),0),IFERROR(INDEX(TasksTable[Start Date],MATCH(X178,TasksTable[Task ID],0)),0),IFERROR(INDEX(TasksTable[Start Date],MATCH(Y178,TasksTable[Task ID],0)),0),IFERROR(INDEX(TasksTable[Start Date],MATCH(Z178,TasksTable[Task ID],0)),0)))</x:f>
        <x:v>0</x:v>
      </x:c>
      <x:c r="AE178" s="144" t="n">
        <x:f>IF(AA178=0,0,MAX(IFERROR(INDEX(TasksTable[End Date],MATCH(T178,TasksTable[Task ID],0)),0),IFERROR(INDEX(TasksTable[End Date],MATCH(U178,TasksTable[Task ID],0)),0),IFERROR(INDEX(TasksTable[End Date],MATCH(V178,TasksTable[Task ID],0)),0),IFERROR(INDEX(TasksTable[End Date],MATCH(W178,TasksTable[Task ID],0)),0),IFERROR(INDEX(TasksTable[End Date],MATCH(X178,TasksTable[Task ID],0)),0),IFERROR(INDEX(TasksTable[End Date],MATCH(Y178,TasksTable[Task ID],0)),0),IFERROR(INDEX(TasksTable[End Date],MATCH(Z178,TasksTable[Task ID],0)),0)))</x:f>
        <x:v>0</x:v>
      </x:c>
      <x:c r="AF178" s="137" t="b">
        <x:f>IF(OR($A178="",AA178=0),FALSE,SWITCH($J178,"FS",$F178&lt;AE178,"SS",$F178&lt;AD178,"FF",$G178&lt;AE178,"SF",$G178&lt;AD178,TRUE))</x:f>
        <x:v>0</x:v>
      </x:c>
      <x:c r="AG178" s="137" t="str">
        <x:f>IF(AND($A178&lt;&gt;"",$K178="No",$N178&lt;&gt;"Completed",$F178&gt;=TODAY()),$F178+ROW()/100000,"")</x:f>
      </x:c>
      <x:c r="AH178" s="137" t="str">
        <x:f>IF(AND($A178&lt;&gt;"",$K178="Yes",$N178&lt;&gt;"Completed",$F178&gt;=TODAY()),$F178+ROW()/100000,"")</x:f>
      </x:c>
      <x:c r="AI178" s="137" t="str">
        <x:f>IF(AND($A178&lt;&gt;"",$K178="No",$N178&lt;&gt;"Completed",$G178&gt;=TODAY(),$G178&lt;=TODAY()+3),$G178+ROW()/100000,"")</x:f>
      </x:c>
      <x:c r="AJ178" s="137" t="str">
        <x:f>IF(AND($A178&lt;&gt;"",$K178="No",OR($N178="Delayed",$P178="Dependency conflict")),$G178+ROW()/100000,"")</x:f>
      </x:c>
      <x:c r="AK178" s="137" t="str">
        <x:f>IF(AG178="","",COUNTIFS($AG$7:$AG$206,"&gt;0",$AG$7:$AG$206,"&lt;"&amp;AG178)+1)</x:f>
      </x:c>
      <x:c r="AL178" s="137" t="str">
        <x:f>IF(AH178="","",COUNTIFS($AH$7:$AH$206,"&gt;0",$AH$7:$AH$206,"&lt;"&amp;AH178)+1)</x:f>
      </x:c>
      <x:c r="AM178" s="137" t="str">
        <x:f>IF(AI178="","",COUNTIFS($AI$7:$AI$206,"&gt;0",$AI$7:$AI$206,"&lt;"&amp;AI178)+1)</x:f>
      </x:c>
      <x:c r="AN178" s="137" t="str">
        <x:f>IF(AJ178="","",COUNTIFS($AJ$7:$AJ$206,"&gt;0",$AJ$7:$AJ$206,"&lt;"&amp;AJ178)+1)</x:f>
      </x:c>
    </x:row>
    <x:row r="179">
      <x:c r="T179" s="137" t="str">
        <x:f>IF($A179="","",TRIM(MID(SUBSTITUTE(SUBSTITUTE(TRIM($I179)," ",""),",",REPT(" ",100)),1,100)))</x:f>
      </x:c>
      <x:c r="U179" s="137" t="str">
        <x:f>IF($A179="","",TRIM(MID(SUBSTITUTE(SUBSTITUTE(TRIM($I179)," ",""),",",REPT(" ",100)),101,100)))</x:f>
      </x:c>
      <x:c r="V179" s="137" t="str">
        <x:f>IF($A179="","",TRIM(MID(SUBSTITUTE(SUBSTITUTE(TRIM($I179)," ",""),",",REPT(" ",100)),201,100)))</x:f>
      </x:c>
      <x:c r="W179" s="137" t="str">
        <x:f>IF($A179="","",TRIM(MID(SUBSTITUTE(SUBSTITUTE(TRIM($I179)," ",""),",",REPT(" ",100)),301,100)))</x:f>
      </x:c>
      <x:c r="X179" s="137" t="str">
        <x:f>IF($A179="","",TRIM(MID(SUBSTITUTE(SUBSTITUTE(TRIM($I179)," ",""),",",REPT(" ",100)),401,100)))</x:f>
      </x:c>
      <x:c r="Y179" s="137" t="str">
        <x:f>IF($A179="","",TRIM(MID(SUBSTITUTE(SUBSTITUTE(TRIM($I179)," ",""),",",REPT(" ",100)),501,100)))</x:f>
      </x:c>
      <x:c r="Z179" s="137" t="str">
        <x:f>IF($A179="","",TRIM(MID(SUBSTITUTE(SUBSTITUTE(TRIM($I179)," ",""),",",REPT(" ",100)),601,100)))</x:f>
      </x:c>
      <x:c r="AA179" s="137" t="str">
        <x:f>IF($A179="","",IF(SUBSTITUTE(TRIM($I179)," ","")="",0,1+LEN(SUBSTITUTE(TRIM($I179)," ",""))-LEN(SUBSTITUTE(SUBSTITUTE(TRIM($I179)," ",""),",",""))))</x:f>
      </x:c>
      <x:c r="AB179" s="137" t="str">
        <x:f>IF($A179="","",COUNTIF(TasksTable[Task ID],T179)+COUNTIF(TasksTable[Task ID],U179)+COUNTIF(TasksTable[Task ID],V179)+COUNTIF(TasksTable[Task ID],W179)+COUNTIF(TasksTable[Task ID],X179)+COUNTIF(TasksTable[Task ID],Y179)+COUNTIF(TasksTable[Task ID],Z179))</x:f>
      </x:c>
      <x:c r="AC179" s="137" t="b">
        <x:f>IF($A179="",FALSE,OR(T179=$A179,U179=$A179,V179=$A179,W179=$A179,X179=$A179,Y179=$A179,Z179=$A179))</x:f>
        <x:v>0</x:v>
      </x:c>
      <x:c r="AD179" s="144" t="n">
        <x:f>IF(AA179=0,0,MAX(IFERROR(INDEX(TasksTable[Start Date],MATCH(T179,TasksTable[Task ID],0)),0),IFERROR(INDEX(TasksTable[Start Date],MATCH(U179,TasksTable[Task ID],0)),0),IFERROR(INDEX(TasksTable[Start Date],MATCH(V179,TasksTable[Task ID],0)),0),IFERROR(INDEX(TasksTable[Start Date],MATCH(W179,TasksTable[Task ID],0)),0),IFERROR(INDEX(TasksTable[Start Date],MATCH(X179,TasksTable[Task ID],0)),0),IFERROR(INDEX(TasksTable[Start Date],MATCH(Y179,TasksTable[Task ID],0)),0),IFERROR(INDEX(TasksTable[Start Date],MATCH(Z179,TasksTable[Task ID],0)),0)))</x:f>
        <x:v>0</x:v>
      </x:c>
      <x:c r="AE179" s="144" t="n">
        <x:f>IF(AA179=0,0,MAX(IFERROR(INDEX(TasksTable[End Date],MATCH(T179,TasksTable[Task ID],0)),0),IFERROR(INDEX(TasksTable[End Date],MATCH(U179,TasksTable[Task ID],0)),0),IFERROR(INDEX(TasksTable[End Date],MATCH(V179,TasksTable[Task ID],0)),0),IFERROR(INDEX(TasksTable[End Date],MATCH(W179,TasksTable[Task ID],0)),0),IFERROR(INDEX(TasksTable[End Date],MATCH(X179,TasksTable[Task ID],0)),0),IFERROR(INDEX(TasksTable[End Date],MATCH(Y179,TasksTable[Task ID],0)),0),IFERROR(INDEX(TasksTable[End Date],MATCH(Z179,TasksTable[Task ID],0)),0)))</x:f>
        <x:v>0</x:v>
      </x:c>
      <x:c r="AF179" s="137" t="b">
        <x:f>IF(OR($A179="",AA179=0),FALSE,SWITCH($J179,"FS",$F179&lt;AE179,"SS",$F179&lt;AD179,"FF",$G179&lt;AE179,"SF",$G179&lt;AD179,TRUE))</x:f>
        <x:v>0</x:v>
      </x:c>
      <x:c r="AG179" s="137" t="str">
        <x:f>IF(AND($A179&lt;&gt;"",$K179="No",$N179&lt;&gt;"Completed",$F179&gt;=TODAY()),$F179+ROW()/100000,"")</x:f>
      </x:c>
      <x:c r="AH179" s="137" t="str">
        <x:f>IF(AND($A179&lt;&gt;"",$K179="Yes",$N179&lt;&gt;"Completed",$F179&gt;=TODAY()),$F179+ROW()/100000,"")</x:f>
      </x:c>
      <x:c r="AI179" s="137" t="str">
        <x:f>IF(AND($A179&lt;&gt;"",$K179="No",$N179&lt;&gt;"Completed",$G179&gt;=TODAY(),$G179&lt;=TODAY()+3),$G179+ROW()/100000,"")</x:f>
      </x:c>
      <x:c r="AJ179" s="137" t="str">
        <x:f>IF(AND($A179&lt;&gt;"",$K179="No",OR($N179="Delayed",$P179="Dependency conflict")),$G179+ROW()/100000,"")</x:f>
      </x:c>
      <x:c r="AK179" s="137" t="str">
        <x:f>IF(AG179="","",COUNTIFS($AG$7:$AG$206,"&gt;0",$AG$7:$AG$206,"&lt;"&amp;AG179)+1)</x:f>
      </x:c>
      <x:c r="AL179" s="137" t="str">
        <x:f>IF(AH179="","",COUNTIFS($AH$7:$AH$206,"&gt;0",$AH$7:$AH$206,"&lt;"&amp;AH179)+1)</x:f>
      </x:c>
      <x:c r="AM179" s="137" t="str">
        <x:f>IF(AI179="","",COUNTIFS($AI$7:$AI$206,"&gt;0",$AI$7:$AI$206,"&lt;"&amp;AI179)+1)</x:f>
      </x:c>
      <x:c r="AN179" s="137" t="str">
        <x:f>IF(AJ179="","",COUNTIFS($AJ$7:$AJ$206,"&gt;0",$AJ$7:$AJ$206,"&lt;"&amp;AJ179)+1)</x:f>
      </x:c>
    </x:row>
    <x:row r="180">
      <x:c r="T180" s="137" t="str">
        <x:f>IF($A180="","",TRIM(MID(SUBSTITUTE(SUBSTITUTE(TRIM($I180)," ",""),",",REPT(" ",100)),1,100)))</x:f>
      </x:c>
      <x:c r="U180" s="137" t="str">
        <x:f>IF($A180="","",TRIM(MID(SUBSTITUTE(SUBSTITUTE(TRIM($I180)," ",""),",",REPT(" ",100)),101,100)))</x:f>
      </x:c>
      <x:c r="V180" s="137" t="str">
        <x:f>IF($A180="","",TRIM(MID(SUBSTITUTE(SUBSTITUTE(TRIM($I180)," ",""),",",REPT(" ",100)),201,100)))</x:f>
      </x:c>
      <x:c r="W180" s="137" t="str">
        <x:f>IF($A180="","",TRIM(MID(SUBSTITUTE(SUBSTITUTE(TRIM($I180)," ",""),",",REPT(" ",100)),301,100)))</x:f>
      </x:c>
      <x:c r="X180" s="137" t="str">
        <x:f>IF($A180="","",TRIM(MID(SUBSTITUTE(SUBSTITUTE(TRIM($I180)," ",""),",",REPT(" ",100)),401,100)))</x:f>
      </x:c>
      <x:c r="Y180" s="137" t="str">
        <x:f>IF($A180="","",TRIM(MID(SUBSTITUTE(SUBSTITUTE(TRIM($I180)," ",""),",",REPT(" ",100)),501,100)))</x:f>
      </x:c>
      <x:c r="Z180" s="137" t="str">
        <x:f>IF($A180="","",TRIM(MID(SUBSTITUTE(SUBSTITUTE(TRIM($I180)," ",""),",",REPT(" ",100)),601,100)))</x:f>
      </x:c>
      <x:c r="AA180" s="137" t="str">
        <x:f>IF($A180="","",IF(SUBSTITUTE(TRIM($I180)," ","")="",0,1+LEN(SUBSTITUTE(TRIM($I180)," ",""))-LEN(SUBSTITUTE(SUBSTITUTE(TRIM($I180)," ",""),",",""))))</x:f>
      </x:c>
      <x:c r="AB180" s="137" t="str">
        <x:f>IF($A180="","",COUNTIF(TasksTable[Task ID],T180)+COUNTIF(TasksTable[Task ID],U180)+COUNTIF(TasksTable[Task ID],V180)+COUNTIF(TasksTable[Task ID],W180)+COUNTIF(TasksTable[Task ID],X180)+COUNTIF(TasksTable[Task ID],Y180)+COUNTIF(TasksTable[Task ID],Z180))</x:f>
      </x:c>
      <x:c r="AC180" s="137" t="b">
        <x:f>IF($A180="",FALSE,OR(T180=$A180,U180=$A180,V180=$A180,W180=$A180,X180=$A180,Y180=$A180,Z180=$A180))</x:f>
        <x:v>0</x:v>
      </x:c>
      <x:c r="AD180" s="144" t="n">
        <x:f>IF(AA180=0,0,MAX(IFERROR(INDEX(TasksTable[Start Date],MATCH(T180,TasksTable[Task ID],0)),0),IFERROR(INDEX(TasksTable[Start Date],MATCH(U180,TasksTable[Task ID],0)),0),IFERROR(INDEX(TasksTable[Start Date],MATCH(V180,TasksTable[Task ID],0)),0),IFERROR(INDEX(TasksTable[Start Date],MATCH(W180,TasksTable[Task ID],0)),0),IFERROR(INDEX(TasksTable[Start Date],MATCH(X180,TasksTable[Task ID],0)),0),IFERROR(INDEX(TasksTable[Start Date],MATCH(Y180,TasksTable[Task ID],0)),0),IFERROR(INDEX(TasksTable[Start Date],MATCH(Z180,TasksTable[Task ID],0)),0)))</x:f>
        <x:v>0</x:v>
      </x:c>
      <x:c r="AE180" s="144" t="n">
        <x:f>IF(AA180=0,0,MAX(IFERROR(INDEX(TasksTable[End Date],MATCH(T180,TasksTable[Task ID],0)),0),IFERROR(INDEX(TasksTable[End Date],MATCH(U180,TasksTable[Task ID],0)),0),IFERROR(INDEX(TasksTable[End Date],MATCH(V180,TasksTable[Task ID],0)),0),IFERROR(INDEX(TasksTable[End Date],MATCH(W180,TasksTable[Task ID],0)),0),IFERROR(INDEX(TasksTable[End Date],MATCH(X180,TasksTable[Task ID],0)),0),IFERROR(INDEX(TasksTable[End Date],MATCH(Y180,TasksTable[Task ID],0)),0),IFERROR(INDEX(TasksTable[End Date],MATCH(Z180,TasksTable[Task ID],0)),0)))</x:f>
        <x:v>0</x:v>
      </x:c>
      <x:c r="AF180" s="137" t="b">
        <x:f>IF(OR($A180="",AA180=0),FALSE,SWITCH($J180,"FS",$F180&lt;AE180,"SS",$F180&lt;AD180,"FF",$G180&lt;AE180,"SF",$G180&lt;AD180,TRUE))</x:f>
        <x:v>0</x:v>
      </x:c>
      <x:c r="AG180" s="137" t="str">
        <x:f>IF(AND($A180&lt;&gt;"",$K180="No",$N180&lt;&gt;"Completed",$F180&gt;=TODAY()),$F180+ROW()/100000,"")</x:f>
      </x:c>
      <x:c r="AH180" s="137" t="str">
        <x:f>IF(AND($A180&lt;&gt;"",$K180="Yes",$N180&lt;&gt;"Completed",$F180&gt;=TODAY()),$F180+ROW()/100000,"")</x:f>
      </x:c>
      <x:c r="AI180" s="137" t="str">
        <x:f>IF(AND($A180&lt;&gt;"",$K180="No",$N180&lt;&gt;"Completed",$G180&gt;=TODAY(),$G180&lt;=TODAY()+3),$G180+ROW()/100000,"")</x:f>
      </x:c>
      <x:c r="AJ180" s="137" t="str">
        <x:f>IF(AND($A180&lt;&gt;"",$K180="No",OR($N180="Delayed",$P180="Dependency conflict")),$G180+ROW()/100000,"")</x:f>
      </x:c>
      <x:c r="AK180" s="137" t="str">
        <x:f>IF(AG180="","",COUNTIFS($AG$7:$AG$206,"&gt;0",$AG$7:$AG$206,"&lt;"&amp;AG180)+1)</x:f>
      </x:c>
      <x:c r="AL180" s="137" t="str">
        <x:f>IF(AH180="","",COUNTIFS($AH$7:$AH$206,"&gt;0",$AH$7:$AH$206,"&lt;"&amp;AH180)+1)</x:f>
      </x:c>
      <x:c r="AM180" s="137" t="str">
        <x:f>IF(AI180="","",COUNTIFS($AI$7:$AI$206,"&gt;0",$AI$7:$AI$206,"&lt;"&amp;AI180)+1)</x:f>
      </x:c>
      <x:c r="AN180" s="137" t="str">
        <x:f>IF(AJ180="","",COUNTIFS($AJ$7:$AJ$206,"&gt;0",$AJ$7:$AJ$206,"&lt;"&amp;AJ180)+1)</x:f>
      </x:c>
    </x:row>
    <x:row r="181">
      <x:c r="T181" s="137" t="str">
        <x:f>IF($A181="","",TRIM(MID(SUBSTITUTE(SUBSTITUTE(TRIM($I181)," ",""),",",REPT(" ",100)),1,100)))</x:f>
      </x:c>
      <x:c r="U181" s="137" t="str">
        <x:f>IF($A181="","",TRIM(MID(SUBSTITUTE(SUBSTITUTE(TRIM($I181)," ",""),",",REPT(" ",100)),101,100)))</x:f>
      </x:c>
      <x:c r="V181" s="137" t="str">
        <x:f>IF($A181="","",TRIM(MID(SUBSTITUTE(SUBSTITUTE(TRIM($I181)," ",""),",",REPT(" ",100)),201,100)))</x:f>
      </x:c>
      <x:c r="W181" s="137" t="str">
        <x:f>IF($A181="","",TRIM(MID(SUBSTITUTE(SUBSTITUTE(TRIM($I181)," ",""),",",REPT(" ",100)),301,100)))</x:f>
      </x:c>
      <x:c r="X181" s="137" t="str">
        <x:f>IF($A181="","",TRIM(MID(SUBSTITUTE(SUBSTITUTE(TRIM($I181)," ",""),",",REPT(" ",100)),401,100)))</x:f>
      </x:c>
      <x:c r="Y181" s="137" t="str">
        <x:f>IF($A181="","",TRIM(MID(SUBSTITUTE(SUBSTITUTE(TRIM($I181)," ",""),",",REPT(" ",100)),501,100)))</x:f>
      </x:c>
      <x:c r="Z181" s="137" t="str">
        <x:f>IF($A181="","",TRIM(MID(SUBSTITUTE(SUBSTITUTE(TRIM($I181)," ",""),",",REPT(" ",100)),601,100)))</x:f>
      </x:c>
      <x:c r="AA181" s="137" t="str">
        <x:f>IF($A181="","",IF(SUBSTITUTE(TRIM($I181)," ","")="",0,1+LEN(SUBSTITUTE(TRIM($I181)," ",""))-LEN(SUBSTITUTE(SUBSTITUTE(TRIM($I181)," ",""),",",""))))</x:f>
      </x:c>
      <x:c r="AB181" s="137" t="str">
        <x:f>IF($A181="","",COUNTIF(TasksTable[Task ID],T181)+COUNTIF(TasksTable[Task ID],U181)+COUNTIF(TasksTable[Task ID],V181)+COUNTIF(TasksTable[Task ID],W181)+COUNTIF(TasksTable[Task ID],X181)+COUNTIF(TasksTable[Task ID],Y181)+COUNTIF(TasksTable[Task ID],Z181))</x:f>
      </x:c>
      <x:c r="AC181" s="137" t="b">
        <x:f>IF($A181="",FALSE,OR(T181=$A181,U181=$A181,V181=$A181,W181=$A181,X181=$A181,Y181=$A181,Z181=$A181))</x:f>
        <x:v>0</x:v>
      </x:c>
      <x:c r="AD181" s="144" t="n">
        <x:f>IF(AA181=0,0,MAX(IFERROR(INDEX(TasksTable[Start Date],MATCH(T181,TasksTable[Task ID],0)),0),IFERROR(INDEX(TasksTable[Start Date],MATCH(U181,TasksTable[Task ID],0)),0),IFERROR(INDEX(TasksTable[Start Date],MATCH(V181,TasksTable[Task ID],0)),0),IFERROR(INDEX(TasksTable[Start Date],MATCH(W181,TasksTable[Task ID],0)),0),IFERROR(INDEX(TasksTable[Start Date],MATCH(X181,TasksTable[Task ID],0)),0),IFERROR(INDEX(TasksTable[Start Date],MATCH(Y181,TasksTable[Task ID],0)),0),IFERROR(INDEX(TasksTable[Start Date],MATCH(Z181,TasksTable[Task ID],0)),0)))</x:f>
        <x:v>0</x:v>
      </x:c>
      <x:c r="AE181" s="144" t="n">
        <x:f>IF(AA181=0,0,MAX(IFERROR(INDEX(TasksTable[End Date],MATCH(T181,TasksTable[Task ID],0)),0),IFERROR(INDEX(TasksTable[End Date],MATCH(U181,TasksTable[Task ID],0)),0),IFERROR(INDEX(TasksTable[End Date],MATCH(V181,TasksTable[Task ID],0)),0),IFERROR(INDEX(TasksTable[End Date],MATCH(W181,TasksTable[Task ID],0)),0),IFERROR(INDEX(TasksTable[End Date],MATCH(X181,TasksTable[Task ID],0)),0),IFERROR(INDEX(TasksTable[End Date],MATCH(Y181,TasksTable[Task ID],0)),0),IFERROR(INDEX(TasksTable[End Date],MATCH(Z181,TasksTable[Task ID],0)),0)))</x:f>
        <x:v>0</x:v>
      </x:c>
      <x:c r="AF181" s="137" t="b">
        <x:f>IF(OR($A181="",AA181=0),FALSE,SWITCH($J181,"FS",$F181&lt;AE181,"SS",$F181&lt;AD181,"FF",$G181&lt;AE181,"SF",$G181&lt;AD181,TRUE))</x:f>
        <x:v>0</x:v>
      </x:c>
      <x:c r="AG181" s="137" t="str">
        <x:f>IF(AND($A181&lt;&gt;"",$K181="No",$N181&lt;&gt;"Completed",$F181&gt;=TODAY()),$F181+ROW()/100000,"")</x:f>
      </x:c>
      <x:c r="AH181" s="137" t="str">
        <x:f>IF(AND($A181&lt;&gt;"",$K181="Yes",$N181&lt;&gt;"Completed",$F181&gt;=TODAY()),$F181+ROW()/100000,"")</x:f>
      </x:c>
      <x:c r="AI181" s="137" t="str">
        <x:f>IF(AND($A181&lt;&gt;"",$K181="No",$N181&lt;&gt;"Completed",$G181&gt;=TODAY(),$G181&lt;=TODAY()+3),$G181+ROW()/100000,"")</x:f>
      </x:c>
      <x:c r="AJ181" s="137" t="str">
        <x:f>IF(AND($A181&lt;&gt;"",$K181="No",OR($N181="Delayed",$P181="Dependency conflict")),$G181+ROW()/100000,"")</x:f>
      </x:c>
      <x:c r="AK181" s="137" t="str">
        <x:f>IF(AG181="","",COUNTIFS($AG$7:$AG$206,"&gt;0",$AG$7:$AG$206,"&lt;"&amp;AG181)+1)</x:f>
      </x:c>
      <x:c r="AL181" s="137" t="str">
        <x:f>IF(AH181="","",COUNTIFS($AH$7:$AH$206,"&gt;0",$AH$7:$AH$206,"&lt;"&amp;AH181)+1)</x:f>
      </x:c>
      <x:c r="AM181" s="137" t="str">
        <x:f>IF(AI181="","",COUNTIFS($AI$7:$AI$206,"&gt;0",$AI$7:$AI$206,"&lt;"&amp;AI181)+1)</x:f>
      </x:c>
      <x:c r="AN181" s="137" t="str">
        <x:f>IF(AJ181="","",COUNTIFS($AJ$7:$AJ$206,"&gt;0",$AJ$7:$AJ$206,"&lt;"&amp;AJ181)+1)</x:f>
      </x:c>
    </x:row>
    <x:row r="182">
      <x:c r="T182" s="137" t="str">
        <x:f>IF($A182="","",TRIM(MID(SUBSTITUTE(SUBSTITUTE(TRIM($I182)," ",""),",",REPT(" ",100)),1,100)))</x:f>
      </x:c>
      <x:c r="U182" s="137" t="str">
        <x:f>IF($A182="","",TRIM(MID(SUBSTITUTE(SUBSTITUTE(TRIM($I182)," ",""),",",REPT(" ",100)),101,100)))</x:f>
      </x:c>
      <x:c r="V182" s="137" t="str">
        <x:f>IF($A182="","",TRIM(MID(SUBSTITUTE(SUBSTITUTE(TRIM($I182)," ",""),",",REPT(" ",100)),201,100)))</x:f>
      </x:c>
      <x:c r="W182" s="137" t="str">
        <x:f>IF($A182="","",TRIM(MID(SUBSTITUTE(SUBSTITUTE(TRIM($I182)," ",""),",",REPT(" ",100)),301,100)))</x:f>
      </x:c>
      <x:c r="X182" s="137" t="str">
        <x:f>IF($A182="","",TRIM(MID(SUBSTITUTE(SUBSTITUTE(TRIM($I182)," ",""),",",REPT(" ",100)),401,100)))</x:f>
      </x:c>
      <x:c r="Y182" s="137" t="str">
        <x:f>IF($A182="","",TRIM(MID(SUBSTITUTE(SUBSTITUTE(TRIM($I182)," ",""),",",REPT(" ",100)),501,100)))</x:f>
      </x:c>
      <x:c r="Z182" s="137" t="str">
        <x:f>IF($A182="","",TRIM(MID(SUBSTITUTE(SUBSTITUTE(TRIM($I182)," ",""),",",REPT(" ",100)),601,100)))</x:f>
      </x:c>
      <x:c r="AA182" s="137" t="str">
        <x:f>IF($A182="","",IF(SUBSTITUTE(TRIM($I182)," ","")="",0,1+LEN(SUBSTITUTE(TRIM($I182)," ",""))-LEN(SUBSTITUTE(SUBSTITUTE(TRIM($I182)," ",""),",",""))))</x:f>
      </x:c>
      <x:c r="AB182" s="137" t="str">
        <x:f>IF($A182="","",COUNTIF(TasksTable[Task ID],T182)+COUNTIF(TasksTable[Task ID],U182)+COUNTIF(TasksTable[Task ID],V182)+COUNTIF(TasksTable[Task ID],W182)+COUNTIF(TasksTable[Task ID],X182)+COUNTIF(TasksTable[Task ID],Y182)+COUNTIF(TasksTable[Task ID],Z182))</x:f>
      </x:c>
      <x:c r="AC182" s="137" t="b">
        <x:f>IF($A182="",FALSE,OR(T182=$A182,U182=$A182,V182=$A182,W182=$A182,X182=$A182,Y182=$A182,Z182=$A182))</x:f>
        <x:v>0</x:v>
      </x:c>
      <x:c r="AD182" s="144" t="n">
        <x:f>IF(AA182=0,0,MAX(IFERROR(INDEX(TasksTable[Start Date],MATCH(T182,TasksTable[Task ID],0)),0),IFERROR(INDEX(TasksTable[Start Date],MATCH(U182,TasksTable[Task ID],0)),0),IFERROR(INDEX(TasksTable[Start Date],MATCH(V182,TasksTable[Task ID],0)),0),IFERROR(INDEX(TasksTable[Start Date],MATCH(W182,TasksTable[Task ID],0)),0),IFERROR(INDEX(TasksTable[Start Date],MATCH(X182,TasksTable[Task ID],0)),0),IFERROR(INDEX(TasksTable[Start Date],MATCH(Y182,TasksTable[Task ID],0)),0),IFERROR(INDEX(TasksTable[Start Date],MATCH(Z182,TasksTable[Task ID],0)),0)))</x:f>
        <x:v>0</x:v>
      </x:c>
      <x:c r="AE182" s="144" t="n">
        <x:f>IF(AA182=0,0,MAX(IFERROR(INDEX(TasksTable[End Date],MATCH(T182,TasksTable[Task ID],0)),0),IFERROR(INDEX(TasksTable[End Date],MATCH(U182,TasksTable[Task ID],0)),0),IFERROR(INDEX(TasksTable[End Date],MATCH(V182,TasksTable[Task ID],0)),0),IFERROR(INDEX(TasksTable[End Date],MATCH(W182,TasksTable[Task ID],0)),0),IFERROR(INDEX(TasksTable[End Date],MATCH(X182,TasksTable[Task ID],0)),0),IFERROR(INDEX(TasksTable[End Date],MATCH(Y182,TasksTable[Task ID],0)),0),IFERROR(INDEX(TasksTable[End Date],MATCH(Z182,TasksTable[Task ID],0)),0)))</x:f>
        <x:v>0</x:v>
      </x:c>
      <x:c r="AF182" s="137" t="b">
        <x:f>IF(OR($A182="",AA182=0),FALSE,SWITCH($J182,"FS",$F182&lt;AE182,"SS",$F182&lt;AD182,"FF",$G182&lt;AE182,"SF",$G182&lt;AD182,TRUE))</x:f>
        <x:v>0</x:v>
      </x:c>
      <x:c r="AG182" s="137" t="str">
        <x:f>IF(AND($A182&lt;&gt;"",$K182="No",$N182&lt;&gt;"Completed",$F182&gt;=TODAY()),$F182+ROW()/100000,"")</x:f>
      </x:c>
      <x:c r="AH182" s="137" t="str">
        <x:f>IF(AND($A182&lt;&gt;"",$K182="Yes",$N182&lt;&gt;"Completed",$F182&gt;=TODAY()),$F182+ROW()/100000,"")</x:f>
      </x:c>
      <x:c r="AI182" s="137" t="str">
        <x:f>IF(AND($A182&lt;&gt;"",$K182="No",$N182&lt;&gt;"Completed",$G182&gt;=TODAY(),$G182&lt;=TODAY()+3),$G182+ROW()/100000,"")</x:f>
      </x:c>
      <x:c r="AJ182" s="137" t="str">
        <x:f>IF(AND($A182&lt;&gt;"",$K182="No",OR($N182="Delayed",$P182="Dependency conflict")),$G182+ROW()/100000,"")</x:f>
      </x:c>
      <x:c r="AK182" s="137" t="str">
        <x:f>IF(AG182="","",COUNTIFS($AG$7:$AG$206,"&gt;0",$AG$7:$AG$206,"&lt;"&amp;AG182)+1)</x:f>
      </x:c>
      <x:c r="AL182" s="137" t="str">
        <x:f>IF(AH182="","",COUNTIFS($AH$7:$AH$206,"&gt;0",$AH$7:$AH$206,"&lt;"&amp;AH182)+1)</x:f>
      </x:c>
      <x:c r="AM182" s="137" t="str">
        <x:f>IF(AI182="","",COUNTIFS($AI$7:$AI$206,"&gt;0",$AI$7:$AI$206,"&lt;"&amp;AI182)+1)</x:f>
      </x:c>
      <x:c r="AN182" s="137" t="str">
        <x:f>IF(AJ182="","",COUNTIFS($AJ$7:$AJ$206,"&gt;0",$AJ$7:$AJ$206,"&lt;"&amp;AJ182)+1)</x:f>
      </x:c>
    </x:row>
    <x:row r="183">
      <x:c r="T183" s="137" t="str">
        <x:f>IF($A183="","",TRIM(MID(SUBSTITUTE(SUBSTITUTE(TRIM($I183)," ",""),",",REPT(" ",100)),1,100)))</x:f>
      </x:c>
      <x:c r="U183" s="137" t="str">
        <x:f>IF($A183="","",TRIM(MID(SUBSTITUTE(SUBSTITUTE(TRIM($I183)," ",""),",",REPT(" ",100)),101,100)))</x:f>
      </x:c>
      <x:c r="V183" s="137" t="str">
        <x:f>IF($A183="","",TRIM(MID(SUBSTITUTE(SUBSTITUTE(TRIM($I183)," ",""),",",REPT(" ",100)),201,100)))</x:f>
      </x:c>
      <x:c r="W183" s="137" t="str">
        <x:f>IF($A183="","",TRIM(MID(SUBSTITUTE(SUBSTITUTE(TRIM($I183)," ",""),",",REPT(" ",100)),301,100)))</x:f>
      </x:c>
      <x:c r="X183" s="137" t="str">
        <x:f>IF($A183="","",TRIM(MID(SUBSTITUTE(SUBSTITUTE(TRIM($I183)," ",""),",",REPT(" ",100)),401,100)))</x:f>
      </x:c>
      <x:c r="Y183" s="137" t="str">
        <x:f>IF($A183="","",TRIM(MID(SUBSTITUTE(SUBSTITUTE(TRIM($I183)," ",""),",",REPT(" ",100)),501,100)))</x:f>
      </x:c>
      <x:c r="Z183" s="137" t="str">
        <x:f>IF($A183="","",TRIM(MID(SUBSTITUTE(SUBSTITUTE(TRIM($I183)," ",""),",",REPT(" ",100)),601,100)))</x:f>
      </x:c>
      <x:c r="AA183" s="137" t="str">
        <x:f>IF($A183="","",IF(SUBSTITUTE(TRIM($I183)," ","")="",0,1+LEN(SUBSTITUTE(TRIM($I183)," ",""))-LEN(SUBSTITUTE(SUBSTITUTE(TRIM($I183)," ",""),",",""))))</x:f>
      </x:c>
      <x:c r="AB183" s="137" t="str">
        <x:f>IF($A183="","",COUNTIF(TasksTable[Task ID],T183)+COUNTIF(TasksTable[Task ID],U183)+COUNTIF(TasksTable[Task ID],V183)+COUNTIF(TasksTable[Task ID],W183)+COUNTIF(TasksTable[Task ID],X183)+COUNTIF(TasksTable[Task ID],Y183)+COUNTIF(TasksTable[Task ID],Z183))</x:f>
      </x:c>
      <x:c r="AC183" s="137" t="b">
        <x:f>IF($A183="",FALSE,OR(T183=$A183,U183=$A183,V183=$A183,W183=$A183,X183=$A183,Y183=$A183,Z183=$A183))</x:f>
        <x:v>0</x:v>
      </x:c>
      <x:c r="AD183" s="144" t="n">
        <x:f>IF(AA183=0,0,MAX(IFERROR(INDEX(TasksTable[Start Date],MATCH(T183,TasksTable[Task ID],0)),0),IFERROR(INDEX(TasksTable[Start Date],MATCH(U183,TasksTable[Task ID],0)),0),IFERROR(INDEX(TasksTable[Start Date],MATCH(V183,TasksTable[Task ID],0)),0),IFERROR(INDEX(TasksTable[Start Date],MATCH(W183,TasksTable[Task ID],0)),0),IFERROR(INDEX(TasksTable[Start Date],MATCH(X183,TasksTable[Task ID],0)),0),IFERROR(INDEX(TasksTable[Start Date],MATCH(Y183,TasksTable[Task ID],0)),0),IFERROR(INDEX(TasksTable[Start Date],MATCH(Z183,TasksTable[Task ID],0)),0)))</x:f>
        <x:v>0</x:v>
      </x:c>
      <x:c r="AE183" s="144" t="n">
        <x:f>IF(AA183=0,0,MAX(IFERROR(INDEX(TasksTable[End Date],MATCH(T183,TasksTable[Task ID],0)),0),IFERROR(INDEX(TasksTable[End Date],MATCH(U183,TasksTable[Task ID],0)),0),IFERROR(INDEX(TasksTable[End Date],MATCH(V183,TasksTable[Task ID],0)),0),IFERROR(INDEX(TasksTable[End Date],MATCH(W183,TasksTable[Task ID],0)),0),IFERROR(INDEX(TasksTable[End Date],MATCH(X183,TasksTable[Task ID],0)),0),IFERROR(INDEX(TasksTable[End Date],MATCH(Y183,TasksTable[Task ID],0)),0),IFERROR(INDEX(TasksTable[End Date],MATCH(Z183,TasksTable[Task ID],0)),0)))</x:f>
        <x:v>0</x:v>
      </x:c>
      <x:c r="AF183" s="137" t="b">
        <x:f>IF(OR($A183="",AA183=0),FALSE,SWITCH($J183,"FS",$F183&lt;AE183,"SS",$F183&lt;AD183,"FF",$G183&lt;AE183,"SF",$G183&lt;AD183,TRUE))</x:f>
        <x:v>0</x:v>
      </x:c>
      <x:c r="AG183" s="137" t="str">
        <x:f>IF(AND($A183&lt;&gt;"",$K183="No",$N183&lt;&gt;"Completed",$F183&gt;=TODAY()),$F183+ROW()/100000,"")</x:f>
      </x:c>
      <x:c r="AH183" s="137" t="str">
        <x:f>IF(AND($A183&lt;&gt;"",$K183="Yes",$N183&lt;&gt;"Completed",$F183&gt;=TODAY()),$F183+ROW()/100000,"")</x:f>
      </x:c>
      <x:c r="AI183" s="137" t="str">
        <x:f>IF(AND($A183&lt;&gt;"",$K183="No",$N183&lt;&gt;"Completed",$G183&gt;=TODAY(),$G183&lt;=TODAY()+3),$G183+ROW()/100000,"")</x:f>
      </x:c>
      <x:c r="AJ183" s="137" t="str">
        <x:f>IF(AND($A183&lt;&gt;"",$K183="No",OR($N183="Delayed",$P183="Dependency conflict")),$G183+ROW()/100000,"")</x:f>
      </x:c>
      <x:c r="AK183" s="137" t="str">
        <x:f>IF(AG183="","",COUNTIFS($AG$7:$AG$206,"&gt;0",$AG$7:$AG$206,"&lt;"&amp;AG183)+1)</x:f>
      </x:c>
      <x:c r="AL183" s="137" t="str">
        <x:f>IF(AH183="","",COUNTIFS($AH$7:$AH$206,"&gt;0",$AH$7:$AH$206,"&lt;"&amp;AH183)+1)</x:f>
      </x:c>
      <x:c r="AM183" s="137" t="str">
        <x:f>IF(AI183="","",COUNTIFS($AI$7:$AI$206,"&gt;0",$AI$7:$AI$206,"&lt;"&amp;AI183)+1)</x:f>
      </x:c>
      <x:c r="AN183" s="137" t="str">
        <x:f>IF(AJ183="","",COUNTIFS($AJ$7:$AJ$206,"&gt;0",$AJ$7:$AJ$206,"&lt;"&amp;AJ183)+1)</x:f>
      </x:c>
    </x:row>
    <x:row r="184">
      <x:c r="T184" s="137" t="str">
        <x:f>IF($A184="","",TRIM(MID(SUBSTITUTE(SUBSTITUTE(TRIM($I184)," ",""),",",REPT(" ",100)),1,100)))</x:f>
      </x:c>
      <x:c r="U184" s="137" t="str">
        <x:f>IF($A184="","",TRIM(MID(SUBSTITUTE(SUBSTITUTE(TRIM($I184)," ",""),",",REPT(" ",100)),101,100)))</x:f>
      </x:c>
      <x:c r="V184" s="137" t="str">
        <x:f>IF($A184="","",TRIM(MID(SUBSTITUTE(SUBSTITUTE(TRIM($I184)," ",""),",",REPT(" ",100)),201,100)))</x:f>
      </x:c>
      <x:c r="W184" s="137" t="str">
        <x:f>IF($A184="","",TRIM(MID(SUBSTITUTE(SUBSTITUTE(TRIM($I184)," ",""),",",REPT(" ",100)),301,100)))</x:f>
      </x:c>
      <x:c r="X184" s="137" t="str">
        <x:f>IF($A184="","",TRIM(MID(SUBSTITUTE(SUBSTITUTE(TRIM($I184)," ",""),",",REPT(" ",100)),401,100)))</x:f>
      </x:c>
      <x:c r="Y184" s="137" t="str">
        <x:f>IF($A184="","",TRIM(MID(SUBSTITUTE(SUBSTITUTE(TRIM($I184)," ",""),",",REPT(" ",100)),501,100)))</x:f>
      </x:c>
      <x:c r="Z184" s="137" t="str">
        <x:f>IF($A184="","",TRIM(MID(SUBSTITUTE(SUBSTITUTE(TRIM($I184)," ",""),",",REPT(" ",100)),601,100)))</x:f>
      </x:c>
      <x:c r="AA184" s="137" t="str">
        <x:f>IF($A184="","",IF(SUBSTITUTE(TRIM($I184)," ","")="",0,1+LEN(SUBSTITUTE(TRIM($I184)," ",""))-LEN(SUBSTITUTE(SUBSTITUTE(TRIM($I184)," ",""),",",""))))</x:f>
      </x:c>
      <x:c r="AB184" s="137" t="str">
        <x:f>IF($A184="","",COUNTIF(TasksTable[Task ID],T184)+COUNTIF(TasksTable[Task ID],U184)+COUNTIF(TasksTable[Task ID],V184)+COUNTIF(TasksTable[Task ID],W184)+COUNTIF(TasksTable[Task ID],X184)+COUNTIF(TasksTable[Task ID],Y184)+COUNTIF(TasksTable[Task ID],Z184))</x:f>
      </x:c>
      <x:c r="AC184" s="137" t="b">
        <x:f>IF($A184="",FALSE,OR(T184=$A184,U184=$A184,V184=$A184,W184=$A184,X184=$A184,Y184=$A184,Z184=$A184))</x:f>
        <x:v>0</x:v>
      </x:c>
      <x:c r="AD184" s="144" t="n">
        <x:f>IF(AA184=0,0,MAX(IFERROR(INDEX(TasksTable[Start Date],MATCH(T184,TasksTable[Task ID],0)),0),IFERROR(INDEX(TasksTable[Start Date],MATCH(U184,TasksTable[Task ID],0)),0),IFERROR(INDEX(TasksTable[Start Date],MATCH(V184,TasksTable[Task ID],0)),0),IFERROR(INDEX(TasksTable[Start Date],MATCH(W184,TasksTable[Task ID],0)),0),IFERROR(INDEX(TasksTable[Start Date],MATCH(X184,TasksTable[Task ID],0)),0),IFERROR(INDEX(TasksTable[Start Date],MATCH(Y184,TasksTable[Task ID],0)),0),IFERROR(INDEX(TasksTable[Start Date],MATCH(Z184,TasksTable[Task ID],0)),0)))</x:f>
        <x:v>0</x:v>
      </x:c>
      <x:c r="AE184" s="144" t="n">
        <x:f>IF(AA184=0,0,MAX(IFERROR(INDEX(TasksTable[End Date],MATCH(T184,TasksTable[Task ID],0)),0),IFERROR(INDEX(TasksTable[End Date],MATCH(U184,TasksTable[Task ID],0)),0),IFERROR(INDEX(TasksTable[End Date],MATCH(V184,TasksTable[Task ID],0)),0),IFERROR(INDEX(TasksTable[End Date],MATCH(W184,TasksTable[Task ID],0)),0),IFERROR(INDEX(TasksTable[End Date],MATCH(X184,TasksTable[Task ID],0)),0),IFERROR(INDEX(TasksTable[End Date],MATCH(Y184,TasksTable[Task ID],0)),0),IFERROR(INDEX(TasksTable[End Date],MATCH(Z184,TasksTable[Task ID],0)),0)))</x:f>
        <x:v>0</x:v>
      </x:c>
      <x:c r="AF184" s="137" t="b">
        <x:f>IF(OR($A184="",AA184=0),FALSE,SWITCH($J184,"FS",$F184&lt;AE184,"SS",$F184&lt;AD184,"FF",$G184&lt;AE184,"SF",$G184&lt;AD184,TRUE))</x:f>
        <x:v>0</x:v>
      </x:c>
      <x:c r="AG184" s="137" t="str">
        <x:f>IF(AND($A184&lt;&gt;"",$K184="No",$N184&lt;&gt;"Completed",$F184&gt;=TODAY()),$F184+ROW()/100000,"")</x:f>
      </x:c>
      <x:c r="AH184" s="137" t="str">
        <x:f>IF(AND($A184&lt;&gt;"",$K184="Yes",$N184&lt;&gt;"Completed",$F184&gt;=TODAY()),$F184+ROW()/100000,"")</x:f>
      </x:c>
      <x:c r="AI184" s="137" t="str">
        <x:f>IF(AND($A184&lt;&gt;"",$K184="No",$N184&lt;&gt;"Completed",$G184&gt;=TODAY(),$G184&lt;=TODAY()+3),$G184+ROW()/100000,"")</x:f>
      </x:c>
      <x:c r="AJ184" s="137" t="str">
        <x:f>IF(AND($A184&lt;&gt;"",$K184="No",OR($N184="Delayed",$P184="Dependency conflict")),$G184+ROW()/100000,"")</x:f>
      </x:c>
      <x:c r="AK184" s="137" t="str">
        <x:f>IF(AG184="","",COUNTIFS($AG$7:$AG$206,"&gt;0",$AG$7:$AG$206,"&lt;"&amp;AG184)+1)</x:f>
      </x:c>
      <x:c r="AL184" s="137" t="str">
        <x:f>IF(AH184="","",COUNTIFS($AH$7:$AH$206,"&gt;0",$AH$7:$AH$206,"&lt;"&amp;AH184)+1)</x:f>
      </x:c>
      <x:c r="AM184" s="137" t="str">
        <x:f>IF(AI184="","",COUNTIFS($AI$7:$AI$206,"&gt;0",$AI$7:$AI$206,"&lt;"&amp;AI184)+1)</x:f>
      </x:c>
      <x:c r="AN184" s="137" t="str">
        <x:f>IF(AJ184="","",COUNTIFS($AJ$7:$AJ$206,"&gt;0",$AJ$7:$AJ$206,"&lt;"&amp;AJ184)+1)</x:f>
      </x:c>
    </x:row>
    <x:row r="185">
      <x:c r="T185" s="137" t="str">
        <x:f>IF($A185="","",TRIM(MID(SUBSTITUTE(SUBSTITUTE(TRIM($I185)," ",""),",",REPT(" ",100)),1,100)))</x:f>
      </x:c>
      <x:c r="U185" s="137" t="str">
        <x:f>IF($A185="","",TRIM(MID(SUBSTITUTE(SUBSTITUTE(TRIM($I185)," ",""),",",REPT(" ",100)),101,100)))</x:f>
      </x:c>
      <x:c r="V185" s="137" t="str">
        <x:f>IF($A185="","",TRIM(MID(SUBSTITUTE(SUBSTITUTE(TRIM($I185)," ",""),",",REPT(" ",100)),201,100)))</x:f>
      </x:c>
      <x:c r="W185" s="137" t="str">
        <x:f>IF($A185="","",TRIM(MID(SUBSTITUTE(SUBSTITUTE(TRIM($I185)," ",""),",",REPT(" ",100)),301,100)))</x:f>
      </x:c>
      <x:c r="X185" s="137" t="str">
        <x:f>IF($A185="","",TRIM(MID(SUBSTITUTE(SUBSTITUTE(TRIM($I185)," ",""),",",REPT(" ",100)),401,100)))</x:f>
      </x:c>
      <x:c r="Y185" s="137" t="str">
        <x:f>IF($A185="","",TRIM(MID(SUBSTITUTE(SUBSTITUTE(TRIM($I185)," ",""),",",REPT(" ",100)),501,100)))</x:f>
      </x:c>
      <x:c r="Z185" s="137" t="str">
        <x:f>IF($A185="","",TRIM(MID(SUBSTITUTE(SUBSTITUTE(TRIM($I185)," ",""),",",REPT(" ",100)),601,100)))</x:f>
      </x:c>
      <x:c r="AA185" s="137" t="str">
        <x:f>IF($A185="","",IF(SUBSTITUTE(TRIM($I185)," ","")="",0,1+LEN(SUBSTITUTE(TRIM($I185)," ",""))-LEN(SUBSTITUTE(SUBSTITUTE(TRIM($I185)," ",""),",",""))))</x:f>
      </x:c>
      <x:c r="AB185" s="137" t="str">
        <x:f>IF($A185="","",COUNTIF(TasksTable[Task ID],T185)+COUNTIF(TasksTable[Task ID],U185)+COUNTIF(TasksTable[Task ID],V185)+COUNTIF(TasksTable[Task ID],W185)+COUNTIF(TasksTable[Task ID],X185)+COUNTIF(TasksTable[Task ID],Y185)+COUNTIF(TasksTable[Task ID],Z185))</x:f>
      </x:c>
      <x:c r="AC185" s="137" t="b">
        <x:f>IF($A185="",FALSE,OR(T185=$A185,U185=$A185,V185=$A185,W185=$A185,X185=$A185,Y185=$A185,Z185=$A185))</x:f>
        <x:v>0</x:v>
      </x:c>
      <x:c r="AD185" s="144" t="n">
        <x:f>IF(AA185=0,0,MAX(IFERROR(INDEX(TasksTable[Start Date],MATCH(T185,TasksTable[Task ID],0)),0),IFERROR(INDEX(TasksTable[Start Date],MATCH(U185,TasksTable[Task ID],0)),0),IFERROR(INDEX(TasksTable[Start Date],MATCH(V185,TasksTable[Task ID],0)),0),IFERROR(INDEX(TasksTable[Start Date],MATCH(W185,TasksTable[Task ID],0)),0),IFERROR(INDEX(TasksTable[Start Date],MATCH(X185,TasksTable[Task ID],0)),0),IFERROR(INDEX(TasksTable[Start Date],MATCH(Y185,TasksTable[Task ID],0)),0),IFERROR(INDEX(TasksTable[Start Date],MATCH(Z185,TasksTable[Task ID],0)),0)))</x:f>
        <x:v>0</x:v>
      </x:c>
      <x:c r="AE185" s="144" t="n">
        <x:f>IF(AA185=0,0,MAX(IFERROR(INDEX(TasksTable[End Date],MATCH(T185,TasksTable[Task ID],0)),0),IFERROR(INDEX(TasksTable[End Date],MATCH(U185,TasksTable[Task ID],0)),0),IFERROR(INDEX(TasksTable[End Date],MATCH(V185,TasksTable[Task ID],0)),0),IFERROR(INDEX(TasksTable[End Date],MATCH(W185,TasksTable[Task ID],0)),0),IFERROR(INDEX(TasksTable[End Date],MATCH(X185,TasksTable[Task ID],0)),0),IFERROR(INDEX(TasksTable[End Date],MATCH(Y185,TasksTable[Task ID],0)),0),IFERROR(INDEX(TasksTable[End Date],MATCH(Z185,TasksTable[Task ID],0)),0)))</x:f>
        <x:v>0</x:v>
      </x:c>
      <x:c r="AF185" s="137" t="b">
        <x:f>IF(OR($A185="",AA185=0),FALSE,SWITCH($J185,"FS",$F185&lt;AE185,"SS",$F185&lt;AD185,"FF",$G185&lt;AE185,"SF",$G185&lt;AD185,TRUE))</x:f>
        <x:v>0</x:v>
      </x:c>
      <x:c r="AG185" s="137" t="str">
        <x:f>IF(AND($A185&lt;&gt;"",$K185="No",$N185&lt;&gt;"Completed",$F185&gt;=TODAY()),$F185+ROW()/100000,"")</x:f>
      </x:c>
      <x:c r="AH185" s="137" t="str">
        <x:f>IF(AND($A185&lt;&gt;"",$K185="Yes",$N185&lt;&gt;"Completed",$F185&gt;=TODAY()),$F185+ROW()/100000,"")</x:f>
      </x:c>
      <x:c r="AI185" s="137" t="str">
        <x:f>IF(AND($A185&lt;&gt;"",$K185="No",$N185&lt;&gt;"Completed",$G185&gt;=TODAY(),$G185&lt;=TODAY()+3),$G185+ROW()/100000,"")</x:f>
      </x:c>
      <x:c r="AJ185" s="137" t="str">
        <x:f>IF(AND($A185&lt;&gt;"",$K185="No",OR($N185="Delayed",$P185="Dependency conflict")),$G185+ROW()/100000,"")</x:f>
      </x:c>
      <x:c r="AK185" s="137" t="str">
        <x:f>IF(AG185="","",COUNTIFS($AG$7:$AG$206,"&gt;0",$AG$7:$AG$206,"&lt;"&amp;AG185)+1)</x:f>
      </x:c>
      <x:c r="AL185" s="137" t="str">
        <x:f>IF(AH185="","",COUNTIFS($AH$7:$AH$206,"&gt;0",$AH$7:$AH$206,"&lt;"&amp;AH185)+1)</x:f>
      </x:c>
      <x:c r="AM185" s="137" t="str">
        <x:f>IF(AI185="","",COUNTIFS($AI$7:$AI$206,"&gt;0",$AI$7:$AI$206,"&lt;"&amp;AI185)+1)</x:f>
      </x:c>
      <x:c r="AN185" s="137" t="str">
        <x:f>IF(AJ185="","",COUNTIFS($AJ$7:$AJ$206,"&gt;0",$AJ$7:$AJ$206,"&lt;"&amp;AJ185)+1)</x:f>
      </x:c>
    </x:row>
    <x:row r="186">
      <x:c r="T186" s="137" t="str">
        <x:f>IF($A186="","",TRIM(MID(SUBSTITUTE(SUBSTITUTE(TRIM($I186)," ",""),",",REPT(" ",100)),1,100)))</x:f>
      </x:c>
      <x:c r="U186" s="137" t="str">
        <x:f>IF($A186="","",TRIM(MID(SUBSTITUTE(SUBSTITUTE(TRIM($I186)," ",""),",",REPT(" ",100)),101,100)))</x:f>
      </x:c>
      <x:c r="V186" s="137" t="str">
        <x:f>IF($A186="","",TRIM(MID(SUBSTITUTE(SUBSTITUTE(TRIM($I186)," ",""),",",REPT(" ",100)),201,100)))</x:f>
      </x:c>
      <x:c r="W186" s="137" t="str">
        <x:f>IF($A186="","",TRIM(MID(SUBSTITUTE(SUBSTITUTE(TRIM($I186)," ",""),",",REPT(" ",100)),301,100)))</x:f>
      </x:c>
      <x:c r="X186" s="137" t="str">
        <x:f>IF($A186="","",TRIM(MID(SUBSTITUTE(SUBSTITUTE(TRIM($I186)," ",""),",",REPT(" ",100)),401,100)))</x:f>
      </x:c>
      <x:c r="Y186" s="137" t="str">
        <x:f>IF($A186="","",TRIM(MID(SUBSTITUTE(SUBSTITUTE(TRIM($I186)," ",""),",",REPT(" ",100)),501,100)))</x:f>
      </x:c>
      <x:c r="Z186" s="137" t="str">
        <x:f>IF($A186="","",TRIM(MID(SUBSTITUTE(SUBSTITUTE(TRIM($I186)," ",""),",",REPT(" ",100)),601,100)))</x:f>
      </x:c>
      <x:c r="AA186" s="137" t="str">
        <x:f>IF($A186="","",IF(SUBSTITUTE(TRIM($I186)," ","")="",0,1+LEN(SUBSTITUTE(TRIM($I186)," ",""))-LEN(SUBSTITUTE(SUBSTITUTE(TRIM($I186)," ",""),",",""))))</x:f>
      </x:c>
      <x:c r="AB186" s="137" t="str">
        <x:f>IF($A186="","",COUNTIF(TasksTable[Task ID],T186)+COUNTIF(TasksTable[Task ID],U186)+COUNTIF(TasksTable[Task ID],V186)+COUNTIF(TasksTable[Task ID],W186)+COUNTIF(TasksTable[Task ID],X186)+COUNTIF(TasksTable[Task ID],Y186)+COUNTIF(TasksTable[Task ID],Z186))</x:f>
      </x:c>
      <x:c r="AC186" s="137" t="b">
        <x:f>IF($A186="",FALSE,OR(T186=$A186,U186=$A186,V186=$A186,W186=$A186,X186=$A186,Y186=$A186,Z186=$A186))</x:f>
        <x:v>0</x:v>
      </x:c>
      <x:c r="AD186" s="144" t="n">
        <x:f>IF(AA186=0,0,MAX(IFERROR(INDEX(TasksTable[Start Date],MATCH(T186,TasksTable[Task ID],0)),0),IFERROR(INDEX(TasksTable[Start Date],MATCH(U186,TasksTable[Task ID],0)),0),IFERROR(INDEX(TasksTable[Start Date],MATCH(V186,TasksTable[Task ID],0)),0),IFERROR(INDEX(TasksTable[Start Date],MATCH(W186,TasksTable[Task ID],0)),0),IFERROR(INDEX(TasksTable[Start Date],MATCH(X186,TasksTable[Task ID],0)),0),IFERROR(INDEX(TasksTable[Start Date],MATCH(Y186,TasksTable[Task ID],0)),0),IFERROR(INDEX(TasksTable[Start Date],MATCH(Z186,TasksTable[Task ID],0)),0)))</x:f>
        <x:v>0</x:v>
      </x:c>
      <x:c r="AE186" s="144" t="n">
        <x:f>IF(AA186=0,0,MAX(IFERROR(INDEX(TasksTable[End Date],MATCH(T186,TasksTable[Task ID],0)),0),IFERROR(INDEX(TasksTable[End Date],MATCH(U186,TasksTable[Task ID],0)),0),IFERROR(INDEX(TasksTable[End Date],MATCH(V186,TasksTable[Task ID],0)),0),IFERROR(INDEX(TasksTable[End Date],MATCH(W186,TasksTable[Task ID],0)),0),IFERROR(INDEX(TasksTable[End Date],MATCH(X186,TasksTable[Task ID],0)),0),IFERROR(INDEX(TasksTable[End Date],MATCH(Y186,TasksTable[Task ID],0)),0),IFERROR(INDEX(TasksTable[End Date],MATCH(Z186,TasksTable[Task ID],0)),0)))</x:f>
        <x:v>0</x:v>
      </x:c>
      <x:c r="AF186" s="137" t="b">
        <x:f>IF(OR($A186="",AA186=0),FALSE,SWITCH($J186,"FS",$F186&lt;AE186,"SS",$F186&lt;AD186,"FF",$G186&lt;AE186,"SF",$G186&lt;AD186,TRUE))</x:f>
        <x:v>0</x:v>
      </x:c>
      <x:c r="AG186" s="137" t="str">
        <x:f>IF(AND($A186&lt;&gt;"",$K186="No",$N186&lt;&gt;"Completed",$F186&gt;=TODAY()),$F186+ROW()/100000,"")</x:f>
      </x:c>
      <x:c r="AH186" s="137" t="str">
        <x:f>IF(AND($A186&lt;&gt;"",$K186="Yes",$N186&lt;&gt;"Completed",$F186&gt;=TODAY()),$F186+ROW()/100000,"")</x:f>
      </x:c>
      <x:c r="AI186" s="137" t="str">
        <x:f>IF(AND($A186&lt;&gt;"",$K186="No",$N186&lt;&gt;"Completed",$G186&gt;=TODAY(),$G186&lt;=TODAY()+3),$G186+ROW()/100000,"")</x:f>
      </x:c>
      <x:c r="AJ186" s="137" t="str">
        <x:f>IF(AND($A186&lt;&gt;"",$K186="No",OR($N186="Delayed",$P186="Dependency conflict")),$G186+ROW()/100000,"")</x:f>
      </x:c>
      <x:c r="AK186" s="137" t="str">
        <x:f>IF(AG186="","",COUNTIFS($AG$7:$AG$206,"&gt;0",$AG$7:$AG$206,"&lt;"&amp;AG186)+1)</x:f>
      </x:c>
      <x:c r="AL186" s="137" t="str">
        <x:f>IF(AH186="","",COUNTIFS($AH$7:$AH$206,"&gt;0",$AH$7:$AH$206,"&lt;"&amp;AH186)+1)</x:f>
      </x:c>
      <x:c r="AM186" s="137" t="str">
        <x:f>IF(AI186="","",COUNTIFS($AI$7:$AI$206,"&gt;0",$AI$7:$AI$206,"&lt;"&amp;AI186)+1)</x:f>
      </x:c>
      <x:c r="AN186" s="137" t="str">
        <x:f>IF(AJ186="","",COUNTIFS($AJ$7:$AJ$206,"&gt;0",$AJ$7:$AJ$206,"&lt;"&amp;AJ186)+1)</x:f>
      </x:c>
    </x:row>
    <x:row r="187">
      <x:c r="T187" s="137" t="str">
        <x:f>IF($A187="","",TRIM(MID(SUBSTITUTE(SUBSTITUTE(TRIM($I187)," ",""),",",REPT(" ",100)),1,100)))</x:f>
      </x:c>
      <x:c r="U187" s="137" t="str">
        <x:f>IF($A187="","",TRIM(MID(SUBSTITUTE(SUBSTITUTE(TRIM($I187)," ",""),",",REPT(" ",100)),101,100)))</x:f>
      </x:c>
      <x:c r="V187" s="137" t="str">
        <x:f>IF($A187="","",TRIM(MID(SUBSTITUTE(SUBSTITUTE(TRIM($I187)," ",""),",",REPT(" ",100)),201,100)))</x:f>
      </x:c>
      <x:c r="W187" s="137" t="str">
        <x:f>IF($A187="","",TRIM(MID(SUBSTITUTE(SUBSTITUTE(TRIM($I187)," ",""),",",REPT(" ",100)),301,100)))</x:f>
      </x:c>
      <x:c r="X187" s="137" t="str">
        <x:f>IF($A187="","",TRIM(MID(SUBSTITUTE(SUBSTITUTE(TRIM($I187)," ",""),",",REPT(" ",100)),401,100)))</x:f>
      </x:c>
      <x:c r="Y187" s="137" t="str">
        <x:f>IF($A187="","",TRIM(MID(SUBSTITUTE(SUBSTITUTE(TRIM($I187)," ",""),",",REPT(" ",100)),501,100)))</x:f>
      </x:c>
      <x:c r="Z187" s="137" t="str">
        <x:f>IF($A187="","",TRIM(MID(SUBSTITUTE(SUBSTITUTE(TRIM($I187)," ",""),",",REPT(" ",100)),601,100)))</x:f>
      </x:c>
      <x:c r="AA187" s="137" t="str">
        <x:f>IF($A187="","",IF(SUBSTITUTE(TRIM($I187)," ","")="",0,1+LEN(SUBSTITUTE(TRIM($I187)," ",""))-LEN(SUBSTITUTE(SUBSTITUTE(TRIM($I187)," ",""),",",""))))</x:f>
      </x:c>
      <x:c r="AB187" s="137" t="str">
        <x:f>IF($A187="","",COUNTIF(TasksTable[Task ID],T187)+COUNTIF(TasksTable[Task ID],U187)+COUNTIF(TasksTable[Task ID],V187)+COUNTIF(TasksTable[Task ID],W187)+COUNTIF(TasksTable[Task ID],X187)+COUNTIF(TasksTable[Task ID],Y187)+COUNTIF(TasksTable[Task ID],Z187))</x:f>
      </x:c>
      <x:c r="AC187" s="137" t="b">
        <x:f>IF($A187="",FALSE,OR(T187=$A187,U187=$A187,V187=$A187,W187=$A187,X187=$A187,Y187=$A187,Z187=$A187))</x:f>
        <x:v>0</x:v>
      </x:c>
      <x:c r="AD187" s="144" t="n">
        <x:f>IF(AA187=0,0,MAX(IFERROR(INDEX(TasksTable[Start Date],MATCH(T187,TasksTable[Task ID],0)),0),IFERROR(INDEX(TasksTable[Start Date],MATCH(U187,TasksTable[Task ID],0)),0),IFERROR(INDEX(TasksTable[Start Date],MATCH(V187,TasksTable[Task ID],0)),0),IFERROR(INDEX(TasksTable[Start Date],MATCH(W187,TasksTable[Task ID],0)),0),IFERROR(INDEX(TasksTable[Start Date],MATCH(X187,TasksTable[Task ID],0)),0),IFERROR(INDEX(TasksTable[Start Date],MATCH(Y187,TasksTable[Task ID],0)),0),IFERROR(INDEX(TasksTable[Start Date],MATCH(Z187,TasksTable[Task ID],0)),0)))</x:f>
        <x:v>0</x:v>
      </x:c>
      <x:c r="AE187" s="144" t="n">
        <x:f>IF(AA187=0,0,MAX(IFERROR(INDEX(TasksTable[End Date],MATCH(T187,TasksTable[Task ID],0)),0),IFERROR(INDEX(TasksTable[End Date],MATCH(U187,TasksTable[Task ID],0)),0),IFERROR(INDEX(TasksTable[End Date],MATCH(V187,TasksTable[Task ID],0)),0),IFERROR(INDEX(TasksTable[End Date],MATCH(W187,TasksTable[Task ID],0)),0),IFERROR(INDEX(TasksTable[End Date],MATCH(X187,TasksTable[Task ID],0)),0),IFERROR(INDEX(TasksTable[End Date],MATCH(Y187,TasksTable[Task ID],0)),0),IFERROR(INDEX(TasksTable[End Date],MATCH(Z187,TasksTable[Task ID],0)),0)))</x:f>
        <x:v>0</x:v>
      </x:c>
      <x:c r="AF187" s="137" t="b">
        <x:f>IF(OR($A187="",AA187=0),FALSE,SWITCH($J187,"FS",$F187&lt;AE187,"SS",$F187&lt;AD187,"FF",$G187&lt;AE187,"SF",$G187&lt;AD187,TRUE))</x:f>
        <x:v>0</x:v>
      </x:c>
      <x:c r="AG187" s="137" t="str">
        <x:f>IF(AND($A187&lt;&gt;"",$K187="No",$N187&lt;&gt;"Completed",$F187&gt;=TODAY()),$F187+ROW()/100000,"")</x:f>
      </x:c>
      <x:c r="AH187" s="137" t="str">
        <x:f>IF(AND($A187&lt;&gt;"",$K187="Yes",$N187&lt;&gt;"Completed",$F187&gt;=TODAY()),$F187+ROW()/100000,"")</x:f>
      </x:c>
      <x:c r="AI187" s="137" t="str">
        <x:f>IF(AND($A187&lt;&gt;"",$K187="No",$N187&lt;&gt;"Completed",$G187&gt;=TODAY(),$G187&lt;=TODAY()+3),$G187+ROW()/100000,"")</x:f>
      </x:c>
      <x:c r="AJ187" s="137" t="str">
        <x:f>IF(AND($A187&lt;&gt;"",$K187="No",OR($N187="Delayed",$P187="Dependency conflict")),$G187+ROW()/100000,"")</x:f>
      </x:c>
      <x:c r="AK187" s="137" t="str">
        <x:f>IF(AG187="","",COUNTIFS($AG$7:$AG$206,"&gt;0",$AG$7:$AG$206,"&lt;"&amp;AG187)+1)</x:f>
      </x:c>
      <x:c r="AL187" s="137" t="str">
        <x:f>IF(AH187="","",COUNTIFS($AH$7:$AH$206,"&gt;0",$AH$7:$AH$206,"&lt;"&amp;AH187)+1)</x:f>
      </x:c>
      <x:c r="AM187" s="137" t="str">
        <x:f>IF(AI187="","",COUNTIFS($AI$7:$AI$206,"&gt;0",$AI$7:$AI$206,"&lt;"&amp;AI187)+1)</x:f>
      </x:c>
      <x:c r="AN187" s="137" t="str">
        <x:f>IF(AJ187="","",COUNTIFS($AJ$7:$AJ$206,"&gt;0",$AJ$7:$AJ$206,"&lt;"&amp;AJ187)+1)</x:f>
      </x:c>
    </x:row>
    <x:row r="188">
      <x:c r="T188" s="137" t="str">
        <x:f>IF($A188="","",TRIM(MID(SUBSTITUTE(SUBSTITUTE(TRIM($I188)," ",""),",",REPT(" ",100)),1,100)))</x:f>
      </x:c>
      <x:c r="U188" s="137" t="str">
        <x:f>IF($A188="","",TRIM(MID(SUBSTITUTE(SUBSTITUTE(TRIM($I188)," ",""),",",REPT(" ",100)),101,100)))</x:f>
      </x:c>
      <x:c r="V188" s="137" t="str">
        <x:f>IF($A188="","",TRIM(MID(SUBSTITUTE(SUBSTITUTE(TRIM($I188)," ",""),",",REPT(" ",100)),201,100)))</x:f>
      </x:c>
      <x:c r="W188" s="137" t="str">
        <x:f>IF($A188="","",TRIM(MID(SUBSTITUTE(SUBSTITUTE(TRIM($I188)," ",""),",",REPT(" ",100)),301,100)))</x:f>
      </x:c>
      <x:c r="X188" s="137" t="str">
        <x:f>IF($A188="","",TRIM(MID(SUBSTITUTE(SUBSTITUTE(TRIM($I188)," ",""),",",REPT(" ",100)),401,100)))</x:f>
      </x:c>
      <x:c r="Y188" s="137" t="str">
        <x:f>IF($A188="","",TRIM(MID(SUBSTITUTE(SUBSTITUTE(TRIM($I188)," ",""),",",REPT(" ",100)),501,100)))</x:f>
      </x:c>
      <x:c r="Z188" s="137" t="str">
        <x:f>IF($A188="","",TRIM(MID(SUBSTITUTE(SUBSTITUTE(TRIM($I188)," ",""),",",REPT(" ",100)),601,100)))</x:f>
      </x:c>
      <x:c r="AA188" s="137" t="str">
        <x:f>IF($A188="","",IF(SUBSTITUTE(TRIM($I188)," ","")="",0,1+LEN(SUBSTITUTE(TRIM($I188)," ",""))-LEN(SUBSTITUTE(SUBSTITUTE(TRIM($I188)," ",""),",",""))))</x:f>
      </x:c>
      <x:c r="AB188" s="137" t="str">
        <x:f>IF($A188="","",COUNTIF(TasksTable[Task ID],T188)+COUNTIF(TasksTable[Task ID],U188)+COUNTIF(TasksTable[Task ID],V188)+COUNTIF(TasksTable[Task ID],W188)+COUNTIF(TasksTable[Task ID],X188)+COUNTIF(TasksTable[Task ID],Y188)+COUNTIF(TasksTable[Task ID],Z188))</x:f>
      </x:c>
      <x:c r="AC188" s="137" t="b">
        <x:f>IF($A188="",FALSE,OR(T188=$A188,U188=$A188,V188=$A188,W188=$A188,X188=$A188,Y188=$A188,Z188=$A188))</x:f>
        <x:v>0</x:v>
      </x:c>
      <x:c r="AD188" s="144" t="n">
        <x:f>IF(AA188=0,0,MAX(IFERROR(INDEX(TasksTable[Start Date],MATCH(T188,TasksTable[Task ID],0)),0),IFERROR(INDEX(TasksTable[Start Date],MATCH(U188,TasksTable[Task ID],0)),0),IFERROR(INDEX(TasksTable[Start Date],MATCH(V188,TasksTable[Task ID],0)),0),IFERROR(INDEX(TasksTable[Start Date],MATCH(W188,TasksTable[Task ID],0)),0),IFERROR(INDEX(TasksTable[Start Date],MATCH(X188,TasksTable[Task ID],0)),0),IFERROR(INDEX(TasksTable[Start Date],MATCH(Y188,TasksTable[Task ID],0)),0),IFERROR(INDEX(TasksTable[Start Date],MATCH(Z188,TasksTable[Task ID],0)),0)))</x:f>
        <x:v>0</x:v>
      </x:c>
      <x:c r="AE188" s="144" t="n">
        <x:f>IF(AA188=0,0,MAX(IFERROR(INDEX(TasksTable[End Date],MATCH(T188,TasksTable[Task ID],0)),0),IFERROR(INDEX(TasksTable[End Date],MATCH(U188,TasksTable[Task ID],0)),0),IFERROR(INDEX(TasksTable[End Date],MATCH(V188,TasksTable[Task ID],0)),0),IFERROR(INDEX(TasksTable[End Date],MATCH(W188,TasksTable[Task ID],0)),0),IFERROR(INDEX(TasksTable[End Date],MATCH(X188,TasksTable[Task ID],0)),0),IFERROR(INDEX(TasksTable[End Date],MATCH(Y188,TasksTable[Task ID],0)),0),IFERROR(INDEX(TasksTable[End Date],MATCH(Z188,TasksTable[Task ID],0)),0)))</x:f>
        <x:v>0</x:v>
      </x:c>
      <x:c r="AF188" s="137" t="b">
        <x:f>IF(OR($A188="",AA188=0),FALSE,SWITCH($J188,"FS",$F188&lt;AE188,"SS",$F188&lt;AD188,"FF",$G188&lt;AE188,"SF",$G188&lt;AD188,TRUE))</x:f>
        <x:v>0</x:v>
      </x:c>
      <x:c r="AG188" s="137" t="str">
        <x:f>IF(AND($A188&lt;&gt;"",$K188="No",$N188&lt;&gt;"Completed",$F188&gt;=TODAY()),$F188+ROW()/100000,"")</x:f>
      </x:c>
      <x:c r="AH188" s="137" t="str">
        <x:f>IF(AND($A188&lt;&gt;"",$K188="Yes",$N188&lt;&gt;"Completed",$F188&gt;=TODAY()),$F188+ROW()/100000,"")</x:f>
      </x:c>
      <x:c r="AI188" s="137" t="str">
        <x:f>IF(AND($A188&lt;&gt;"",$K188="No",$N188&lt;&gt;"Completed",$G188&gt;=TODAY(),$G188&lt;=TODAY()+3),$G188+ROW()/100000,"")</x:f>
      </x:c>
      <x:c r="AJ188" s="137" t="str">
        <x:f>IF(AND($A188&lt;&gt;"",$K188="No",OR($N188="Delayed",$P188="Dependency conflict")),$G188+ROW()/100000,"")</x:f>
      </x:c>
      <x:c r="AK188" s="137" t="str">
        <x:f>IF(AG188="","",COUNTIFS($AG$7:$AG$206,"&gt;0",$AG$7:$AG$206,"&lt;"&amp;AG188)+1)</x:f>
      </x:c>
      <x:c r="AL188" s="137" t="str">
        <x:f>IF(AH188="","",COUNTIFS($AH$7:$AH$206,"&gt;0",$AH$7:$AH$206,"&lt;"&amp;AH188)+1)</x:f>
      </x:c>
      <x:c r="AM188" s="137" t="str">
        <x:f>IF(AI188="","",COUNTIFS($AI$7:$AI$206,"&gt;0",$AI$7:$AI$206,"&lt;"&amp;AI188)+1)</x:f>
      </x:c>
      <x:c r="AN188" s="137" t="str">
        <x:f>IF(AJ188="","",COUNTIFS($AJ$7:$AJ$206,"&gt;0",$AJ$7:$AJ$206,"&lt;"&amp;AJ188)+1)</x:f>
      </x:c>
    </x:row>
    <x:row r="189">
      <x:c r="T189" s="137" t="str">
        <x:f>IF($A189="","",TRIM(MID(SUBSTITUTE(SUBSTITUTE(TRIM($I189)," ",""),",",REPT(" ",100)),1,100)))</x:f>
      </x:c>
      <x:c r="U189" s="137" t="str">
        <x:f>IF($A189="","",TRIM(MID(SUBSTITUTE(SUBSTITUTE(TRIM($I189)," ",""),",",REPT(" ",100)),101,100)))</x:f>
      </x:c>
      <x:c r="V189" s="137" t="str">
        <x:f>IF($A189="","",TRIM(MID(SUBSTITUTE(SUBSTITUTE(TRIM($I189)," ",""),",",REPT(" ",100)),201,100)))</x:f>
      </x:c>
      <x:c r="W189" s="137" t="str">
        <x:f>IF($A189="","",TRIM(MID(SUBSTITUTE(SUBSTITUTE(TRIM($I189)," ",""),",",REPT(" ",100)),301,100)))</x:f>
      </x:c>
      <x:c r="X189" s="137" t="str">
        <x:f>IF($A189="","",TRIM(MID(SUBSTITUTE(SUBSTITUTE(TRIM($I189)," ",""),",",REPT(" ",100)),401,100)))</x:f>
      </x:c>
      <x:c r="Y189" s="137" t="str">
        <x:f>IF($A189="","",TRIM(MID(SUBSTITUTE(SUBSTITUTE(TRIM($I189)," ",""),",",REPT(" ",100)),501,100)))</x:f>
      </x:c>
      <x:c r="Z189" s="137" t="str">
        <x:f>IF($A189="","",TRIM(MID(SUBSTITUTE(SUBSTITUTE(TRIM($I189)," ",""),",",REPT(" ",100)),601,100)))</x:f>
      </x:c>
      <x:c r="AA189" s="137" t="str">
        <x:f>IF($A189="","",IF(SUBSTITUTE(TRIM($I189)," ","")="",0,1+LEN(SUBSTITUTE(TRIM($I189)," ",""))-LEN(SUBSTITUTE(SUBSTITUTE(TRIM($I189)," ",""),",",""))))</x:f>
      </x:c>
      <x:c r="AB189" s="137" t="str">
        <x:f>IF($A189="","",COUNTIF(TasksTable[Task ID],T189)+COUNTIF(TasksTable[Task ID],U189)+COUNTIF(TasksTable[Task ID],V189)+COUNTIF(TasksTable[Task ID],W189)+COUNTIF(TasksTable[Task ID],X189)+COUNTIF(TasksTable[Task ID],Y189)+COUNTIF(TasksTable[Task ID],Z189))</x:f>
      </x:c>
      <x:c r="AC189" s="137" t="b">
        <x:f>IF($A189="",FALSE,OR(T189=$A189,U189=$A189,V189=$A189,W189=$A189,X189=$A189,Y189=$A189,Z189=$A189))</x:f>
        <x:v>0</x:v>
      </x:c>
      <x:c r="AD189" s="144" t="n">
        <x:f>IF(AA189=0,0,MAX(IFERROR(INDEX(TasksTable[Start Date],MATCH(T189,TasksTable[Task ID],0)),0),IFERROR(INDEX(TasksTable[Start Date],MATCH(U189,TasksTable[Task ID],0)),0),IFERROR(INDEX(TasksTable[Start Date],MATCH(V189,TasksTable[Task ID],0)),0),IFERROR(INDEX(TasksTable[Start Date],MATCH(W189,TasksTable[Task ID],0)),0),IFERROR(INDEX(TasksTable[Start Date],MATCH(X189,TasksTable[Task ID],0)),0),IFERROR(INDEX(TasksTable[Start Date],MATCH(Y189,TasksTable[Task ID],0)),0),IFERROR(INDEX(TasksTable[Start Date],MATCH(Z189,TasksTable[Task ID],0)),0)))</x:f>
        <x:v>0</x:v>
      </x:c>
      <x:c r="AE189" s="144" t="n">
        <x:f>IF(AA189=0,0,MAX(IFERROR(INDEX(TasksTable[End Date],MATCH(T189,TasksTable[Task ID],0)),0),IFERROR(INDEX(TasksTable[End Date],MATCH(U189,TasksTable[Task ID],0)),0),IFERROR(INDEX(TasksTable[End Date],MATCH(V189,TasksTable[Task ID],0)),0),IFERROR(INDEX(TasksTable[End Date],MATCH(W189,TasksTable[Task ID],0)),0),IFERROR(INDEX(TasksTable[End Date],MATCH(X189,TasksTable[Task ID],0)),0),IFERROR(INDEX(TasksTable[End Date],MATCH(Y189,TasksTable[Task ID],0)),0),IFERROR(INDEX(TasksTable[End Date],MATCH(Z189,TasksTable[Task ID],0)),0)))</x:f>
        <x:v>0</x:v>
      </x:c>
      <x:c r="AF189" s="137" t="b">
        <x:f>IF(OR($A189="",AA189=0),FALSE,SWITCH($J189,"FS",$F189&lt;AE189,"SS",$F189&lt;AD189,"FF",$G189&lt;AE189,"SF",$G189&lt;AD189,TRUE))</x:f>
        <x:v>0</x:v>
      </x:c>
      <x:c r="AG189" s="137" t="str">
        <x:f>IF(AND($A189&lt;&gt;"",$K189="No",$N189&lt;&gt;"Completed",$F189&gt;=TODAY()),$F189+ROW()/100000,"")</x:f>
      </x:c>
      <x:c r="AH189" s="137" t="str">
        <x:f>IF(AND($A189&lt;&gt;"",$K189="Yes",$N189&lt;&gt;"Completed",$F189&gt;=TODAY()),$F189+ROW()/100000,"")</x:f>
      </x:c>
      <x:c r="AI189" s="137" t="str">
        <x:f>IF(AND($A189&lt;&gt;"",$K189="No",$N189&lt;&gt;"Completed",$G189&gt;=TODAY(),$G189&lt;=TODAY()+3),$G189+ROW()/100000,"")</x:f>
      </x:c>
      <x:c r="AJ189" s="137" t="str">
        <x:f>IF(AND($A189&lt;&gt;"",$K189="No",OR($N189="Delayed",$P189="Dependency conflict")),$G189+ROW()/100000,"")</x:f>
      </x:c>
      <x:c r="AK189" s="137" t="str">
        <x:f>IF(AG189="","",COUNTIFS($AG$7:$AG$206,"&gt;0",$AG$7:$AG$206,"&lt;"&amp;AG189)+1)</x:f>
      </x:c>
      <x:c r="AL189" s="137" t="str">
        <x:f>IF(AH189="","",COUNTIFS($AH$7:$AH$206,"&gt;0",$AH$7:$AH$206,"&lt;"&amp;AH189)+1)</x:f>
      </x:c>
      <x:c r="AM189" s="137" t="str">
        <x:f>IF(AI189="","",COUNTIFS($AI$7:$AI$206,"&gt;0",$AI$7:$AI$206,"&lt;"&amp;AI189)+1)</x:f>
      </x:c>
      <x:c r="AN189" s="137" t="str">
        <x:f>IF(AJ189="","",COUNTIFS($AJ$7:$AJ$206,"&gt;0",$AJ$7:$AJ$206,"&lt;"&amp;AJ189)+1)</x:f>
      </x:c>
    </x:row>
    <x:row r="190">
      <x:c r="T190" s="137" t="str">
        <x:f>IF($A190="","",TRIM(MID(SUBSTITUTE(SUBSTITUTE(TRIM($I190)," ",""),",",REPT(" ",100)),1,100)))</x:f>
      </x:c>
      <x:c r="U190" s="137" t="str">
        <x:f>IF($A190="","",TRIM(MID(SUBSTITUTE(SUBSTITUTE(TRIM($I190)," ",""),",",REPT(" ",100)),101,100)))</x:f>
      </x:c>
      <x:c r="V190" s="137" t="str">
        <x:f>IF($A190="","",TRIM(MID(SUBSTITUTE(SUBSTITUTE(TRIM($I190)," ",""),",",REPT(" ",100)),201,100)))</x:f>
      </x:c>
      <x:c r="W190" s="137" t="str">
        <x:f>IF($A190="","",TRIM(MID(SUBSTITUTE(SUBSTITUTE(TRIM($I190)," ",""),",",REPT(" ",100)),301,100)))</x:f>
      </x:c>
      <x:c r="X190" s="137" t="str">
        <x:f>IF($A190="","",TRIM(MID(SUBSTITUTE(SUBSTITUTE(TRIM($I190)," ",""),",",REPT(" ",100)),401,100)))</x:f>
      </x:c>
      <x:c r="Y190" s="137" t="str">
        <x:f>IF($A190="","",TRIM(MID(SUBSTITUTE(SUBSTITUTE(TRIM($I190)," ",""),",",REPT(" ",100)),501,100)))</x:f>
      </x:c>
      <x:c r="Z190" s="137" t="str">
        <x:f>IF($A190="","",TRIM(MID(SUBSTITUTE(SUBSTITUTE(TRIM($I190)," ",""),",",REPT(" ",100)),601,100)))</x:f>
      </x:c>
      <x:c r="AA190" s="137" t="str">
        <x:f>IF($A190="","",IF(SUBSTITUTE(TRIM($I190)," ","")="",0,1+LEN(SUBSTITUTE(TRIM($I190)," ",""))-LEN(SUBSTITUTE(SUBSTITUTE(TRIM($I190)," ",""),",",""))))</x:f>
      </x:c>
      <x:c r="AB190" s="137" t="str">
        <x:f>IF($A190="","",COUNTIF(TasksTable[Task ID],T190)+COUNTIF(TasksTable[Task ID],U190)+COUNTIF(TasksTable[Task ID],V190)+COUNTIF(TasksTable[Task ID],W190)+COUNTIF(TasksTable[Task ID],X190)+COUNTIF(TasksTable[Task ID],Y190)+COUNTIF(TasksTable[Task ID],Z190))</x:f>
      </x:c>
      <x:c r="AC190" s="137" t="b">
        <x:f>IF($A190="",FALSE,OR(T190=$A190,U190=$A190,V190=$A190,W190=$A190,X190=$A190,Y190=$A190,Z190=$A190))</x:f>
        <x:v>0</x:v>
      </x:c>
      <x:c r="AD190" s="144" t="n">
        <x:f>IF(AA190=0,0,MAX(IFERROR(INDEX(TasksTable[Start Date],MATCH(T190,TasksTable[Task ID],0)),0),IFERROR(INDEX(TasksTable[Start Date],MATCH(U190,TasksTable[Task ID],0)),0),IFERROR(INDEX(TasksTable[Start Date],MATCH(V190,TasksTable[Task ID],0)),0),IFERROR(INDEX(TasksTable[Start Date],MATCH(W190,TasksTable[Task ID],0)),0),IFERROR(INDEX(TasksTable[Start Date],MATCH(X190,TasksTable[Task ID],0)),0),IFERROR(INDEX(TasksTable[Start Date],MATCH(Y190,TasksTable[Task ID],0)),0),IFERROR(INDEX(TasksTable[Start Date],MATCH(Z190,TasksTable[Task ID],0)),0)))</x:f>
        <x:v>0</x:v>
      </x:c>
      <x:c r="AE190" s="144" t="n">
        <x:f>IF(AA190=0,0,MAX(IFERROR(INDEX(TasksTable[End Date],MATCH(T190,TasksTable[Task ID],0)),0),IFERROR(INDEX(TasksTable[End Date],MATCH(U190,TasksTable[Task ID],0)),0),IFERROR(INDEX(TasksTable[End Date],MATCH(V190,TasksTable[Task ID],0)),0),IFERROR(INDEX(TasksTable[End Date],MATCH(W190,TasksTable[Task ID],0)),0),IFERROR(INDEX(TasksTable[End Date],MATCH(X190,TasksTable[Task ID],0)),0),IFERROR(INDEX(TasksTable[End Date],MATCH(Y190,TasksTable[Task ID],0)),0),IFERROR(INDEX(TasksTable[End Date],MATCH(Z190,TasksTable[Task ID],0)),0)))</x:f>
        <x:v>0</x:v>
      </x:c>
      <x:c r="AF190" s="137" t="b">
        <x:f>IF(OR($A190="",AA190=0),FALSE,SWITCH($J190,"FS",$F190&lt;AE190,"SS",$F190&lt;AD190,"FF",$G190&lt;AE190,"SF",$G190&lt;AD190,TRUE))</x:f>
        <x:v>0</x:v>
      </x:c>
      <x:c r="AG190" s="137" t="str">
        <x:f>IF(AND($A190&lt;&gt;"",$K190="No",$N190&lt;&gt;"Completed",$F190&gt;=TODAY()),$F190+ROW()/100000,"")</x:f>
      </x:c>
      <x:c r="AH190" s="137" t="str">
        <x:f>IF(AND($A190&lt;&gt;"",$K190="Yes",$N190&lt;&gt;"Completed",$F190&gt;=TODAY()),$F190+ROW()/100000,"")</x:f>
      </x:c>
      <x:c r="AI190" s="137" t="str">
        <x:f>IF(AND($A190&lt;&gt;"",$K190="No",$N190&lt;&gt;"Completed",$G190&gt;=TODAY(),$G190&lt;=TODAY()+3),$G190+ROW()/100000,"")</x:f>
      </x:c>
      <x:c r="AJ190" s="137" t="str">
        <x:f>IF(AND($A190&lt;&gt;"",$K190="No",OR($N190="Delayed",$P190="Dependency conflict")),$G190+ROW()/100000,"")</x:f>
      </x:c>
      <x:c r="AK190" s="137" t="str">
        <x:f>IF(AG190="","",COUNTIFS($AG$7:$AG$206,"&gt;0",$AG$7:$AG$206,"&lt;"&amp;AG190)+1)</x:f>
      </x:c>
      <x:c r="AL190" s="137" t="str">
        <x:f>IF(AH190="","",COUNTIFS($AH$7:$AH$206,"&gt;0",$AH$7:$AH$206,"&lt;"&amp;AH190)+1)</x:f>
      </x:c>
      <x:c r="AM190" s="137" t="str">
        <x:f>IF(AI190="","",COUNTIFS($AI$7:$AI$206,"&gt;0",$AI$7:$AI$206,"&lt;"&amp;AI190)+1)</x:f>
      </x:c>
      <x:c r="AN190" s="137" t="str">
        <x:f>IF(AJ190="","",COUNTIFS($AJ$7:$AJ$206,"&gt;0",$AJ$7:$AJ$206,"&lt;"&amp;AJ190)+1)</x:f>
      </x:c>
    </x:row>
    <x:row r="191">
      <x:c r="T191" s="137" t="str">
        <x:f>IF($A191="","",TRIM(MID(SUBSTITUTE(SUBSTITUTE(TRIM($I191)," ",""),",",REPT(" ",100)),1,100)))</x:f>
      </x:c>
      <x:c r="U191" s="137" t="str">
        <x:f>IF($A191="","",TRIM(MID(SUBSTITUTE(SUBSTITUTE(TRIM($I191)," ",""),",",REPT(" ",100)),101,100)))</x:f>
      </x:c>
      <x:c r="V191" s="137" t="str">
        <x:f>IF($A191="","",TRIM(MID(SUBSTITUTE(SUBSTITUTE(TRIM($I191)," ",""),",",REPT(" ",100)),201,100)))</x:f>
      </x:c>
      <x:c r="W191" s="137" t="str">
        <x:f>IF($A191="","",TRIM(MID(SUBSTITUTE(SUBSTITUTE(TRIM($I191)," ",""),",",REPT(" ",100)),301,100)))</x:f>
      </x:c>
      <x:c r="X191" s="137" t="str">
        <x:f>IF($A191="","",TRIM(MID(SUBSTITUTE(SUBSTITUTE(TRIM($I191)," ",""),",",REPT(" ",100)),401,100)))</x:f>
      </x:c>
      <x:c r="Y191" s="137" t="str">
        <x:f>IF($A191="","",TRIM(MID(SUBSTITUTE(SUBSTITUTE(TRIM($I191)," ",""),",",REPT(" ",100)),501,100)))</x:f>
      </x:c>
      <x:c r="Z191" s="137" t="str">
        <x:f>IF($A191="","",TRIM(MID(SUBSTITUTE(SUBSTITUTE(TRIM($I191)," ",""),",",REPT(" ",100)),601,100)))</x:f>
      </x:c>
      <x:c r="AA191" s="137" t="str">
        <x:f>IF($A191="","",IF(SUBSTITUTE(TRIM($I191)," ","")="",0,1+LEN(SUBSTITUTE(TRIM($I191)," ",""))-LEN(SUBSTITUTE(SUBSTITUTE(TRIM($I191)," ",""),",",""))))</x:f>
      </x:c>
      <x:c r="AB191" s="137" t="str">
        <x:f>IF($A191="","",COUNTIF(TasksTable[Task ID],T191)+COUNTIF(TasksTable[Task ID],U191)+COUNTIF(TasksTable[Task ID],V191)+COUNTIF(TasksTable[Task ID],W191)+COUNTIF(TasksTable[Task ID],X191)+COUNTIF(TasksTable[Task ID],Y191)+COUNTIF(TasksTable[Task ID],Z191))</x:f>
      </x:c>
      <x:c r="AC191" s="137" t="b">
        <x:f>IF($A191="",FALSE,OR(T191=$A191,U191=$A191,V191=$A191,W191=$A191,X191=$A191,Y191=$A191,Z191=$A191))</x:f>
        <x:v>0</x:v>
      </x:c>
      <x:c r="AD191" s="144" t="n">
        <x:f>IF(AA191=0,0,MAX(IFERROR(INDEX(TasksTable[Start Date],MATCH(T191,TasksTable[Task ID],0)),0),IFERROR(INDEX(TasksTable[Start Date],MATCH(U191,TasksTable[Task ID],0)),0),IFERROR(INDEX(TasksTable[Start Date],MATCH(V191,TasksTable[Task ID],0)),0),IFERROR(INDEX(TasksTable[Start Date],MATCH(W191,TasksTable[Task ID],0)),0),IFERROR(INDEX(TasksTable[Start Date],MATCH(X191,TasksTable[Task ID],0)),0),IFERROR(INDEX(TasksTable[Start Date],MATCH(Y191,TasksTable[Task ID],0)),0),IFERROR(INDEX(TasksTable[Start Date],MATCH(Z191,TasksTable[Task ID],0)),0)))</x:f>
        <x:v>0</x:v>
      </x:c>
      <x:c r="AE191" s="144" t="n">
        <x:f>IF(AA191=0,0,MAX(IFERROR(INDEX(TasksTable[End Date],MATCH(T191,TasksTable[Task ID],0)),0),IFERROR(INDEX(TasksTable[End Date],MATCH(U191,TasksTable[Task ID],0)),0),IFERROR(INDEX(TasksTable[End Date],MATCH(V191,TasksTable[Task ID],0)),0),IFERROR(INDEX(TasksTable[End Date],MATCH(W191,TasksTable[Task ID],0)),0),IFERROR(INDEX(TasksTable[End Date],MATCH(X191,TasksTable[Task ID],0)),0),IFERROR(INDEX(TasksTable[End Date],MATCH(Y191,TasksTable[Task ID],0)),0),IFERROR(INDEX(TasksTable[End Date],MATCH(Z191,TasksTable[Task ID],0)),0)))</x:f>
        <x:v>0</x:v>
      </x:c>
      <x:c r="AF191" s="137" t="b">
        <x:f>IF(OR($A191="",AA191=0),FALSE,SWITCH($J191,"FS",$F191&lt;AE191,"SS",$F191&lt;AD191,"FF",$G191&lt;AE191,"SF",$G191&lt;AD191,TRUE))</x:f>
        <x:v>0</x:v>
      </x:c>
      <x:c r="AG191" s="137" t="str">
        <x:f>IF(AND($A191&lt;&gt;"",$K191="No",$N191&lt;&gt;"Completed",$F191&gt;=TODAY()),$F191+ROW()/100000,"")</x:f>
      </x:c>
      <x:c r="AH191" s="137" t="str">
        <x:f>IF(AND($A191&lt;&gt;"",$K191="Yes",$N191&lt;&gt;"Completed",$F191&gt;=TODAY()),$F191+ROW()/100000,"")</x:f>
      </x:c>
      <x:c r="AI191" s="137" t="str">
        <x:f>IF(AND($A191&lt;&gt;"",$K191="No",$N191&lt;&gt;"Completed",$G191&gt;=TODAY(),$G191&lt;=TODAY()+3),$G191+ROW()/100000,"")</x:f>
      </x:c>
      <x:c r="AJ191" s="137" t="str">
        <x:f>IF(AND($A191&lt;&gt;"",$K191="No",OR($N191="Delayed",$P191="Dependency conflict")),$G191+ROW()/100000,"")</x:f>
      </x:c>
      <x:c r="AK191" s="137" t="str">
        <x:f>IF(AG191="","",COUNTIFS($AG$7:$AG$206,"&gt;0",$AG$7:$AG$206,"&lt;"&amp;AG191)+1)</x:f>
      </x:c>
      <x:c r="AL191" s="137" t="str">
        <x:f>IF(AH191="","",COUNTIFS($AH$7:$AH$206,"&gt;0",$AH$7:$AH$206,"&lt;"&amp;AH191)+1)</x:f>
      </x:c>
      <x:c r="AM191" s="137" t="str">
        <x:f>IF(AI191="","",COUNTIFS($AI$7:$AI$206,"&gt;0",$AI$7:$AI$206,"&lt;"&amp;AI191)+1)</x:f>
      </x:c>
      <x:c r="AN191" s="137" t="str">
        <x:f>IF(AJ191="","",COUNTIFS($AJ$7:$AJ$206,"&gt;0",$AJ$7:$AJ$206,"&lt;"&amp;AJ191)+1)</x:f>
      </x:c>
    </x:row>
    <x:row r="192">
      <x:c r="T192" s="137" t="str">
        <x:f>IF($A192="","",TRIM(MID(SUBSTITUTE(SUBSTITUTE(TRIM($I192)," ",""),",",REPT(" ",100)),1,100)))</x:f>
      </x:c>
      <x:c r="U192" s="137" t="str">
        <x:f>IF($A192="","",TRIM(MID(SUBSTITUTE(SUBSTITUTE(TRIM($I192)," ",""),",",REPT(" ",100)),101,100)))</x:f>
      </x:c>
      <x:c r="V192" s="137" t="str">
        <x:f>IF($A192="","",TRIM(MID(SUBSTITUTE(SUBSTITUTE(TRIM($I192)," ",""),",",REPT(" ",100)),201,100)))</x:f>
      </x:c>
      <x:c r="W192" s="137" t="str">
        <x:f>IF($A192="","",TRIM(MID(SUBSTITUTE(SUBSTITUTE(TRIM($I192)," ",""),",",REPT(" ",100)),301,100)))</x:f>
      </x:c>
      <x:c r="X192" s="137" t="str">
        <x:f>IF($A192="","",TRIM(MID(SUBSTITUTE(SUBSTITUTE(TRIM($I192)," ",""),",",REPT(" ",100)),401,100)))</x:f>
      </x:c>
      <x:c r="Y192" s="137" t="str">
        <x:f>IF($A192="","",TRIM(MID(SUBSTITUTE(SUBSTITUTE(TRIM($I192)," ",""),",",REPT(" ",100)),501,100)))</x:f>
      </x:c>
      <x:c r="Z192" s="137" t="str">
        <x:f>IF($A192="","",TRIM(MID(SUBSTITUTE(SUBSTITUTE(TRIM($I192)," ",""),",",REPT(" ",100)),601,100)))</x:f>
      </x:c>
      <x:c r="AA192" s="137" t="str">
        <x:f>IF($A192="","",IF(SUBSTITUTE(TRIM($I192)," ","")="",0,1+LEN(SUBSTITUTE(TRIM($I192)," ",""))-LEN(SUBSTITUTE(SUBSTITUTE(TRIM($I192)," ",""),",",""))))</x:f>
      </x:c>
      <x:c r="AB192" s="137" t="str">
        <x:f>IF($A192="","",COUNTIF(TasksTable[Task ID],T192)+COUNTIF(TasksTable[Task ID],U192)+COUNTIF(TasksTable[Task ID],V192)+COUNTIF(TasksTable[Task ID],W192)+COUNTIF(TasksTable[Task ID],X192)+COUNTIF(TasksTable[Task ID],Y192)+COUNTIF(TasksTable[Task ID],Z192))</x:f>
      </x:c>
      <x:c r="AC192" s="137" t="b">
        <x:f>IF($A192="",FALSE,OR(T192=$A192,U192=$A192,V192=$A192,W192=$A192,X192=$A192,Y192=$A192,Z192=$A192))</x:f>
        <x:v>0</x:v>
      </x:c>
      <x:c r="AD192" s="144" t="n">
        <x:f>IF(AA192=0,0,MAX(IFERROR(INDEX(TasksTable[Start Date],MATCH(T192,TasksTable[Task ID],0)),0),IFERROR(INDEX(TasksTable[Start Date],MATCH(U192,TasksTable[Task ID],0)),0),IFERROR(INDEX(TasksTable[Start Date],MATCH(V192,TasksTable[Task ID],0)),0),IFERROR(INDEX(TasksTable[Start Date],MATCH(W192,TasksTable[Task ID],0)),0),IFERROR(INDEX(TasksTable[Start Date],MATCH(X192,TasksTable[Task ID],0)),0),IFERROR(INDEX(TasksTable[Start Date],MATCH(Y192,TasksTable[Task ID],0)),0),IFERROR(INDEX(TasksTable[Start Date],MATCH(Z192,TasksTable[Task ID],0)),0)))</x:f>
        <x:v>0</x:v>
      </x:c>
      <x:c r="AE192" s="144" t="n">
        <x:f>IF(AA192=0,0,MAX(IFERROR(INDEX(TasksTable[End Date],MATCH(T192,TasksTable[Task ID],0)),0),IFERROR(INDEX(TasksTable[End Date],MATCH(U192,TasksTable[Task ID],0)),0),IFERROR(INDEX(TasksTable[End Date],MATCH(V192,TasksTable[Task ID],0)),0),IFERROR(INDEX(TasksTable[End Date],MATCH(W192,TasksTable[Task ID],0)),0),IFERROR(INDEX(TasksTable[End Date],MATCH(X192,TasksTable[Task ID],0)),0),IFERROR(INDEX(TasksTable[End Date],MATCH(Y192,TasksTable[Task ID],0)),0),IFERROR(INDEX(TasksTable[End Date],MATCH(Z192,TasksTable[Task ID],0)),0)))</x:f>
        <x:v>0</x:v>
      </x:c>
      <x:c r="AF192" s="137" t="b">
        <x:f>IF(OR($A192="",AA192=0),FALSE,SWITCH($J192,"FS",$F192&lt;AE192,"SS",$F192&lt;AD192,"FF",$G192&lt;AE192,"SF",$G192&lt;AD192,TRUE))</x:f>
        <x:v>0</x:v>
      </x:c>
      <x:c r="AG192" s="137" t="str">
        <x:f>IF(AND($A192&lt;&gt;"",$K192="No",$N192&lt;&gt;"Completed",$F192&gt;=TODAY()),$F192+ROW()/100000,"")</x:f>
      </x:c>
      <x:c r="AH192" s="137" t="str">
        <x:f>IF(AND($A192&lt;&gt;"",$K192="Yes",$N192&lt;&gt;"Completed",$F192&gt;=TODAY()),$F192+ROW()/100000,"")</x:f>
      </x:c>
      <x:c r="AI192" s="137" t="str">
        <x:f>IF(AND($A192&lt;&gt;"",$K192="No",$N192&lt;&gt;"Completed",$G192&gt;=TODAY(),$G192&lt;=TODAY()+3),$G192+ROW()/100000,"")</x:f>
      </x:c>
      <x:c r="AJ192" s="137" t="str">
        <x:f>IF(AND($A192&lt;&gt;"",$K192="No",OR($N192="Delayed",$P192="Dependency conflict")),$G192+ROW()/100000,"")</x:f>
      </x:c>
      <x:c r="AK192" s="137" t="str">
        <x:f>IF(AG192="","",COUNTIFS($AG$7:$AG$206,"&gt;0",$AG$7:$AG$206,"&lt;"&amp;AG192)+1)</x:f>
      </x:c>
      <x:c r="AL192" s="137" t="str">
        <x:f>IF(AH192="","",COUNTIFS($AH$7:$AH$206,"&gt;0",$AH$7:$AH$206,"&lt;"&amp;AH192)+1)</x:f>
      </x:c>
      <x:c r="AM192" s="137" t="str">
        <x:f>IF(AI192="","",COUNTIFS($AI$7:$AI$206,"&gt;0",$AI$7:$AI$206,"&lt;"&amp;AI192)+1)</x:f>
      </x:c>
      <x:c r="AN192" s="137" t="str">
        <x:f>IF(AJ192="","",COUNTIFS($AJ$7:$AJ$206,"&gt;0",$AJ$7:$AJ$206,"&lt;"&amp;AJ192)+1)</x:f>
      </x:c>
    </x:row>
    <x:row r="193">
      <x:c r="T193" s="137" t="str">
        <x:f>IF($A193="","",TRIM(MID(SUBSTITUTE(SUBSTITUTE(TRIM($I193)," ",""),",",REPT(" ",100)),1,100)))</x:f>
      </x:c>
      <x:c r="U193" s="137" t="str">
        <x:f>IF($A193="","",TRIM(MID(SUBSTITUTE(SUBSTITUTE(TRIM($I193)," ",""),",",REPT(" ",100)),101,100)))</x:f>
      </x:c>
      <x:c r="V193" s="137" t="str">
        <x:f>IF($A193="","",TRIM(MID(SUBSTITUTE(SUBSTITUTE(TRIM($I193)," ",""),",",REPT(" ",100)),201,100)))</x:f>
      </x:c>
      <x:c r="W193" s="137" t="str">
        <x:f>IF($A193="","",TRIM(MID(SUBSTITUTE(SUBSTITUTE(TRIM($I193)," ",""),",",REPT(" ",100)),301,100)))</x:f>
      </x:c>
      <x:c r="X193" s="137" t="str">
        <x:f>IF($A193="","",TRIM(MID(SUBSTITUTE(SUBSTITUTE(TRIM($I193)," ",""),",",REPT(" ",100)),401,100)))</x:f>
      </x:c>
      <x:c r="Y193" s="137" t="str">
        <x:f>IF($A193="","",TRIM(MID(SUBSTITUTE(SUBSTITUTE(TRIM($I193)," ",""),",",REPT(" ",100)),501,100)))</x:f>
      </x:c>
      <x:c r="Z193" s="137" t="str">
        <x:f>IF($A193="","",TRIM(MID(SUBSTITUTE(SUBSTITUTE(TRIM($I193)," ",""),",",REPT(" ",100)),601,100)))</x:f>
      </x:c>
      <x:c r="AA193" s="137" t="str">
        <x:f>IF($A193="","",IF(SUBSTITUTE(TRIM($I193)," ","")="",0,1+LEN(SUBSTITUTE(TRIM($I193)," ",""))-LEN(SUBSTITUTE(SUBSTITUTE(TRIM($I193)," ",""),",",""))))</x:f>
      </x:c>
      <x:c r="AB193" s="137" t="str">
        <x:f>IF($A193="","",COUNTIF(TasksTable[Task ID],T193)+COUNTIF(TasksTable[Task ID],U193)+COUNTIF(TasksTable[Task ID],V193)+COUNTIF(TasksTable[Task ID],W193)+COUNTIF(TasksTable[Task ID],X193)+COUNTIF(TasksTable[Task ID],Y193)+COUNTIF(TasksTable[Task ID],Z193))</x:f>
      </x:c>
      <x:c r="AC193" s="137" t="b">
        <x:f>IF($A193="",FALSE,OR(T193=$A193,U193=$A193,V193=$A193,W193=$A193,X193=$A193,Y193=$A193,Z193=$A193))</x:f>
        <x:v>0</x:v>
      </x:c>
      <x:c r="AD193" s="144" t="n">
        <x:f>IF(AA193=0,0,MAX(IFERROR(INDEX(TasksTable[Start Date],MATCH(T193,TasksTable[Task ID],0)),0),IFERROR(INDEX(TasksTable[Start Date],MATCH(U193,TasksTable[Task ID],0)),0),IFERROR(INDEX(TasksTable[Start Date],MATCH(V193,TasksTable[Task ID],0)),0),IFERROR(INDEX(TasksTable[Start Date],MATCH(W193,TasksTable[Task ID],0)),0),IFERROR(INDEX(TasksTable[Start Date],MATCH(X193,TasksTable[Task ID],0)),0),IFERROR(INDEX(TasksTable[Start Date],MATCH(Y193,TasksTable[Task ID],0)),0),IFERROR(INDEX(TasksTable[Start Date],MATCH(Z193,TasksTable[Task ID],0)),0)))</x:f>
        <x:v>0</x:v>
      </x:c>
      <x:c r="AE193" s="144" t="n">
        <x:f>IF(AA193=0,0,MAX(IFERROR(INDEX(TasksTable[End Date],MATCH(T193,TasksTable[Task ID],0)),0),IFERROR(INDEX(TasksTable[End Date],MATCH(U193,TasksTable[Task ID],0)),0),IFERROR(INDEX(TasksTable[End Date],MATCH(V193,TasksTable[Task ID],0)),0),IFERROR(INDEX(TasksTable[End Date],MATCH(W193,TasksTable[Task ID],0)),0),IFERROR(INDEX(TasksTable[End Date],MATCH(X193,TasksTable[Task ID],0)),0),IFERROR(INDEX(TasksTable[End Date],MATCH(Y193,TasksTable[Task ID],0)),0),IFERROR(INDEX(TasksTable[End Date],MATCH(Z193,TasksTable[Task ID],0)),0)))</x:f>
        <x:v>0</x:v>
      </x:c>
      <x:c r="AF193" s="137" t="b">
        <x:f>IF(OR($A193="",AA193=0),FALSE,SWITCH($J193,"FS",$F193&lt;AE193,"SS",$F193&lt;AD193,"FF",$G193&lt;AE193,"SF",$G193&lt;AD193,TRUE))</x:f>
        <x:v>0</x:v>
      </x:c>
      <x:c r="AG193" s="137" t="str">
        <x:f>IF(AND($A193&lt;&gt;"",$K193="No",$N193&lt;&gt;"Completed",$F193&gt;=TODAY()),$F193+ROW()/100000,"")</x:f>
      </x:c>
      <x:c r="AH193" s="137" t="str">
        <x:f>IF(AND($A193&lt;&gt;"",$K193="Yes",$N193&lt;&gt;"Completed",$F193&gt;=TODAY()),$F193+ROW()/100000,"")</x:f>
      </x:c>
      <x:c r="AI193" s="137" t="str">
        <x:f>IF(AND($A193&lt;&gt;"",$K193="No",$N193&lt;&gt;"Completed",$G193&gt;=TODAY(),$G193&lt;=TODAY()+3),$G193+ROW()/100000,"")</x:f>
      </x:c>
      <x:c r="AJ193" s="137" t="str">
        <x:f>IF(AND($A193&lt;&gt;"",$K193="No",OR($N193="Delayed",$P193="Dependency conflict")),$G193+ROW()/100000,"")</x:f>
      </x:c>
      <x:c r="AK193" s="137" t="str">
        <x:f>IF(AG193="","",COUNTIFS($AG$7:$AG$206,"&gt;0",$AG$7:$AG$206,"&lt;"&amp;AG193)+1)</x:f>
      </x:c>
      <x:c r="AL193" s="137" t="str">
        <x:f>IF(AH193="","",COUNTIFS($AH$7:$AH$206,"&gt;0",$AH$7:$AH$206,"&lt;"&amp;AH193)+1)</x:f>
      </x:c>
      <x:c r="AM193" s="137" t="str">
        <x:f>IF(AI193="","",COUNTIFS($AI$7:$AI$206,"&gt;0",$AI$7:$AI$206,"&lt;"&amp;AI193)+1)</x:f>
      </x:c>
      <x:c r="AN193" s="137" t="str">
        <x:f>IF(AJ193="","",COUNTIFS($AJ$7:$AJ$206,"&gt;0",$AJ$7:$AJ$206,"&lt;"&amp;AJ193)+1)</x:f>
      </x:c>
    </x:row>
    <x:row r="194">
      <x:c r="T194" s="137" t="str">
        <x:f>IF($A194="","",TRIM(MID(SUBSTITUTE(SUBSTITUTE(TRIM($I194)," ",""),",",REPT(" ",100)),1,100)))</x:f>
      </x:c>
      <x:c r="U194" s="137" t="str">
        <x:f>IF($A194="","",TRIM(MID(SUBSTITUTE(SUBSTITUTE(TRIM($I194)," ",""),",",REPT(" ",100)),101,100)))</x:f>
      </x:c>
      <x:c r="V194" s="137" t="str">
        <x:f>IF($A194="","",TRIM(MID(SUBSTITUTE(SUBSTITUTE(TRIM($I194)," ",""),",",REPT(" ",100)),201,100)))</x:f>
      </x:c>
      <x:c r="W194" s="137" t="str">
        <x:f>IF($A194="","",TRIM(MID(SUBSTITUTE(SUBSTITUTE(TRIM($I194)," ",""),",",REPT(" ",100)),301,100)))</x:f>
      </x:c>
      <x:c r="X194" s="137" t="str">
        <x:f>IF($A194="","",TRIM(MID(SUBSTITUTE(SUBSTITUTE(TRIM($I194)," ",""),",",REPT(" ",100)),401,100)))</x:f>
      </x:c>
      <x:c r="Y194" s="137" t="str">
        <x:f>IF($A194="","",TRIM(MID(SUBSTITUTE(SUBSTITUTE(TRIM($I194)," ",""),",",REPT(" ",100)),501,100)))</x:f>
      </x:c>
      <x:c r="Z194" s="137" t="str">
        <x:f>IF($A194="","",TRIM(MID(SUBSTITUTE(SUBSTITUTE(TRIM($I194)," ",""),",",REPT(" ",100)),601,100)))</x:f>
      </x:c>
      <x:c r="AA194" s="137" t="str">
        <x:f>IF($A194="","",IF(SUBSTITUTE(TRIM($I194)," ","")="",0,1+LEN(SUBSTITUTE(TRIM($I194)," ",""))-LEN(SUBSTITUTE(SUBSTITUTE(TRIM($I194)," ",""),",",""))))</x:f>
      </x:c>
      <x:c r="AB194" s="137" t="str">
        <x:f>IF($A194="","",COUNTIF(TasksTable[Task ID],T194)+COUNTIF(TasksTable[Task ID],U194)+COUNTIF(TasksTable[Task ID],V194)+COUNTIF(TasksTable[Task ID],W194)+COUNTIF(TasksTable[Task ID],X194)+COUNTIF(TasksTable[Task ID],Y194)+COUNTIF(TasksTable[Task ID],Z194))</x:f>
      </x:c>
      <x:c r="AC194" s="137" t="b">
        <x:f>IF($A194="",FALSE,OR(T194=$A194,U194=$A194,V194=$A194,W194=$A194,X194=$A194,Y194=$A194,Z194=$A194))</x:f>
        <x:v>0</x:v>
      </x:c>
      <x:c r="AD194" s="144" t="n">
        <x:f>IF(AA194=0,0,MAX(IFERROR(INDEX(TasksTable[Start Date],MATCH(T194,TasksTable[Task ID],0)),0),IFERROR(INDEX(TasksTable[Start Date],MATCH(U194,TasksTable[Task ID],0)),0),IFERROR(INDEX(TasksTable[Start Date],MATCH(V194,TasksTable[Task ID],0)),0),IFERROR(INDEX(TasksTable[Start Date],MATCH(W194,TasksTable[Task ID],0)),0),IFERROR(INDEX(TasksTable[Start Date],MATCH(X194,TasksTable[Task ID],0)),0),IFERROR(INDEX(TasksTable[Start Date],MATCH(Y194,TasksTable[Task ID],0)),0),IFERROR(INDEX(TasksTable[Start Date],MATCH(Z194,TasksTable[Task ID],0)),0)))</x:f>
        <x:v>0</x:v>
      </x:c>
      <x:c r="AE194" s="144" t="n">
        <x:f>IF(AA194=0,0,MAX(IFERROR(INDEX(TasksTable[End Date],MATCH(T194,TasksTable[Task ID],0)),0),IFERROR(INDEX(TasksTable[End Date],MATCH(U194,TasksTable[Task ID],0)),0),IFERROR(INDEX(TasksTable[End Date],MATCH(V194,TasksTable[Task ID],0)),0),IFERROR(INDEX(TasksTable[End Date],MATCH(W194,TasksTable[Task ID],0)),0),IFERROR(INDEX(TasksTable[End Date],MATCH(X194,TasksTable[Task ID],0)),0),IFERROR(INDEX(TasksTable[End Date],MATCH(Y194,TasksTable[Task ID],0)),0),IFERROR(INDEX(TasksTable[End Date],MATCH(Z194,TasksTable[Task ID],0)),0)))</x:f>
        <x:v>0</x:v>
      </x:c>
      <x:c r="AF194" s="137" t="b">
        <x:f>IF(OR($A194="",AA194=0),FALSE,SWITCH($J194,"FS",$F194&lt;AE194,"SS",$F194&lt;AD194,"FF",$G194&lt;AE194,"SF",$G194&lt;AD194,TRUE))</x:f>
        <x:v>0</x:v>
      </x:c>
      <x:c r="AG194" s="137" t="str">
        <x:f>IF(AND($A194&lt;&gt;"",$K194="No",$N194&lt;&gt;"Completed",$F194&gt;=TODAY()),$F194+ROW()/100000,"")</x:f>
      </x:c>
      <x:c r="AH194" s="137" t="str">
        <x:f>IF(AND($A194&lt;&gt;"",$K194="Yes",$N194&lt;&gt;"Completed",$F194&gt;=TODAY()),$F194+ROW()/100000,"")</x:f>
      </x:c>
      <x:c r="AI194" s="137" t="str">
        <x:f>IF(AND($A194&lt;&gt;"",$K194="No",$N194&lt;&gt;"Completed",$G194&gt;=TODAY(),$G194&lt;=TODAY()+3),$G194+ROW()/100000,"")</x:f>
      </x:c>
      <x:c r="AJ194" s="137" t="str">
        <x:f>IF(AND($A194&lt;&gt;"",$K194="No",OR($N194="Delayed",$P194="Dependency conflict")),$G194+ROW()/100000,"")</x:f>
      </x:c>
      <x:c r="AK194" s="137" t="str">
        <x:f>IF(AG194="","",COUNTIFS($AG$7:$AG$206,"&gt;0",$AG$7:$AG$206,"&lt;"&amp;AG194)+1)</x:f>
      </x:c>
      <x:c r="AL194" s="137" t="str">
        <x:f>IF(AH194="","",COUNTIFS($AH$7:$AH$206,"&gt;0",$AH$7:$AH$206,"&lt;"&amp;AH194)+1)</x:f>
      </x:c>
      <x:c r="AM194" s="137" t="str">
        <x:f>IF(AI194="","",COUNTIFS($AI$7:$AI$206,"&gt;0",$AI$7:$AI$206,"&lt;"&amp;AI194)+1)</x:f>
      </x:c>
      <x:c r="AN194" s="137" t="str">
        <x:f>IF(AJ194="","",COUNTIFS($AJ$7:$AJ$206,"&gt;0",$AJ$7:$AJ$206,"&lt;"&amp;AJ194)+1)</x:f>
      </x:c>
    </x:row>
    <x:row r="195">
      <x:c r="T195" s="137" t="str">
        <x:f>IF($A195="","",TRIM(MID(SUBSTITUTE(SUBSTITUTE(TRIM($I195)," ",""),",",REPT(" ",100)),1,100)))</x:f>
      </x:c>
      <x:c r="U195" s="137" t="str">
        <x:f>IF($A195="","",TRIM(MID(SUBSTITUTE(SUBSTITUTE(TRIM($I195)," ",""),",",REPT(" ",100)),101,100)))</x:f>
      </x:c>
      <x:c r="V195" s="137" t="str">
        <x:f>IF($A195="","",TRIM(MID(SUBSTITUTE(SUBSTITUTE(TRIM($I195)," ",""),",",REPT(" ",100)),201,100)))</x:f>
      </x:c>
      <x:c r="W195" s="137" t="str">
        <x:f>IF($A195="","",TRIM(MID(SUBSTITUTE(SUBSTITUTE(TRIM($I195)," ",""),",",REPT(" ",100)),301,100)))</x:f>
      </x:c>
      <x:c r="X195" s="137" t="str">
        <x:f>IF($A195="","",TRIM(MID(SUBSTITUTE(SUBSTITUTE(TRIM($I195)," ",""),",",REPT(" ",100)),401,100)))</x:f>
      </x:c>
      <x:c r="Y195" s="137" t="str">
        <x:f>IF($A195="","",TRIM(MID(SUBSTITUTE(SUBSTITUTE(TRIM($I195)," ",""),",",REPT(" ",100)),501,100)))</x:f>
      </x:c>
      <x:c r="Z195" s="137" t="str">
        <x:f>IF($A195="","",TRIM(MID(SUBSTITUTE(SUBSTITUTE(TRIM($I195)," ",""),",",REPT(" ",100)),601,100)))</x:f>
      </x:c>
      <x:c r="AA195" s="137" t="str">
        <x:f>IF($A195="","",IF(SUBSTITUTE(TRIM($I195)," ","")="",0,1+LEN(SUBSTITUTE(TRIM($I195)," ",""))-LEN(SUBSTITUTE(SUBSTITUTE(TRIM($I195)," ",""),",",""))))</x:f>
      </x:c>
      <x:c r="AB195" s="137" t="str">
        <x:f>IF($A195="","",COUNTIF(TasksTable[Task ID],T195)+COUNTIF(TasksTable[Task ID],U195)+COUNTIF(TasksTable[Task ID],V195)+COUNTIF(TasksTable[Task ID],W195)+COUNTIF(TasksTable[Task ID],X195)+COUNTIF(TasksTable[Task ID],Y195)+COUNTIF(TasksTable[Task ID],Z195))</x:f>
      </x:c>
      <x:c r="AC195" s="137" t="b">
        <x:f>IF($A195="",FALSE,OR(T195=$A195,U195=$A195,V195=$A195,W195=$A195,X195=$A195,Y195=$A195,Z195=$A195))</x:f>
        <x:v>0</x:v>
      </x:c>
      <x:c r="AD195" s="144" t="n">
        <x:f>IF(AA195=0,0,MAX(IFERROR(INDEX(TasksTable[Start Date],MATCH(T195,TasksTable[Task ID],0)),0),IFERROR(INDEX(TasksTable[Start Date],MATCH(U195,TasksTable[Task ID],0)),0),IFERROR(INDEX(TasksTable[Start Date],MATCH(V195,TasksTable[Task ID],0)),0),IFERROR(INDEX(TasksTable[Start Date],MATCH(W195,TasksTable[Task ID],0)),0),IFERROR(INDEX(TasksTable[Start Date],MATCH(X195,TasksTable[Task ID],0)),0),IFERROR(INDEX(TasksTable[Start Date],MATCH(Y195,TasksTable[Task ID],0)),0),IFERROR(INDEX(TasksTable[Start Date],MATCH(Z195,TasksTable[Task ID],0)),0)))</x:f>
        <x:v>0</x:v>
      </x:c>
      <x:c r="AE195" s="144" t="n">
        <x:f>IF(AA195=0,0,MAX(IFERROR(INDEX(TasksTable[End Date],MATCH(T195,TasksTable[Task ID],0)),0),IFERROR(INDEX(TasksTable[End Date],MATCH(U195,TasksTable[Task ID],0)),0),IFERROR(INDEX(TasksTable[End Date],MATCH(V195,TasksTable[Task ID],0)),0),IFERROR(INDEX(TasksTable[End Date],MATCH(W195,TasksTable[Task ID],0)),0),IFERROR(INDEX(TasksTable[End Date],MATCH(X195,TasksTable[Task ID],0)),0),IFERROR(INDEX(TasksTable[End Date],MATCH(Y195,TasksTable[Task ID],0)),0),IFERROR(INDEX(TasksTable[End Date],MATCH(Z195,TasksTable[Task ID],0)),0)))</x:f>
        <x:v>0</x:v>
      </x:c>
      <x:c r="AF195" s="137" t="b">
        <x:f>IF(OR($A195="",AA195=0),FALSE,SWITCH($J195,"FS",$F195&lt;AE195,"SS",$F195&lt;AD195,"FF",$G195&lt;AE195,"SF",$G195&lt;AD195,TRUE))</x:f>
        <x:v>0</x:v>
      </x:c>
      <x:c r="AG195" s="137" t="str">
        <x:f>IF(AND($A195&lt;&gt;"",$K195="No",$N195&lt;&gt;"Completed",$F195&gt;=TODAY()),$F195+ROW()/100000,"")</x:f>
      </x:c>
      <x:c r="AH195" s="137" t="str">
        <x:f>IF(AND($A195&lt;&gt;"",$K195="Yes",$N195&lt;&gt;"Completed",$F195&gt;=TODAY()),$F195+ROW()/100000,"")</x:f>
      </x:c>
      <x:c r="AI195" s="137" t="str">
        <x:f>IF(AND($A195&lt;&gt;"",$K195="No",$N195&lt;&gt;"Completed",$G195&gt;=TODAY(),$G195&lt;=TODAY()+3),$G195+ROW()/100000,"")</x:f>
      </x:c>
      <x:c r="AJ195" s="137" t="str">
        <x:f>IF(AND($A195&lt;&gt;"",$K195="No",OR($N195="Delayed",$P195="Dependency conflict")),$G195+ROW()/100000,"")</x:f>
      </x:c>
      <x:c r="AK195" s="137" t="str">
        <x:f>IF(AG195="","",COUNTIFS($AG$7:$AG$206,"&gt;0",$AG$7:$AG$206,"&lt;"&amp;AG195)+1)</x:f>
      </x:c>
      <x:c r="AL195" s="137" t="str">
        <x:f>IF(AH195="","",COUNTIFS($AH$7:$AH$206,"&gt;0",$AH$7:$AH$206,"&lt;"&amp;AH195)+1)</x:f>
      </x:c>
      <x:c r="AM195" s="137" t="str">
        <x:f>IF(AI195="","",COUNTIFS($AI$7:$AI$206,"&gt;0",$AI$7:$AI$206,"&lt;"&amp;AI195)+1)</x:f>
      </x:c>
      <x:c r="AN195" s="137" t="str">
        <x:f>IF(AJ195="","",COUNTIFS($AJ$7:$AJ$206,"&gt;0",$AJ$7:$AJ$206,"&lt;"&amp;AJ195)+1)</x:f>
      </x:c>
    </x:row>
    <x:row r="196">
      <x:c r="T196" s="137" t="str">
        <x:f>IF($A196="","",TRIM(MID(SUBSTITUTE(SUBSTITUTE(TRIM($I196)," ",""),",",REPT(" ",100)),1,100)))</x:f>
      </x:c>
      <x:c r="U196" s="137" t="str">
        <x:f>IF($A196="","",TRIM(MID(SUBSTITUTE(SUBSTITUTE(TRIM($I196)," ",""),",",REPT(" ",100)),101,100)))</x:f>
      </x:c>
      <x:c r="V196" s="137" t="str">
        <x:f>IF($A196="","",TRIM(MID(SUBSTITUTE(SUBSTITUTE(TRIM($I196)," ",""),",",REPT(" ",100)),201,100)))</x:f>
      </x:c>
      <x:c r="W196" s="137" t="str">
        <x:f>IF($A196="","",TRIM(MID(SUBSTITUTE(SUBSTITUTE(TRIM($I196)," ",""),",",REPT(" ",100)),301,100)))</x:f>
      </x:c>
      <x:c r="X196" s="137" t="str">
        <x:f>IF($A196="","",TRIM(MID(SUBSTITUTE(SUBSTITUTE(TRIM($I196)," ",""),",",REPT(" ",100)),401,100)))</x:f>
      </x:c>
      <x:c r="Y196" s="137" t="str">
        <x:f>IF($A196="","",TRIM(MID(SUBSTITUTE(SUBSTITUTE(TRIM($I196)," ",""),",",REPT(" ",100)),501,100)))</x:f>
      </x:c>
      <x:c r="Z196" s="137" t="str">
        <x:f>IF($A196="","",TRIM(MID(SUBSTITUTE(SUBSTITUTE(TRIM($I196)," ",""),",",REPT(" ",100)),601,100)))</x:f>
      </x:c>
      <x:c r="AA196" s="137" t="str">
        <x:f>IF($A196="","",IF(SUBSTITUTE(TRIM($I196)," ","")="",0,1+LEN(SUBSTITUTE(TRIM($I196)," ",""))-LEN(SUBSTITUTE(SUBSTITUTE(TRIM($I196)," ",""),",",""))))</x:f>
      </x:c>
      <x:c r="AB196" s="137" t="str">
        <x:f>IF($A196="","",COUNTIF(TasksTable[Task ID],T196)+COUNTIF(TasksTable[Task ID],U196)+COUNTIF(TasksTable[Task ID],V196)+COUNTIF(TasksTable[Task ID],W196)+COUNTIF(TasksTable[Task ID],X196)+COUNTIF(TasksTable[Task ID],Y196)+COUNTIF(TasksTable[Task ID],Z196))</x:f>
      </x:c>
      <x:c r="AC196" s="137" t="b">
        <x:f>IF($A196="",FALSE,OR(T196=$A196,U196=$A196,V196=$A196,W196=$A196,X196=$A196,Y196=$A196,Z196=$A196))</x:f>
        <x:v>0</x:v>
      </x:c>
      <x:c r="AD196" s="144" t="n">
        <x:f>IF(AA196=0,0,MAX(IFERROR(INDEX(TasksTable[Start Date],MATCH(T196,TasksTable[Task ID],0)),0),IFERROR(INDEX(TasksTable[Start Date],MATCH(U196,TasksTable[Task ID],0)),0),IFERROR(INDEX(TasksTable[Start Date],MATCH(V196,TasksTable[Task ID],0)),0),IFERROR(INDEX(TasksTable[Start Date],MATCH(W196,TasksTable[Task ID],0)),0),IFERROR(INDEX(TasksTable[Start Date],MATCH(X196,TasksTable[Task ID],0)),0),IFERROR(INDEX(TasksTable[Start Date],MATCH(Y196,TasksTable[Task ID],0)),0),IFERROR(INDEX(TasksTable[Start Date],MATCH(Z196,TasksTable[Task ID],0)),0)))</x:f>
        <x:v>0</x:v>
      </x:c>
      <x:c r="AE196" s="144" t="n">
        <x:f>IF(AA196=0,0,MAX(IFERROR(INDEX(TasksTable[End Date],MATCH(T196,TasksTable[Task ID],0)),0),IFERROR(INDEX(TasksTable[End Date],MATCH(U196,TasksTable[Task ID],0)),0),IFERROR(INDEX(TasksTable[End Date],MATCH(V196,TasksTable[Task ID],0)),0),IFERROR(INDEX(TasksTable[End Date],MATCH(W196,TasksTable[Task ID],0)),0),IFERROR(INDEX(TasksTable[End Date],MATCH(X196,TasksTable[Task ID],0)),0),IFERROR(INDEX(TasksTable[End Date],MATCH(Y196,TasksTable[Task ID],0)),0),IFERROR(INDEX(TasksTable[End Date],MATCH(Z196,TasksTable[Task ID],0)),0)))</x:f>
        <x:v>0</x:v>
      </x:c>
      <x:c r="AF196" s="137" t="b">
        <x:f>IF(OR($A196="",AA196=0),FALSE,SWITCH($J196,"FS",$F196&lt;AE196,"SS",$F196&lt;AD196,"FF",$G196&lt;AE196,"SF",$G196&lt;AD196,TRUE))</x:f>
        <x:v>0</x:v>
      </x:c>
      <x:c r="AG196" s="137" t="str">
        <x:f>IF(AND($A196&lt;&gt;"",$K196="No",$N196&lt;&gt;"Completed",$F196&gt;=TODAY()),$F196+ROW()/100000,"")</x:f>
      </x:c>
      <x:c r="AH196" s="137" t="str">
        <x:f>IF(AND($A196&lt;&gt;"",$K196="Yes",$N196&lt;&gt;"Completed",$F196&gt;=TODAY()),$F196+ROW()/100000,"")</x:f>
      </x:c>
      <x:c r="AI196" s="137" t="str">
        <x:f>IF(AND($A196&lt;&gt;"",$K196="No",$N196&lt;&gt;"Completed",$G196&gt;=TODAY(),$G196&lt;=TODAY()+3),$G196+ROW()/100000,"")</x:f>
      </x:c>
      <x:c r="AJ196" s="137" t="str">
        <x:f>IF(AND($A196&lt;&gt;"",$K196="No",OR($N196="Delayed",$P196="Dependency conflict")),$G196+ROW()/100000,"")</x:f>
      </x:c>
      <x:c r="AK196" s="137" t="str">
        <x:f>IF(AG196="","",COUNTIFS($AG$7:$AG$206,"&gt;0",$AG$7:$AG$206,"&lt;"&amp;AG196)+1)</x:f>
      </x:c>
      <x:c r="AL196" s="137" t="str">
        <x:f>IF(AH196="","",COUNTIFS($AH$7:$AH$206,"&gt;0",$AH$7:$AH$206,"&lt;"&amp;AH196)+1)</x:f>
      </x:c>
      <x:c r="AM196" s="137" t="str">
        <x:f>IF(AI196="","",COUNTIFS($AI$7:$AI$206,"&gt;0",$AI$7:$AI$206,"&lt;"&amp;AI196)+1)</x:f>
      </x:c>
      <x:c r="AN196" s="137" t="str">
        <x:f>IF(AJ196="","",COUNTIFS($AJ$7:$AJ$206,"&gt;0",$AJ$7:$AJ$206,"&lt;"&amp;AJ196)+1)</x:f>
      </x:c>
    </x:row>
    <x:row r="197">
      <x:c r="T197" s="137" t="str">
        <x:f>IF($A197="","",TRIM(MID(SUBSTITUTE(SUBSTITUTE(TRIM($I197)," ",""),",",REPT(" ",100)),1,100)))</x:f>
      </x:c>
      <x:c r="U197" s="137" t="str">
        <x:f>IF($A197="","",TRIM(MID(SUBSTITUTE(SUBSTITUTE(TRIM($I197)," ",""),",",REPT(" ",100)),101,100)))</x:f>
      </x:c>
      <x:c r="V197" s="137" t="str">
        <x:f>IF($A197="","",TRIM(MID(SUBSTITUTE(SUBSTITUTE(TRIM($I197)," ",""),",",REPT(" ",100)),201,100)))</x:f>
      </x:c>
      <x:c r="W197" s="137" t="str">
        <x:f>IF($A197="","",TRIM(MID(SUBSTITUTE(SUBSTITUTE(TRIM($I197)," ",""),",",REPT(" ",100)),301,100)))</x:f>
      </x:c>
      <x:c r="X197" s="137" t="str">
        <x:f>IF($A197="","",TRIM(MID(SUBSTITUTE(SUBSTITUTE(TRIM($I197)," ",""),",",REPT(" ",100)),401,100)))</x:f>
      </x:c>
      <x:c r="Y197" s="137" t="str">
        <x:f>IF($A197="","",TRIM(MID(SUBSTITUTE(SUBSTITUTE(TRIM($I197)," ",""),",",REPT(" ",100)),501,100)))</x:f>
      </x:c>
      <x:c r="Z197" s="137" t="str">
        <x:f>IF($A197="","",TRIM(MID(SUBSTITUTE(SUBSTITUTE(TRIM($I197)," ",""),",",REPT(" ",100)),601,100)))</x:f>
      </x:c>
      <x:c r="AA197" s="137" t="str">
        <x:f>IF($A197="","",IF(SUBSTITUTE(TRIM($I197)," ","")="",0,1+LEN(SUBSTITUTE(TRIM($I197)," ",""))-LEN(SUBSTITUTE(SUBSTITUTE(TRIM($I197)," ",""),",",""))))</x:f>
      </x:c>
      <x:c r="AB197" s="137" t="str">
        <x:f>IF($A197="","",COUNTIF(TasksTable[Task ID],T197)+COUNTIF(TasksTable[Task ID],U197)+COUNTIF(TasksTable[Task ID],V197)+COUNTIF(TasksTable[Task ID],W197)+COUNTIF(TasksTable[Task ID],X197)+COUNTIF(TasksTable[Task ID],Y197)+COUNTIF(TasksTable[Task ID],Z197))</x:f>
      </x:c>
      <x:c r="AC197" s="137" t="b">
        <x:f>IF($A197="",FALSE,OR(T197=$A197,U197=$A197,V197=$A197,W197=$A197,X197=$A197,Y197=$A197,Z197=$A197))</x:f>
        <x:v>0</x:v>
      </x:c>
      <x:c r="AD197" s="144" t="n">
        <x:f>IF(AA197=0,0,MAX(IFERROR(INDEX(TasksTable[Start Date],MATCH(T197,TasksTable[Task ID],0)),0),IFERROR(INDEX(TasksTable[Start Date],MATCH(U197,TasksTable[Task ID],0)),0),IFERROR(INDEX(TasksTable[Start Date],MATCH(V197,TasksTable[Task ID],0)),0),IFERROR(INDEX(TasksTable[Start Date],MATCH(W197,TasksTable[Task ID],0)),0),IFERROR(INDEX(TasksTable[Start Date],MATCH(X197,TasksTable[Task ID],0)),0),IFERROR(INDEX(TasksTable[Start Date],MATCH(Y197,TasksTable[Task ID],0)),0),IFERROR(INDEX(TasksTable[Start Date],MATCH(Z197,TasksTable[Task ID],0)),0)))</x:f>
        <x:v>0</x:v>
      </x:c>
      <x:c r="AE197" s="144" t="n">
        <x:f>IF(AA197=0,0,MAX(IFERROR(INDEX(TasksTable[End Date],MATCH(T197,TasksTable[Task ID],0)),0),IFERROR(INDEX(TasksTable[End Date],MATCH(U197,TasksTable[Task ID],0)),0),IFERROR(INDEX(TasksTable[End Date],MATCH(V197,TasksTable[Task ID],0)),0),IFERROR(INDEX(TasksTable[End Date],MATCH(W197,TasksTable[Task ID],0)),0),IFERROR(INDEX(TasksTable[End Date],MATCH(X197,TasksTable[Task ID],0)),0),IFERROR(INDEX(TasksTable[End Date],MATCH(Y197,TasksTable[Task ID],0)),0),IFERROR(INDEX(TasksTable[End Date],MATCH(Z197,TasksTable[Task ID],0)),0)))</x:f>
        <x:v>0</x:v>
      </x:c>
      <x:c r="AF197" s="137" t="b">
        <x:f>IF(OR($A197="",AA197=0),FALSE,SWITCH($J197,"FS",$F197&lt;AE197,"SS",$F197&lt;AD197,"FF",$G197&lt;AE197,"SF",$G197&lt;AD197,TRUE))</x:f>
        <x:v>0</x:v>
      </x:c>
      <x:c r="AG197" s="137" t="str">
        <x:f>IF(AND($A197&lt;&gt;"",$K197="No",$N197&lt;&gt;"Completed",$F197&gt;=TODAY()),$F197+ROW()/100000,"")</x:f>
      </x:c>
      <x:c r="AH197" s="137" t="str">
        <x:f>IF(AND($A197&lt;&gt;"",$K197="Yes",$N197&lt;&gt;"Completed",$F197&gt;=TODAY()),$F197+ROW()/100000,"")</x:f>
      </x:c>
      <x:c r="AI197" s="137" t="str">
        <x:f>IF(AND($A197&lt;&gt;"",$K197="No",$N197&lt;&gt;"Completed",$G197&gt;=TODAY(),$G197&lt;=TODAY()+3),$G197+ROW()/100000,"")</x:f>
      </x:c>
      <x:c r="AJ197" s="137" t="str">
        <x:f>IF(AND($A197&lt;&gt;"",$K197="No",OR($N197="Delayed",$P197="Dependency conflict")),$G197+ROW()/100000,"")</x:f>
      </x:c>
      <x:c r="AK197" s="137" t="str">
        <x:f>IF(AG197="","",COUNTIFS($AG$7:$AG$206,"&gt;0",$AG$7:$AG$206,"&lt;"&amp;AG197)+1)</x:f>
      </x:c>
      <x:c r="AL197" s="137" t="str">
        <x:f>IF(AH197="","",COUNTIFS($AH$7:$AH$206,"&gt;0",$AH$7:$AH$206,"&lt;"&amp;AH197)+1)</x:f>
      </x:c>
      <x:c r="AM197" s="137" t="str">
        <x:f>IF(AI197="","",COUNTIFS($AI$7:$AI$206,"&gt;0",$AI$7:$AI$206,"&lt;"&amp;AI197)+1)</x:f>
      </x:c>
      <x:c r="AN197" s="137" t="str">
        <x:f>IF(AJ197="","",COUNTIFS($AJ$7:$AJ$206,"&gt;0",$AJ$7:$AJ$206,"&lt;"&amp;AJ197)+1)</x:f>
      </x:c>
    </x:row>
    <x:row r="198">
      <x:c r="T198" s="137" t="str">
        <x:f>IF($A198="","",TRIM(MID(SUBSTITUTE(SUBSTITUTE(TRIM($I198)," ",""),",",REPT(" ",100)),1,100)))</x:f>
      </x:c>
      <x:c r="U198" s="137" t="str">
        <x:f>IF($A198="","",TRIM(MID(SUBSTITUTE(SUBSTITUTE(TRIM($I198)," ",""),",",REPT(" ",100)),101,100)))</x:f>
      </x:c>
      <x:c r="V198" s="137" t="str">
        <x:f>IF($A198="","",TRIM(MID(SUBSTITUTE(SUBSTITUTE(TRIM($I198)," ",""),",",REPT(" ",100)),201,100)))</x:f>
      </x:c>
      <x:c r="W198" s="137" t="str">
        <x:f>IF($A198="","",TRIM(MID(SUBSTITUTE(SUBSTITUTE(TRIM($I198)," ",""),",",REPT(" ",100)),301,100)))</x:f>
      </x:c>
      <x:c r="X198" s="137" t="str">
        <x:f>IF($A198="","",TRIM(MID(SUBSTITUTE(SUBSTITUTE(TRIM($I198)," ",""),",",REPT(" ",100)),401,100)))</x:f>
      </x:c>
      <x:c r="Y198" s="137" t="str">
        <x:f>IF($A198="","",TRIM(MID(SUBSTITUTE(SUBSTITUTE(TRIM($I198)," ",""),",",REPT(" ",100)),501,100)))</x:f>
      </x:c>
      <x:c r="Z198" s="137" t="str">
        <x:f>IF($A198="","",TRIM(MID(SUBSTITUTE(SUBSTITUTE(TRIM($I198)," ",""),",",REPT(" ",100)),601,100)))</x:f>
      </x:c>
      <x:c r="AA198" s="137" t="str">
        <x:f>IF($A198="","",IF(SUBSTITUTE(TRIM($I198)," ","")="",0,1+LEN(SUBSTITUTE(TRIM($I198)," ",""))-LEN(SUBSTITUTE(SUBSTITUTE(TRIM($I198)," ",""),",",""))))</x:f>
      </x:c>
      <x:c r="AB198" s="137" t="str">
        <x:f>IF($A198="","",COUNTIF(TasksTable[Task ID],T198)+COUNTIF(TasksTable[Task ID],U198)+COUNTIF(TasksTable[Task ID],V198)+COUNTIF(TasksTable[Task ID],W198)+COUNTIF(TasksTable[Task ID],X198)+COUNTIF(TasksTable[Task ID],Y198)+COUNTIF(TasksTable[Task ID],Z198))</x:f>
      </x:c>
      <x:c r="AC198" s="137" t="b">
        <x:f>IF($A198="",FALSE,OR(T198=$A198,U198=$A198,V198=$A198,W198=$A198,X198=$A198,Y198=$A198,Z198=$A198))</x:f>
        <x:v>0</x:v>
      </x:c>
      <x:c r="AD198" s="144" t="n">
        <x:f>IF(AA198=0,0,MAX(IFERROR(INDEX(TasksTable[Start Date],MATCH(T198,TasksTable[Task ID],0)),0),IFERROR(INDEX(TasksTable[Start Date],MATCH(U198,TasksTable[Task ID],0)),0),IFERROR(INDEX(TasksTable[Start Date],MATCH(V198,TasksTable[Task ID],0)),0),IFERROR(INDEX(TasksTable[Start Date],MATCH(W198,TasksTable[Task ID],0)),0),IFERROR(INDEX(TasksTable[Start Date],MATCH(X198,TasksTable[Task ID],0)),0),IFERROR(INDEX(TasksTable[Start Date],MATCH(Y198,TasksTable[Task ID],0)),0),IFERROR(INDEX(TasksTable[Start Date],MATCH(Z198,TasksTable[Task ID],0)),0)))</x:f>
        <x:v>0</x:v>
      </x:c>
      <x:c r="AE198" s="144" t="n">
        <x:f>IF(AA198=0,0,MAX(IFERROR(INDEX(TasksTable[End Date],MATCH(T198,TasksTable[Task ID],0)),0),IFERROR(INDEX(TasksTable[End Date],MATCH(U198,TasksTable[Task ID],0)),0),IFERROR(INDEX(TasksTable[End Date],MATCH(V198,TasksTable[Task ID],0)),0),IFERROR(INDEX(TasksTable[End Date],MATCH(W198,TasksTable[Task ID],0)),0),IFERROR(INDEX(TasksTable[End Date],MATCH(X198,TasksTable[Task ID],0)),0),IFERROR(INDEX(TasksTable[End Date],MATCH(Y198,TasksTable[Task ID],0)),0),IFERROR(INDEX(TasksTable[End Date],MATCH(Z198,TasksTable[Task ID],0)),0)))</x:f>
        <x:v>0</x:v>
      </x:c>
      <x:c r="AF198" s="137" t="b">
        <x:f>IF(OR($A198="",AA198=0),FALSE,SWITCH($J198,"FS",$F198&lt;AE198,"SS",$F198&lt;AD198,"FF",$G198&lt;AE198,"SF",$G198&lt;AD198,TRUE))</x:f>
        <x:v>0</x:v>
      </x:c>
      <x:c r="AG198" s="137" t="str">
        <x:f>IF(AND($A198&lt;&gt;"",$K198="No",$N198&lt;&gt;"Completed",$F198&gt;=TODAY()),$F198+ROW()/100000,"")</x:f>
      </x:c>
      <x:c r="AH198" s="137" t="str">
        <x:f>IF(AND($A198&lt;&gt;"",$K198="Yes",$N198&lt;&gt;"Completed",$F198&gt;=TODAY()),$F198+ROW()/100000,"")</x:f>
      </x:c>
      <x:c r="AI198" s="137" t="str">
        <x:f>IF(AND($A198&lt;&gt;"",$K198="No",$N198&lt;&gt;"Completed",$G198&gt;=TODAY(),$G198&lt;=TODAY()+3),$G198+ROW()/100000,"")</x:f>
      </x:c>
      <x:c r="AJ198" s="137" t="str">
        <x:f>IF(AND($A198&lt;&gt;"",$K198="No",OR($N198="Delayed",$P198="Dependency conflict")),$G198+ROW()/100000,"")</x:f>
      </x:c>
      <x:c r="AK198" s="137" t="str">
        <x:f>IF(AG198="","",COUNTIFS($AG$7:$AG$206,"&gt;0",$AG$7:$AG$206,"&lt;"&amp;AG198)+1)</x:f>
      </x:c>
      <x:c r="AL198" s="137" t="str">
        <x:f>IF(AH198="","",COUNTIFS($AH$7:$AH$206,"&gt;0",$AH$7:$AH$206,"&lt;"&amp;AH198)+1)</x:f>
      </x:c>
      <x:c r="AM198" s="137" t="str">
        <x:f>IF(AI198="","",COUNTIFS($AI$7:$AI$206,"&gt;0",$AI$7:$AI$206,"&lt;"&amp;AI198)+1)</x:f>
      </x:c>
      <x:c r="AN198" s="137" t="str">
        <x:f>IF(AJ198="","",COUNTIFS($AJ$7:$AJ$206,"&gt;0",$AJ$7:$AJ$206,"&lt;"&amp;AJ198)+1)</x:f>
      </x:c>
    </x:row>
    <x:row r="199">
      <x:c r="T199" s="137" t="str">
        <x:f>IF($A199="","",TRIM(MID(SUBSTITUTE(SUBSTITUTE(TRIM($I199)," ",""),",",REPT(" ",100)),1,100)))</x:f>
      </x:c>
      <x:c r="U199" s="137" t="str">
        <x:f>IF($A199="","",TRIM(MID(SUBSTITUTE(SUBSTITUTE(TRIM($I199)," ",""),",",REPT(" ",100)),101,100)))</x:f>
      </x:c>
      <x:c r="V199" s="137" t="str">
        <x:f>IF($A199="","",TRIM(MID(SUBSTITUTE(SUBSTITUTE(TRIM($I199)," ",""),",",REPT(" ",100)),201,100)))</x:f>
      </x:c>
      <x:c r="W199" s="137" t="str">
        <x:f>IF($A199="","",TRIM(MID(SUBSTITUTE(SUBSTITUTE(TRIM($I199)," ",""),",",REPT(" ",100)),301,100)))</x:f>
      </x:c>
      <x:c r="X199" s="137" t="str">
        <x:f>IF($A199="","",TRIM(MID(SUBSTITUTE(SUBSTITUTE(TRIM($I199)," ",""),",",REPT(" ",100)),401,100)))</x:f>
      </x:c>
      <x:c r="Y199" s="137" t="str">
        <x:f>IF($A199="","",TRIM(MID(SUBSTITUTE(SUBSTITUTE(TRIM($I199)," ",""),",",REPT(" ",100)),501,100)))</x:f>
      </x:c>
      <x:c r="Z199" s="137" t="str">
        <x:f>IF($A199="","",TRIM(MID(SUBSTITUTE(SUBSTITUTE(TRIM($I199)," ",""),",",REPT(" ",100)),601,100)))</x:f>
      </x:c>
      <x:c r="AA199" s="137" t="str">
        <x:f>IF($A199="","",IF(SUBSTITUTE(TRIM($I199)," ","")="",0,1+LEN(SUBSTITUTE(TRIM($I199)," ",""))-LEN(SUBSTITUTE(SUBSTITUTE(TRIM($I199)," ",""),",",""))))</x:f>
      </x:c>
      <x:c r="AB199" s="137" t="str">
        <x:f>IF($A199="","",COUNTIF(TasksTable[Task ID],T199)+COUNTIF(TasksTable[Task ID],U199)+COUNTIF(TasksTable[Task ID],V199)+COUNTIF(TasksTable[Task ID],W199)+COUNTIF(TasksTable[Task ID],X199)+COUNTIF(TasksTable[Task ID],Y199)+COUNTIF(TasksTable[Task ID],Z199))</x:f>
      </x:c>
      <x:c r="AC199" s="137" t="b">
        <x:f>IF($A199="",FALSE,OR(T199=$A199,U199=$A199,V199=$A199,W199=$A199,X199=$A199,Y199=$A199,Z199=$A199))</x:f>
        <x:v>0</x:v>
      </x:c>
      <x:c r="AD199" s="144" t="n">
        <x:f>IF(AA199=0,0,MAX(IFERROR(INDEX(TasksTable[Start Date],MATCH(T199,TasksTable[Task ID],0)),0),IFERROR(INDEX(TasksTable[Start Date],MATCH(U199,TasksTable[Task ID],0)),0),IFERROR(INDEX(TasksTable[Start Date],MATCH(V199,TasksTable[Task ID],0)),0),IFERROR(INDEX(TasksTable[Start Date],MATCH(W199,TasksTable[Task ID],0)),0),IFERROR(INDEX(TasksTable[Start Date],MATCH(X199,TasksTable[Task ID],0)),0),IFERROR(INDEX(TasksTable[Start Date],MATCH(Y199,TasksTable[Task ID],0)),0),IFERROR(INDEX(TasksTable[Start Date],MATCH(Z199,TasksTable[Task ID],0)),0)))</x:f>
        <x:v>0</x:v>
      </x:c>
      <x:c r="AE199" s="144" t="n">
        <x:f>IF(AA199=0,0,MAX(IFERROR(INDEX(TasksTable[End Date],MATCH(T199,TasksTable[Task ID],0)),0),IFERROR(INDEX(TasksTable[End Date],MATCH(U199,TasksTable[Task ID],0)),0),IFERROR(INDEX(TasksTable[End Date],MATCH(V199,TasksTable[Task ID],0)),0),IFERROR(INDEX(TasksTable[End Date],MATCH(W199,TasksTable[Task ID],0)),0),IFERROR(INDEX(TasksTable[End Date],MATCH(X199,TasksTable[Task ID],0)),0),IFERROR(INDEX(TasksTable[End Date],MATCH(Y199,TasksTable[Task ID],0)),0),IFERROR(INDEX(TasksTable[End Date],MATCH(Z199,TasksTable[Task ID],0)),0)))</x:f>
        <x:v>0</x:v>
      </x:c>
      <x:c r="AF199" s="137" t="b">
        <x:f>IF(OR($A199="",AA199=0),FALSE,SWITCH($J199,"FS",$F199&lt;AE199,"SS",$F199&lt;AD199,"FF",$G199&lt;AE199,"SF",$G199&lt;AD199,TRUE))</x:f>
        <x:v>0</x:v>
      </x:c>
      <x:c r="AG199" s="137" t="str">
        <x:f>IF(AND($A199&lt;&gt;"",$K199="No",$N199&lt;&gt;"Completed",$F199&gt;=TODAY()),$F199+ROW()/100000,"")</x:f>
      </x:c>
      <x:c r="AH199" s="137" t="str">
        <x:f>IF(AND($A199&lt;&gt;"",$K199="Yes",$N199&lt;&gt;"Completed",$F199&gt;=TODAY()),$F199+ROW()/100000,"")</x:f>
      </x:c>
      <x:c r="AI199" s="137" t="str">
        <x:f>IF(AND($A199&lt;&gt;"",$K199="No",$N199&lt;&gt;"Completed",$G199&gt;=TODAY(),$G199&lt;=TODAY()+3),$G199+ROW()/100000,"")</x:f>
      </x:c>
      <x:c r="AJ199" s="137" t="str">
        <x:f>IF(AND($A199&lt;&gt;"",$K199="No",OR($N199="Delayed",$P199="Dependency conflict")),$G199+ROW()/100000,"")</x:f>
      </x:c>
      <x:c r="AK199" s="137" t="str">
        <x:f>IF(AG199="","",COUNTIFS($AG$7:$AG$206,"&gt;0",$AG$7:$AG$206,"&lt;"&amp;AG199)+1)</x:f>
      </x:c>
      <x:c r="AL199" s="137" t="str">
        <x:f>IF(AH199="","",COUNTIFS($AH$7:$AH$206,"&gt;0",$AH$7:$AH$206,"&lt;"&amp;AH199)+1)</x:f>
      </x:c>
      <x:c r="AM199" s="137" t="str">
        <x:f>IF(AI199="","",COUNTIFS($AI$7:$AI$206,"&gt;0",$AI$7:$AI$206,"&lt;"&amp;AI199)+1)</x:f>
      </x:c>
      <x:c r="AN199" s="137" t="str">
        <x:f>IF(AJ199="","",COUNTIFS($AJ$7:$AJ$206,"&gt;0",$AJ$7:$AJ$206,"&lt;"&amp;AJ199)+1)</x:f>
      </x:c>
    </x:row>
    <x:row r="200">
      <x:c r="T200" s="137" t="str">
        <x:f>IF($A200="","",TRIM(MID(SUBSTITUTE(SUBSTITUTE(TRIM($I200)," ",""),",",REPT(" ",100)),1,100)))</x:f>
      </x:c>
      <x:c r="U200" s="137" t="str">
        <x:f>IF($A200="","",TRIM(MID(SUBSTITUTE(SUBSTITUTE(TRIM($I200)," ",""),",",REPT(" ",100)),101,100)))</x:f>
      </x:c>
      <x:c r="V200" s="137" t="str">
        <x:f>IF($A200="","",TRIM(MID(SUBSTITUTE(SUBSTITUTE(TRIM($I200)," ",""),",",REPT(" ",100)),201,100)))</x:f>
      </x:c>
      <x:c r="W200" s="137" t="str">
        <x:f>IF($A200="","",TRIM(MID(SUBSTITUTE(SUBSTITUTE(TRIM($I200)," ",""),",",REPT(" ",100)),301,100)))</x:f>
      </x:c>
      <x:c r="X200" s="137" t="str">
        <x:f>IF($A200="","",TRIM(MID(SUBSTITUTE(SUBSTITUTE(TRIM($I200)," ",""),",",REPT(" ",100)),401,100)))</x:f>
      </x:c>
      <x:c r="Y200" s="137" t="str">
        <x:f>IF($A200="","",TRIM(MID(SUBSTITUTE(SUBSTITUTE(TRIM($I200)," ",""),",",REPT(" ",100)),501,100)))</x:f>
      </x:c>
      <x:c r="Z200" s="137" t="str">
        <x:f>IF($A200="","",TRIM(MID(SUBSTITUTE(SUBSTITUTE(TRIM($I200)," ",""),",",REPT(" ",100)),601,100)))</x:f>
      </x:c>
      <x:c r="AA200" s="137" t="str">
        <x:f>IF($A200="","",IF(SUBSTITUTE(TRIM($I200)," ","")="",0,1+LEN(SUBSTITUTE(TRIM($I200)," ",""))-LEN(SUBSTITUTE(SUBSTITUTE(TRIM($I200)," ",""),",",""))))</x:f>
      </x:c>
      <x:c r="AB200" s="137" t="str">
        <x:f>IF($A200="","",COUNTIF(TasksTable[Task ID],T200)+COUNTIF(TasksTable[Task ID],U200)+COUNTIF(TasksTable[Task ID],V200)+COUNTIF(TasksTable[Task ID],W200)+COUNTIF(TasksTable[Task ID],X200)+COUNTIF(TasksTable[Task ID],Y200)+COUNTIF(TasksTable[Task ID],Z200))</x:f>
      </x:c>
      <x:c r="AC200" s="137" t="b">
        <x:f>IF($A200="",FALSE,OR(T200=$A200,U200=$A200,V200=$A200,W200=$A200,X200=$A200,Y200=$A200,Z200=$A200))</x:f>
        <x:v>0</x:v>
      </x:c>
      <x:c r="AD200" s="144" t="n">
        <x:f>IF(AA200=0,0,MAX(IFERROR(INDEX(TasksTable[Start Date],MATCH(T200,TasksTable[Task ID],0)),0),IFERROR(INDEX(TasksTable[Start Date],MATCH(U200,TasksTable[Task ID],0)),0),IFERROR(INDEX(TasksTable[Start Date],MATCH(V200,TasksTable[Task ID],0)),0),IFERROR(INDEX(TasksTable[Start Date],MATCH(W200,TasksTable[Task ID],0)),0),IFERROR(INDEX(TasksTable[Start Date],MATCH(X200,TasksTable[Task ID],0)),0),IFERROR(INDEX(TasksTable[Start Date],MATCH(Y200,TasksTable[Task ID],0)),0),IFERROR(INDEX(TasksTable[Start Date],MATCH(Z200,TasksTable[Task ID],0)),0)))</x:f>
        <x:v>0</x:v>
      </x:c>
      <x:c r="AE200" s="144" t="n">
        <x:f>IF(AA200=0,0,MAX(IFERROR(INDEX(TasksTable[End Date],MATCH(T200,TasksTable[Task ID],0)),0),IFERROR(INDEX(TasksTable[End Date],MATCH(U200,TasksTable[Task ID],0)),0),IFERROR(INDEX(TasksTable[End Date],MATCH(V200,TasksTable[Task ID],0)),0),IFERROR(INDEX(TasksTable[End Date],MATCH(W200,TasksTable[Task ID],0)),0),IFERROR(INDEX(TasksTable[End Date],MATCH(X200,TasksTable[Task ID],0)),0),IFERROR(INDEX(TasksTable[End Date],MATCH(Y200,TasksTable[Task ID],0)),0),IFERROR(INDEX(TasksTable[End Date],MATCH(Z200,TasksTable[Task ID],0)),0)))</x:f>
        <x:v>0</x:v>
      </x:c>
      <x:c r="AF200" s="137" t="b">
        <x:f>IF(OR($A200="",AA200=0),FALSE,SWITCH($J200,"FS",$F200&lt;AE200,"SS",$F200&lt;AD200,"FF",$G200&lt;AE200,"SF",$G200&lt;AD200,TRUE))</x:f>
        <x:v>0</x:v>
      </x:c>
      <x:c r="AG200" s="137" t="str">
        <x:f>IF(AND($A200&lt;&gt;"",$K200="No",$N200&lt;&gt;"Completed",$F200&gt;=TODAY()),$F200+ROW()/100000,"")</x:f>
      </x:c>
      <x:c r="AH200" s="137" t="str">
        <x:f>IF(AND($A200&lt;&gt;"",$K200="Yes",$N200&lt;&gt;"Completed",$F200&gt;=TODAY()),$F200+ROW()/100000,"")</x:f>
      </x:c>
      <x:c r="AI200" s="137" t="str">
        <x:f>IF(AND($A200&lt;&gt;"",$K200="No",$N200&lt;&gt;"Completed",$G200&gt;=TODAY(),$G200&lt;=TODAY()+3),$G200+ROW()/100000,"")</x:f>
      </x:c>
      <x:c r="AJ200" s="137" t="str">
        <x:f>IF(AND($A200&lt;&gt;"",$K200="No",OR($N200="Delayed",$P200="Dependency conflict")),$G200+ROW()/100000,"")</x:f>
      </x:c>
      <x:c r="AK200" s="137" t="str">
        <x:f>IF(AG200="","",COUNTIFS($AG$7:$AG$206,"&gt;0",$AG$7:$AG$206,"&lt;"&amp;AG200)+1)</x:f>
      </x:c>
      <x:c r="AL200" s="137" t="str">
        <x:f>IF(AH200="","",COUNTIFS($AH$7:$AH$206,"&gt;0",$AH$7:$AH$206,"&lt;"&amp;AH200)+1)</x:f>
      </x:c>
      <x:c r="AM200" s="137" t="str">
        <x:f>IF(AI200="","",COUNTIFS($AI$7:$AI$206,"&gt;0",$AI$7:$AI$206,"&lt;"&amp;AI200)+1)</x:f>
      </x:c>
      <x:c r="AN200" s="137" t="str">
        <x:f>IF(AJ200="","",COUNTIFS($AJ$7:$AJ$206,"&gt;0",$AJ$7:$AJ$206,"&lt;"&amp;AJ200)+1)</x:f>
      </x:c>
    </x:row>
    <x:row r="201">
      <x:c r="T201" s="137" t="str">
        <x:f>IF($A201="","",TRIM(MID(SUBSTITUTE(SUBSTITUTE(TRIM($I201)," ",""),",",REPT(" ",100)),1,100)))</x:f>
      </x:c>
      <x:c r="U201" s="137" t="str">
        <x:f>IF($A201="","",TRIM(MID(SUBSTITUTE(SUBSTITUTE(TRIM($I201)," ",""),",",REPT(" ",100)),101,100)))</x:f>
      </x:c>
      <x:c r="V201" s="137" t="str">
        <x:f>IF($A201="","",TRIM(MID(SUBSTITUTE(SUBSTITUTE(TRIM($I201)," ",""),",",REPT(" ",100)),201,100)))</x:f>
      </x:c>
      <x:c r="W201" s="137" t="str">
        <x:f>IF($A201="","",TRIM(MID(SUBSTITUTE(SUBSTITUTE(TRIM($I201)," ",""),",",REPT(" ",100)),301,100)))</x:f>
      </x:c>
      <x:c r="X201" s="137" t="str">
        <x:f>IF($A201="","",TRIM(MID(SUBSTITUTE(SUBSTITUTE(TRIM($I201)," ",""),",",REPT(" ",100)),401,100)))</x:f>
      </x:c>
      <x:c r="Y201" s="137" t="str">
        <x:f>IF($A201="","",TRIM(MID(SUBSTITUTE(SUBSTITUTE(TRIM($I201)," ",""),",",REPT(" ",100)),501,100)))</x:f>
      </x:c>
      <x:c r="Z201" s="137" t="str">
        <x:f>IF($A201="","",TRIM(MID(SUBSTITUTE(SUBSTITUTE(TRIM($I201)," ",""),",",REPT(" ",100)),601,100)))</x:f>
      </x:c>
      <x:c r="AA201" s="137" t="str">
        <x:f>IF($A201="","",IF(SUBSTITUTE(TRIM($I201)," ","")="",0,1+LEN(SUBSTITUTE(TRIM($I201)," ",""))-LEN(SUBSTITUTE(SUBSTITUTE(TRIM($I201)," ",""),",",""))))</x:f>
      </x:c>
      <x:c r="AB201" s="137" t="str">
        <x:f>IF($A201="","",COUNTIF(TasksTable[Task ID],T201)+COUNTIF(TasksTable[Task ID],U201)+COUNTIF(TasksTable[Task ID],V201)+COUNTIF(TasksTable[Task ID],W201)+COUNTIF(TasksTable[Task ID],X201)+COUNTIF(TasksTable[Task ID],Y201)+COUNTIF(TasksTable[Task ID],Z201))</x:f>
      </x:c>
      <x:c r="AC201" s="137" t="b">
        <x:f>IF($A201="",FALSE,OR(T201=$A201,U201=$A201,V201=$A201,W201=$A201,X201=$A201,Y201=$A201,Z201=$A201))</x:f>
        <x:v>0</x:v>
      </x:c>
      <x:c r="AD201" s="144" t="n">
        <x:f>IF(AA201=0,0,MAX(IFERROR(INDEX(TasksTable[Start Date],MATCH(T201,TasksTable[Task ID],0)),0),IFERROR(INDEX(TasksTable[Start Date],MATCH(U201,TasksTable[Task ID],0)),0),IFERROR(INDEX(TasksTable[Start Date],MATCH(V201,TasksTable[Task ID],0)),0),IFERROR(INDEX(TasksTable[Start Date],MATCH(W201,TasksTable[Task ID],0)),0),IFERROR(INDEX(TasksTable[Start Date],MATCH(X201,TasksTable[Task ID],0)),0),IFERROR(INDEX(TasksTable[Start Date],MATCH(Y201,TasksTable[Task ID],0)),0),IFERROR(INDEX(TasksTable[Start Date],MATCH(Z201,TasksTable[Task ID],0)),0)))</x:f>
        <x:v>0</x:v>
      </x:c>
      <x:c r="AE201" s="144" t="n">
        <x:f>IF(AA201=0,0,MAX(IFERROR(INDEX(TasksTable[End Date],MATCH(T201,TasksTable[Task ID],0)),0),IFERROR(INDEX(TasksTable[End Date],MATCH(U201,TasksTable[Task ID],0)),0),IFERROR(INDEX(TasksTable[End Date],MATCH(V201,TasksTable[Task ID],0)),0),IFERROR(INDEX(TasksTable[End Date],MATCH(W201,TasksTable[Task ID],0)),0),IFERROR(INDEX(TasksTable[End Date],MATCH(X201,TasksTable[Task ID],0)),0),IFERROR(INDEX(TasksTable[End Date],MATCH(Y201,TasksTable[Task ID],0)),0),IFERROR(INDEX(TasksTable[End Date],MATCH(Z201,TasksTable[Task ID],0)),0)))</x:f>
        <x:v>0</x:v>
      </x:c>
      <x:c r="AF201" s="137" t="b">
        <x:f>IF(OR($A201="",AA201=0),FALSE,SWITCH($J201,"FS",$F201&lt;AE201,"SS",$F201&lt;AD201,"FF",$G201&lt;AE201,"SF",$G201&lt;AD201,TRUE))</x:f>
        <x:v>0</x:v>
      </x:c>
      <x:c r="AG201" s="137" t="str">
        <x:f>IF(AND($A201&lt;&gt;"",$K201="No",$N201&lt;&gt;"Completed",$F201&gt;=TODAY()),$F201+ROW()/100000,"")</x:f>
      </x:c>
      <x:c r="AH201" s="137" t="str">
        <x:f>IF(AND($A201&lt;&gt;"",$K201="Yes",$N201&lt;&gt;"Completed",$F201&gt;=TODAY()),$F201+ROW()/100000,"")</x:f>
      </x:c>
      <x:c r="AI201" s="137" t="str">
        <x:f>IF(AND($A201&lt;&gt;"",$K201="No",$N201&lt;&gt;"Completed",$G201&gt;=TODAY(),$G201&lt;=TODAY()+3),$G201+ROW()/100000,"")</x:f>
      </x:c>
      <x:c r="AJ201" s="137" t="str">
        <x:f>IF(AND($A201&lt;&gt;"",$K201="No",OR($N201="Delayed",$P201="Dependency conflict")),$G201+ROW()/100000,"")</x:f>
      </x:c>
      <x:c r="AK201" s="137" t="str">
        <x:f>IF(AG201="","",COUNTIFS($AG$7:$AG$206,"&gt;0",$AG$7:$AG$206,"&lt;"&amp;AG201)+1)</x:f>
      </x:c>
      <x:c r="AL201" s="137" t="str">
        <x:f>IF(AH201="","",COUNTIFS($AH$7:$AH$206,"&gt;0",$AH$7:$AH$206,"&lt;"&amp;AH201)+1)</x:f>
      </x:c>
      <x:c r="AM201" s="137" t="str">
        <x:f>IF(AI201="","",COUNTIFS($AI$7:$AI$206,"&gt;0",$AI$7:$AI$206,"&lt;"&amp;AI201)+1)</x:f>
      </x:c>
      <x:c r="AN201" s="137" t="str">
        <x:f>IF(AJ201="","",COUNTIFS($AJ$7:$AJ$206,"&gt;0",$AJ$7:$AJ$206,"&lt;"&amp;AJ201)+1)</x:f>
      </x:c>
    </x:row>
    <x:row r="202">
      <x:c r="T202" s="137" t="str">
        <x:f>IF($A202="","",TRIM(MID(SUBSTITUTE(SUBSTITUTE(TRIM($I202)," ",""),",",REPT(" ",100)),1,100)))</x:f>
      </x:c>
      <x:c r="U202" s="137" t="str">
        <x:f>IF($A202="","",TRIM(MID(SUBSTITUTE(SUBSTITUTE(TRIM($I202)," ",""),",",REPT(" ",100)),101,100)))</x:f>
      </x:c>
      <x:c r="V202" s="137" t="str">
        <x:f>IF($A202="","",TRIM(MID(SUBSTITUTE(SUBSTITUTE(TRIM($I202)," ",""),",",REPT(" ",100)),201,100)))</x:f>
      </x:c>
      <x:c r="W202" s="137" t="str">
        <x:f>IF($A202="","",TRIM(MID(SUBSTITUTE(SUBSTITUTE(TRIM($I202)," ",""),",",REPT(" ",100)),301,100)))</x:f>
      </x:c>
      <x:c r="X202" s="137" t="str">
        <x:f>IF($A202="","",TRIM(MID(SUBSTITUTE(SUBSTITUTE(TRIM($I202)," ",""),",",REPT(" ",100)),401,100)))</x:f>
      </x:c>
      <x:c r="Y202" s="137" t="str">
        <x:f>IF($A202="","",TRIM(MID(SUBSTITUTE(SUBSTITUTE(TRIM($I202)," ",""),",",REPT(" ",100)),501,100)))</x:f>
      </x:c>
      <x:c r="Z202" s="137" t="str">
        <x:f>IF($A202="","",TRIM(MID(SUBSTITUTE(SUBSTITUTE(TRIM($I202)," ",""),",",REPT(" ",100)),601,100)))</x:f>
      </x:c>
      <x:c r="AA202" s="137" t="str">
        <x:f>IF($A202="","",IF(SUBSTITUTE(TRIM($I202)," ","")="",0,1+LEN(SUBSTITUTE(TRIM($I202)," ",""))-LEN(SUBSTITUTE(SUBSTITUTE(TRIM($I202)," ",""),",",""))))</x:f>
      </x:c>
      <x:c r="AB202" s="137" t="str">
        <x:f>IF($A202="","",COUNTIF(TasksTable[Task ID],T202)+COUNTIF(TasksTable[Task ID],U202)+COUNTIF(TasksTable[Task ID],V202)+COUNTIF(TasksTable[Task ID],W202)+COUNTIF(TasksTable[Task ID],X202)+COUNTIF(TasksTable[Task ID],Y202)+COUNTIF(TasksTable[Task ID],Z202))</x:f>
      </x:c>
      <x:c r="AC202" s="137" t="b">
        <x:f>IF($A202="",FALSE,OR(T202=$A202,U202=$A202,V202=$A202,W202=$A202,X202=$A202,Y202=$A202,Z202=$A202))</x:f>
        <x:v>0</x:v>
      </x:c>
      <x:c r="AD202" s="144" t="n">
        <x:f>IF(AA202=0,0,MAX(IFERROR(INDEX(TasksTable[Start Date],MATCH(T202,TasksTable[Task ID],0)),0),IFERROR(INDEX(TasksTable[Start Date],MATCH(U202,TasksTable[Task ID],0)),0),IFERROR(INDEX(TasksTable[Start Date],MATCH(V202,TasksTable[Task ID],0)),0),IFERROR(INDEX(TasksTable[Start Date],MATCH(W202,TasksTable[Task ID],0)),0),IFERROR(INDEX(TasksTable[Start Date],MATCH(X202,TasksTable[Task ID],0)),0),IFERROR(INDEX(TasksTable[Start Date],MATCH(Y202,TasksTable[Task ID],0)),0),IFERROR(INDEX(TasksTable[Start Date],MATCH(Z202,TasksTable[Task ID],0)),0)))</x:f>
        <x:v>0</x:v>
      </x:c>
      <x:c r="AE202" s="144" t="n">
        <x:f>IF(AA202=0,0,MAX(IFERROR(INDEX(TasksTable[End Date],MATCH(T202,TasksTable[Task ID],0)),0),IFERROR(INDEX(TasksTable[End Date],MATCH(U202,TasksTable[Task ID],0)),0),IFERROR(INDEX(TasksTable[End Date],MATCH(V202,TasksTable[Task ID],0)),0),IFERROR(INDEX(TasksTable[End Date],MATCH(W202,TasksTable[Task ID],0)),0),IFERROR(INDEX(TasksTable[End Date],MATCH(X202,TasksTable[Task ID],0)),0),IFERROR(INDEX(TasksTable[End Date],MATCH(Y202,TasksTable[Task ID],0)),0),IFERROR(INDEX(TasksTable[End Date],MATCH(Z202,TasksTable[Task ID],0)),0)))</x:f>
        <x:v>0</x:v>
      </x:c>
      <x:c r="AF202" s="137" t="b">
        <x:f>IF(OR($A202="",AA202=0),FALSE,SWITCH($J202,"FS",$F202&lt;AE202,"SS",$F202&lt;AD202,"FF",$G202&lt;AE202,"SF",$G202&lt;AD202,TRUE))</x:f>
        <x:v>0</x:v>
      </x:c>
      <x:c r="AG202" s="137" t="str">
        <x:f>IF(AND($A202&lt;&gt;"",$K202="No",$N202&lt;&gt;"Completed",$F202&gt;=TODAY()),$F202+ROW()/100000,"")</x:f>
      </x:c>
      <x:c r="AH202" s="137" t="str">
        <x:f>IF(AND($A202&lt;&gt;"",$K202="Yes",$N202&lt;&gt;"Completed",$F202&gt;=TODAY()),$F202+ROW()/100000,"")</x:f>
      </x:c>
      <x:c r="AI202" s="137" t="str">
        <x:f>IF(AND($A202&lt;&gt;"",$K202="No",$N202&lt;&gt;"Completed",$G202&gt;=TODAY(),$G202&lt;=TODAY()+3),$G202+ROW()/100000,"")</x:f>
      </x:c>
      <x:c r="AJ202" s="137" t="str">
        <x:f>IF(AND($A202&lt;&gt;"",$K202="No",OR($N202="Delayed",$P202="Dependency conflict")),$G202+ROW()/100000,"")</x:f>
      </x:c>
      <x:c r="AK202" s="137" t="str">
        <x:f>IF(AG202="","",COUNTIFS($AG$7:$AG$206,"&gt;0",$AG$7:$AG$206,"&lt;"&amp;AG202)+1)</x:f>
      </x:c>
      <x:c r="AL202" s="137" t="str">
        <x:f>IF(AH202="","",COUNTIFS($AH$7:$AH$206,"&gt;0",$AH$7:$AH$206,"&lt;"&amp;AH202)+1)</x:f>
      </x:c>
      <x:c r="AM202" s="137" t="str">
        <x:f>IF(AI202="","",COUNTIFS($AI$7:$AI$206,"&gt;0",$AI$7:$AI$206,"&lt;"&amp;AI202)+1)</x:f>
      </x:c>
      <x:c r="AN202" s="137" t="str">
        <x:f>IF(AJ202="","",COUNTIFS($AJ$7:$AJ$206,"&gt;0",$AJ$7:$AJ$206,"&lt;"&amp;AJ202)+1)</x:f>
      </x:c>
    </x:row>
    <x:row r="203">
      <x:c r="T203" s="137" t="str">
        <x:f>IF($A203="","",TRIM(MID(SUBSTITUTE(SUBSTITUTE(TRIM($I203)," ",""),",",REPT(" ",100)),1,100)))</x:f>
      </x:c>
      <x:c r="U203" s="137" t="str">
        <x:f>IF($A203="","",TRIM(MID(SUBSTITUTE(SUBSTITUTE(TRIM($I203)," ",""),",",REPT(" ",100)),101,100)))</x:f>
      </x:c>
      <x:c r="V203" s="137" t="str">
        <x:f>IF($A203="","",TRIM(MID(SUBSTITUTE(SUBSTITUTE(TRIM($I203)," ",""),",",REPT(" ",100)),201,100)))</x:f>
      </x:c>
      <x:c r="W203" s="137" t="str">
        <x:f>IF($A203="","",TRIM(MID(SUBSTITUTE(SUBSTITUTE(TRIM($I203)," ",""),",",REPT(" ",100)),301,100)))</x:f>
      </x:c>
      <x:c r="X203" s="137" t="str">
        <x:f>IF($A203="","",TRIM(MID(SUBSTITUTE(SUBSTITUTE(TRIM($I203)," ",""),",",REPT(" ",100)),401,100)))</x:f>
      </x:c>
      <x:c r="Y203" s="137" t="str">
        <x:f>IF($A203="","",TRIM(MID(SUBSTITUTE(SUBSTITUTE(TRIM($I203)," ",""),",",REPT(" ",100)),501,100)))</x:f>
      </x:c>
      <x:c r="Z203" s="137" t="str">
        <x:f>IF($A203="","",TRIM(MID(SUBSTITUTE(SUBSTITUTE(TRIM($I203)," ",""),",",REPT(" ",100)),601,100)))</x:f>
      </x:c>
      <x:c r="AA203" s="137" t="str">
        <x:f>IF($A203="","",IF(SUBSTITUTE(TRIM($I203)," ","")="",0,1+LEN(SUBSTITUTE(TRIM($I203)," ",""))-LEN(SUBSTITUTE(SUBSTITUTE(TRIM($I203)," ",""),",",""))))</x:f>
      </x:c>
      <x:c r="AB203" s="137" t="str">
        <x:f>IF($A203="","",COUNTIF(TasksTable[Task ID],T203)+COUNTIF(TasksTable[Task ID],U203)+COUNTIF(TasksTable[Task ID],V203)+COUNTIF(TasksTable[Task ID],W203)+COUNTIF(TasksTable[Task ID],X203)+COUNTIF(TasksTable[Task ID],Y203)+COUNTIF(TasksTable[Task ID],Z203))</x:f>
      </x:c>
      <x:c r="AC203" s="137" t="b">
        <x:f>IF($A203="",FALSE,OR(T203=$A203,U203=$A203,V203=$A203,W203=$A203,X203=$A203,Y203=$A203,Z203=$A203))</x:f>
        <x:v>0</x:v>
      </x:c>
      <x:c r="AD203" s="144" t="n">
        <x:f>IF(AA203=0,0,MAX(IFERROR(INDEX(TasksTable[Start Date],MATCH(T203,TasksTable[Task ID],0)),0),IFERROR(INDEX(TasksTable[Start Date],MATCH(U203,TasksTable[Task ID],0)),0),IFERROR(INDEX(TasksTable[Start Date],MATCH(V203,TasksTable[Task ID],0)),0),IFERROR(INDEX(TasksTable[Start Date],MATCH(W203,TasksTable[Task ID],0)),0),IFERROR(INDEX(TasksTable[Start Date],MATCH(X203,TasksTable[Task ID],0)),0),IFERROR(INDEX(TasksTable[Start Date],MATCH(Y203,TasksTable[Task ID],0)),0),IFERROR(INDEX(TasksTable[Start Date],MATCH(Z203,TasksTable[Task ID],0)),0)))</x:f>
        <x:v>0</x:v>
      </x:c>
      <x:c r="AE203" s="144" t="n">
        <x:f>IF(AA203=0,0,MAX(IFERROR(INDEX(TasksTable[End Date],MATCH(T203,TasksTable[Task ID],0)),0),IFERROR(INDEX(TasksTable[End Date],MATCH(U203,TasksTable[Task ID],0)),0),IFERROR(INDEX(TasksTable[End Date],MATCH(V203,TasksTable[Task ID],0)),0),IFERROR(INDEX(TasksTable[End Date],MATCH(W203,TasksTable[Task ID],0)),0),IFERROR(INDEX(TasksTable[End Date],MATCH(X203,TasksTable[Task ID],0)),0),IFERROR(INDEX(TasksTable[End Date],MATCH(Y203,TasksTable[Task ID],0)),0),IFERROR(INDEX(TasksTable[End Date],MATCH(Z203,TasksTable[Task ID],0)),0)))</x:f>
        <x:v>0</x:v>
      </x:c>
      <x:c r="AF203" s="137" t="b">
        <x:f>IF(OR($A203="",AA203=0),FALSE,SWITCH($J203,"FS",$F203&lt;AE203,"SS",$F203&lt;AD203,"FF",$G203&lt;AE203,"SF",$G203&lt;AD203,TRUE))</x:f>
        <x:v>0</x:v>
      </x:c>
      <x:c r="AG203" s="137" t="str">
        <x:f>IF(AND($A203&lt;&gt;"",$K203="No",$N203&lt;&gt;"Completed",$F203&gt;=TODAY()),$F203+ROW()/100000,"")</x:f>
      </x:c>
      <x:c r="AH203" s="137" t="str">
        <x:f>IF(AND($A203&lt;&gt;"",$K203="Yes",$N203&lt;&gt;"Completed",$F203&gt;=TODAY()),$F203+ROW()/100000,"")</x:f>
      </x:c>
      <x:c r="AI203" s="137" t="str">
        <x:f>IF(AND($A203&lt;&gt;"",$K203="No",$N203&lt;&gt;"Completed",$G203&gt;=TODAY(),$G203&lt;=TODAY()+3),$G203+ROW()/100000,"")</x:f>
      </x:c>
      <x:c r="AJ203" s="137" t="str">
        <x:f>IF(AND($A203&lt;&gt;"",$K203="No",OR($N203="Delayed",$P203="Dependency conflict")),$G203+ROW()/100000,"")</x:f>
      </x:c>
      <x:c r="AK203" s="137" t="str">
        <x:f>IF(AG203="","",COUNTIFS($AG$7:$AG$206,"&gt;0",$AG$7:$AG$206,"&lt;"&amp;AG203)+1)</x:f>
      </x:c>
      <x:c r="AL203" s="137" t="str">
        <x:f>IF(AH203="","",COUNTIFS($AH$7:$AH$206,"&gt;0",$AH$7:$AH$206,"&lt;"&amp;AH203)+1)</x:f>
      </x:c>
      <x:c r="AM203" s="137" t="str">
        <x:f>IF(AI203="","",COUNTIFS($AI$7:$AI$206,"&gt;0",$AI$7:$AI$206,"&lt;"&amp;AI203)+1)</x:f>
      </x:c>
      <x:c r="AN203" s="137" t="str">
        <x:f>IF(AJ203="","",COUNTIFS($AJ$7:$AJ$206,"&gt;0",$AJ$7:$AJ$206,"&lt;"&amp;AJ203)+1)</x:f>
      </x:c>
    </x:row>
    <x:row r="204">
      <x:c r="T204" s="137" t="str">
        <x:f>IF($A204="","",TRIM(MID(SUBSTITUTE(SUBSTITUTE(TRIM($I204)," ",""),",",REPT(" ",100)),1,100)))</x:f>
      </x:c>
      <x:c r="U204" s="137" t="str">
        <x:f>IF($A204="","",TRIM(MID(SUBSTITUTE(SUBSTITUTE(TRIM($I204)," ",""),",",REPT(" ",100)),101,100)))</x:f>
      </x:c>
      <x:c r="V204" s="137" t="str">
        <x:f>IF($A204="","",TRIM(MID(SUBSTITUTE(SUBSTITUTE(TRIM($I204)," ",""),",",REPT(" ",100)),201,100)))</x:f>
      </x:c>
      <x:c r="W204" s="137" t="str">
        <x:f>IF($A204="","",TRIM(MID(SUBSTITUTE(SUBSTITUTE(TRIM($I204)," ",""),",",REPT(" ",100)),301,100)))</x:f>
      </x:c>
      <x:c r="X204" s="137" t="str">
        <x:f>IF($A204="","",TRIM(MID(SUBSTITUTE(SUBSTITUTE(TRIM($I204)," ",""),",",REPT(" ",100)),401,100)))</x:f>
      </x:c>
      <x:c r="Y204" s="137" t="str">
        <x:f>IF($A204="","",TRIM(MID(SUBSTITUTE(SUBSTITUTE(TRIM($I204)," ",""),",",REPT(" ",100)),501,100)))</x:f>
      </x:c>
      <x:c r="Z204" s="137" t="str">
        <x:f>IF($A204="","",TRIM(MID(SUBSTITUTE(SUBSTITUTE(TRIM($I204)," ",""),",",REPT(" ",100)),601,100)))</x:f>
      </x:c>
      <x:c r="AA204" s="137" t="str">
        <x:f>IF($A204="","",IF(SUBSTITUTE(TRIM($I204)," ","")="",0,1+LEN(SUBSTITUTE(TRIM($I204)," ",""))-LEN(SUBSTITUTE(SUBSTITUTE(TRIM($I204)," ",""),",",""))))</x:f>
      </x:c>
      <x:c r="AB204" s="137" t="str">
        <x:f>IF($A204="","",COUNTIF(TasksTable[Task ID],T204)+COUNTIF(TasksTable[Task ID],U204)+COUNTIF(TasksTable[Task ID],V204)+COUNTIF(TasksTable[Task ID],W204)+COUNTIF(TasksTable[Task ID],X204)+COUNTIF(TasksTable[Task ID],Y204)+COUNTIF(TasksTable[Task ID],Z204))</x:f>
      </x:c>
      <x:c r="AC204" s="137" t="b">
        <x:f>IF($A204="",FALSE,OR(T204=$A204,U204=$A204,V204=$A204,W204=$A204,X204=$A204,Y204=$A204,Z204=$A204))</x:f>
        <x:v>0</x:v>
      </x:c>
      <x:c r="AD204" s="144" t="n">
        <x:f>IF(AA204=0,0,MAX(IFERROR(INDEX(TasksTable[Start Date],MATCH(T204,TasksTable[Task ID],0)),0),IFERROR(INDEX(TasksTable[Start Date],MATCH(U204,TasksTable[Task ID],0)),0),IFERROR(INDEX(TasksTable[Start Date],MATCH(V204,TasksTable[Task ID],0)),0),IFERROR(INDEX(TasksTable[Start Date],MATCH(W204,TasksTable[Task ID],0)),0),IFERROR(INDEX(TasksTable[Start Date],MATCH(X204,TasksTable[Task ID],0)),0),IFERROR(INDEX(TasksTable[Start Date],MATCH(Y204,TasksTable[Task ID],0)),0),IFERROR(INDEX(TasksTable[Start Date],MATCH(Z204,TasksTable[Task ID],0)),0)))</x:f>
        <x:v>0</x:v>
      </x:c>
      <x:c r="AE204" s="144" t="n">
        <x:f>IF(AA204=0,0,MAX(IFERROR(INDEX(TasksTable[End Date],MATCH(T204,TasksTable[Task ID],0)),0),IFERROR(INDEX(TasksTable[End Date],MATCH(U204,TasksTable[Task ID],0)),0),IFERROR(INDEX(TasksTable[End Date],MATCH(V204,TasksTable[Task ID],0)),0),IFERROR(INDEX(TasksTable[End Date],MATCH(W204,TasksTable[Task ID],0)),0),IFERROR(INDEX(TasksTable[End Date],MATCH(X204,TasksTable[Task ID],0)),0),IFERROR(INDEX(TasksTable[End Date],MATCH(Y204,TasksTable[Task ID],0)),0),IFERROR(INDEX(TasksTable[End Date],MATCH(Z204,TasksTable[Task ID],0)),0)))</x:f>
        <x:v>0</x:v>
      </x:c>
      <x:c r="AF204" s="137" t="b">
        <x:f>IF(OR($A204="",AA204=0),FALSE,SWITCH($J204,"FS",$F204&lt;AE204,"SS",$F204&lt;AD204,"FF",$G204&lt;AE204,"SF",$G204&lt;AD204,TRUE))</x:f>
        <x:v>0</x:v>
      </x:c>
      <x:c r="AG204" s="137" t="str">
        <x:f>IF(AND($A204&lt;&gt;"",$K204="No",$N204&lt;&gt;"Completed",$F204&gt;=TODAY()),$F204+ROW()/100000,"")</x:f>
      </x:c>
      <x:c r="AH204" s="137" t="str">
        <x:f>IF(AND($A204&lt;&gt;"",$K204="Yes",$N204&lt;&gt;"Completed",$F204&gt;=TODAY()),$F204+ROW()/100000,"")</x:f>
      </x:c>
      <x:c r="AI204" s="137" t="str">
        <x:f>IF(AND($A204&lt;&gt;"",$K204="No",$N204&lt;&gt;"Completed",$G204&gt;=TODAY(),$G204&lt;=TODAY()+3),$G204+ROW()/100000,"")</x:f>
      </x:c>
      <x:c r="AJ204" s="137" t="str">
        <x:f>IF(AND($A204&lt;&gt;"",$K204="No",OR($N204="Delayed",$P204="Dependency conflict")),$G204+ROW()/100000,"")</x:f>
      </x:c>
      <x:c r="AK204" s="137" t="str">
        <x:f>IF(AG204="","",COUNTIFS($AG$7:$AG$206,"&gt;0",$AG$7:$AG$206,"&lt;"&amp;AG204)+1)</x:f>
      </x:c>
      <x:c r="AL204" s="137" t="str">
        <x:f>IF(AH204="","",COUNTIFS($AH$7:$AH$206,"&gt;0",$AH$7:$AH$206,"&lt;"&amp;AH204)+1)</x:f>
      </x:c>
      <x:c r="AM204" s="137" t="str">
        <x:f>IF(AI204="","",COUNTIFS($AI$7:$AI$206,"&gt;0",$AI$7:$AI$206,"&lt;"&amp;AI204)+1)</x:f>
      </x:c>
      <x:c r="AN204" s="137" t="str">
        <x:f>IF(AJ204="","",COUNTIFS($AJ$7:$AJ$206,"&gt;0",$AJ$7:$AJ$206,"&lt;"&amp;AJ204)+1)</x:f>
      </x:c>
    </x:row>
    <x:row r="205">
      <x:c r="T205" s="137" t="str">
        <x:f>IF($A205="","",TRIM(MID(SUBSTITUTE(SUBSTITUTE(TRIM($I205)," ",""),",",REPT(" ",100)),1,100)))</x:f>
      </x:c>
      <x:c r="U205" s="137" t="str">
        <x:f>IF($A205="","",TRIM(MID(SUBSTITUTE(SUBSTITUTE(TRIM($I205)," ",""),",",REPT(" ",100)),101,100)))</x:f>
      </x:c>
      <x:c r="V205" s="137" t="str">
        <x:f>IF($A205="","",TRIM(MID(SUBSTITUTE(SUBSTITUTE(TRIM($I205)," ",""),",",REPT(" ",100)),201,100)))</x:f>
      </x:c>
      <x:c r="W205" s="137" t="str">
        <x:f>IF($A205="","",TRIM(MID(SUBSTITUTE(SUBSTITUTE(TRIM($I205)," ",""),",",REPT(" ",100)),301,100)))</x:f>
      </x:c>
      <x:c r="X205" s="137" t="str">
        <x:f>IF($A205="","",TRIM(MID(SUBSTITUTE(SUBSTITUTE(TRIM($I205)," ",""),",",REPT(" ",100)),401,100)))</x:f>
      </x:c>
      <x:c r="Y205" s="137" t="str">
        <x:f>IF($A205="","",TRIM(MID(SUBSTITUTE(SUBSTITUTE(TRIM($I205)," ",""),",",REPT(" ",100)),501,100)))</x:f>
      </x:c>
      <x:c r="Z205" s="137" t="str">
        <x:f>IF($A205="","",TRIM(MID(SUBSTITUTE(SUBSTITUTE(TRIM($I205)," ",""),",",REPT(" ",100)),601,100)))</x:f>
      </x:c>
      <x:c r="AA205" s="137" t="str">
        <x:f>IF($A205="","",IF(SUBSTITUTE(TRIM($I205)," ","")="",0,1+LEN(SUBSTITUTE(TRIM($I205)," ",""))-LEN(SUBSTITUTE(SUBSTITUTE(TRIM($I205)," ",""),",",""))))</x:f>
      </x:c>
      <x:c r="AB205" s="137" t="str">
        <x:f>IF($A205="","",COUNTIF(TasksTable[Task ID],T205)+COUNTIF(TasksTable[Task ID],U205)+COUNTIF(TasksTable[Task ID],V205)+COUNTIF(TasksTable[Task ID],W205)+COUNTIF(TasksTable[Task ID],X205)+COUNTIF(TasksTable[Task ID],Y205)+COUNTIF(TasksTable[Task ID],Z205))</x:f>
      </x:c>
      <x:c r="AC205" s="137" t="b">
        <x:f>IF($A205="",FALSE,OR(T205=$A205,U205=$A205,V205=$A205,W205=$A205,X205=$A205,Y205=$A205,Z205=$A205))</x:f>
        <x:v>0</x:v>
      </x:c>
      <x:c r="AD205" s="144" t="n">
        <x:f>IF(AA205=0,0,MAX(IFERROR(INDEX(TasksTable[Start Date],MATCH(T205,TasksTable[Task ID],0)),0),IFERROR(INDEX(TasksTable[Start Date],MATCH(U205,TasksTable[Task ID],0)),0),IFERROR(INDEX(TasksTable[Start Date],MATCH(V205,TasksTable[Task ID],0)),0),IFERROR(INDEX(TasksTable[Start Date],MATCH(W205,TasksTable[Task ID],0)),0),IFERROR(INDEX(TasksTable[Start Date],MATCH(X205,TasksTable[Task ID],0)),0),IFERROR(INDEX(TasksTable[Start Date],MATCH(Y205,TasksTable[Task ID],0)),0),IFERROR(INDEX(TasksTable[Start Date],MATCH(Z205,TasksTable[Task ID],0)),0)))</x:f>
        <x:v>0</x:v>
      </x:c>
      <x:c r="AE205" s="144" t="n">
        <x:f>IF(AA205=0,0,MAX(IFERROR(INDEX(TasksTable[End Date],MATCH(T205,TasksTable[Task ID],0)),0),IFERROR(INDEX(TasksTable[End Date],MATCH(U205,TasksTable[Task ID],0)),0),IFERROR(INDEX(TasksTable[End Date],MATCH(V205,TasksTable[Task ID],0)),0),IFERROR(INDEX(TasksTable[End Date],MATCH(W205,TasksTable[Task ID],0)),0),IFERROR(INDEX(TasksTable[End Date],MATCH(X205,TasksTable[Task ID],0)),0),IFERROR(INDEX(TasksTable[End Date],MATCH(Y205,TasksTable[Task ID],0)),0),IFERROR(INDEX(TasksTable[End Date],MATCH(Z205,TasksTable[Task ID],0)),0)))</x:f>
        <x:v>0</x:v>
      </x:c>
      <x:c r="AF205" s="137" t="b">
        <x:f>IF(OR($A205="",AA205=0),FALSE,SWITCH($J205,"FS",$F205&lt;AE205,"SS",$F205&lt;AD205,"FF",$G205&lt;AE205,"SF",$G205&lt;AD205,TRUE))</x:f>
        <x:v>0</x:v>
      </x:c>
      <x:c r="AG205" s="137" t="str">
        <x:f>IF(AND($A205&lt;&gt;"",$K205="No",$N205&lt;&gt;"Completed",$F205&gt;=TODAY()),$F205+ROW()/100000,"")</x:f>
      </x:c>
      <x:c r="AH205" s="137" t="str">
        <x:f>IF(AND($A205&lt;&gt;"",$K205="Yes",$N205&lt;&gt;"Completed",$F205&gt;=TODAY()),$F205+ROW()/100000,"")</x:f>
      </x:c>
      <x:c r="AI205" s="137" t="str">
        <x:f>IF(AND($A205&lt;&gt;"",$K205="No",$N205&lt;&gt;"Completed",$G205&gt;=TODAY(),$G205&lt;=TODAY()+3),$G205+ROW()/100000,"")</x:f>
      </x:c>
      <x:c r="AJ205" s="137" t="str">
        <x:f>IF(AND($A205&lt;&gt;"",$K205="No",OR($N205="Delayed",$P205="Dependency conflict")),$G205+ROW()/100000,"")</x:f>
      </x:c>
      <x:c r="AK205" s="137" t="str">
        <x:f>IF(AG205="","",COUNTIFS($AG$7:$AG$206,"&gt;0",$AG$7:$AG$206,"&lt;"&amp;AG205)+1)</x:f>
      </x:c>
      <x:c r="AL205" s="137" t="str">
        <x:f>IF(AH205="","",COUNTIFS($AH$7:$AH$206,"&gt;0",$AH$7:$AH$206,"&lt;"&amp;AH205)+1)</x:f>
      </x:c>
      <x:c r="AM205" s="137" t="str">
        <x:f>IF(AI205="","",COUNTIFS($AI$7:$AI$206,"&gt;0",$AI$7:$AI$206,"&lt;"&amp;AI205)+1)</x:f>
      </x:c>
      <x:c r="AN205" s="137" t="str">
        <x:f>IF(AJ205="","",COUNTIFS($AJ$7:$AJ$206,"&gt;0",$AJ$7:$AJ$206,"&lt;"&amp;AJ205)+1)</x:f>
      </x:c>
    </x:row>
    <x:row r="206">
      <x:c r="T206" s="137" t="str">
        <x:f>IF($A206="","",TRIM(MID(SUBSTITUTE(SUBSTITUTE(TRIM($I206)," ",""),",",REPT(" ",100)),1,100)))</x:f>
      </x:c>
      <x:c r="U206" s="137" t="str">
        <x:f>IF($A206="","",TRIM(MID(SUBSTITUTE(SUBSTITUTE(TRIM($I206)," ",""),",",REPT(" ",100)),101,100)))</x:f>
      </x:c>
      <x:c r="V206" s="137" t="str">
        <x:f>IF($A206="","",TRIM(MID(SUBSTITUTE(SUBSTITUTE(TRIM($I206)," ",""),",",REPT(" ",100)),201,100)))</x:f>
      </x:c>
      <x:c r="W206" s="137" t="str">
        <x:f>IF($A206="","",TRIM(MID(SUBSTITUTE(SUBSTITUTE(TRIM($I206)," ",""),",",REPT(" ",100)),301,100)))</x:f>
      </x:c>
      <x:c r="X206" s="137" t="str">
        <x:f>IF($A206="","",TRIM(MID(SUBSTITUTE(SUBSTITUTE(TRIM($I206)," ",""),",",REPT(" ",100)),401,100)))</x:f>
      </x:c>
      <x:c r="Y206" s="137" t="str">
        <x:f>IF($A206="","",TRIM(MID(SUBSTITUTE(SUBSTITUTE(TRIM($I206)," ",""),",",REPT(" ",100)),501,100)))</x:f>
      </x:c>
      <x:c r="Z206" s="137" t="str">
        <x:f>IF($A206="","",TRIM(MID(SUBSTITUTE(SUBSTITUTE(TRIM($I206)," ",""),",",REPT(" ",100)),601,100)))</x:f>
      </x:c>
      <x:c r="AA206" s="137" t="str">
        <x:f>IF($A206="","",IF(SUBSTITUTE(TRIM($I206)," ","")="",0,1+LEN(SUBSTITUTE(TRIM($I206)," ",""))-LEN(SUBSTITUTE(SUBSTITUTE(TRIM($I206)," ",""),",",""))))</x:f>
      </x:c>
      <x:c r="AB206" s="137" t="str">
        <x:f>IF($A206="","",COUNTIF(TasksTable[Task ID],T206)+COUNTIF(TasksTable[Task ID],U206)+COUNTIF(TasksTable[Task ID],V206)+COUNTIF(TasksTable[Task ID],W206)+COUNTIF(TasksTable[Task ID],X206)+COUNTIF(TasksTable[Task ID],Y206)+COUNTIF(TasksTable[Task ID],Z206))</x:f>
      </x:c>
      <x:c r="AC206" s="137" t="b">
        <x:f>IF($A206="",FALSE,OR(T206=$A206,U206=$A206,V206=$A206,W206=$A206,X206=$A206,Y206=$A206,Z206=$A206))</x:f>
        <x:v>0</x:v>
      </x:c>
      <x:c r="AD206" s="144" t="n">
        <x:f>IF(AA206=0,0,MAX(IFERROR(INDEX(TasksTable[Start Date],MATCH(T206,TasksTable[Task ID],0)),0),IFERROR(INDEX(TasksTable[Start Date],MATCH(U206,TasksTable[Task ID],0)),0),IFERROR(INDEX(TasksTable[Start Date],MATCH(V206,TasksTable[Task ID],0)),0),IFERROR(INDEX(TasksTable[Start Date],MATCH(W206,TasksTable[Task ID],0)),0),IFERROR(INDEX(TasksTable[Start Date],MATCH(X206,TasksTable[Task ID],0)),0),IFERROR(INDEX(TasksTable[Start Date],MATCH(Y206,TasksTable[Task ID],0)),0),IFERROR(INDEX(TasksTable[Start Date],MATCH(Z206,TasksTable[Task ID],0)),0)))</x:f>
        <x:v>0</x:v>
      </x:c>
      <x:c r="AE206" s="144" t="n">
        <x:f>IF(AA206=0,0,MAX(IFERROR(INDEX(TasksTable[End Date],MATCH(T206,TasksTable[Task ID],0)),0),IFERROR(INDEX(TasksTable[End Date],MATCH(U206,TasksTable[Task ID],0)),0),IFERROR(INDEX(TasksTable[End Date],MATCH(V206,TasksTable[Task ID],0)),0),IFERROR(INDEX(TasksTable[End Date],MATCH(W206,TasksTable[Task ID],0)),0),IFERROR(INDEX(TasksTable[End Date],MATCH(X206,TasksTable[Task ID],0)),0),IFERROR(INDEX(TasksTable[End Date],MATCH(Y206,TasksTable[Task ID],0)),0),IFERROR(INDEX(TasksTable[End Date],MATCH(Z206,TasksTable[Task ID],0)),0)))</x:f>
        <x:v>0</x:v>
      </x:c>
      <x:c r="AF206" s="137" t="b">
        <x:f>IF(OR($A206="",AA206=0),FALSE,SWITCH($J206,"FS",$F206&lt;AE206,"SS",$F206&lt;AD206,"FF",$G206&lt;AE206,"SF",$G206&lt;AD206,TRUE))</x:f>
        <x:v>0</x:v>
      </x:c>
      <x:c r="AG206" s="137" t="str">
        <x:f>IF(AND($A206&lt;&gt;"",$K206="No",$N206&lt;&gt;"Completed",$F206&gt;=TODAY()),$F206+ROW()/100000,"")</x:f>
      </x:c>
      <x:c r="AH206" s="137" t="str">
        <x:f>IF(AND($A206&lt;&gt;"",$K206="Yes",$N206&lt;&gt;"Completed",$F206&gt;=TODAY()),$F206+ROW()/100000,"")</x:f>
      </x:c>
      <x:c r="AI206" s="137" t="str">
        <x:f>IF(AND($A206&lt;&gt;"",$K206="No",$N206&lt;&gt;"Completed",$G206&gt;=TODAY(),$G206&lt;=TODAY()+3),$G206+ROW()/100000,"")</x:f>
      </x:c>
      <x:c r="AJ206" s="137" t="str">
        <x:f>IF(AND($A206&lt;&gt;"",$K206="No",OR($N206="Delayed",$P206="Dependency conflict")),$G206+ROW()/100000,"")</x:f>
      </x:c>
      <x:c r="AK206" s="137" t="str">
        <x:f>IF(AG206="","",COUNTIFS($AG$7:$AG$206,"&gt;0",$AG$7:$AG$206,"&lt;"&amp;AG206)+1)</x:f>
      </x:c>
      <x:c r="AL206" s="137" t="str">
        <x:f>IF(AH206="","",COUNTIFS($AH$7:$AH$206,"&gt;0",$AH$7:$AH$206,"&lt;"&amp;AH206)+1)</x:f>
      </x:c>
      <x:c r="AM206" s="137" t="str">
        <x:f>IF(AI206="","",COUNTIFS($AI$7:$AI$206,"&gt;0",$AI$7:$AI$206,"&lt;"&amp;AI206)+1)</x:f>
      </x:c>
      <x:c r="AN206" s="137" t="str">
        <x:f>IF(AJ206="","",COUNTIFS($AJ$7:$AJ$206,"&gt;0",$AJ$7:$AJ$206,"&lt;"&amp;AJ206)+1)</x:f>
      </x:c>
    </x:row>
  </x:sheetData>
  <x:mergeCells>
    <x:mergeCell ref="A1:Q1"/>
    <x:mergeCell ref="J2:K2"/>
    <x:mergeCell ref="A4:Q4"/>
  </x:mergeCells>
  <x:conditionalFormatting sqref="O7:O206">
    <x:cfRule type="dataBar" priority="1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{73E018B9-FBA2-E2AC-A97F-27FB3755968D}</x14:id>
        </x:ext>
      </x:extLst>
    </x:cfRule>
    <x:cfRule type="dataBar" priority="10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{E7653D08-38A1-AE70-1220-5EFE52DD87E5}</x14:id>
        </x:ext>
      </x:extLst>
    </x:cfRule>
  </x:conditionalFormatting>
  <x:conditionalFormatting sqref="N7:N206">
    <x:cfRule type="expression" dxfId="0" priority="2">
      <x:formula>N7="Not Started"</x:formula>
    </x:cfRule>
    <x:cfRule type="expression" dxfId="1" priority="3">
      <x:formula>N7="In Progress"</x:formula>
    </x:cfRule>
    <x:cfRule type="expression" dxfId="2" priority="4">
      <x:formula>N7="Completed"</x:formula>
    </x:cfRule>
    <x:cfRule type="expression" dxfId="3" priority="5">
      <x:formula>N7="On Hold"</x:formula>
    </x:cfRule>
    <x:cfRule type="expression" dxfId="4" priority="6">
      <x:formula>N7="Delayed"</x:formula>
    </x:cfRule>
    <x:cfRule type="expression" dxfId="32" priority="11">
      <x:formula>$N7="Completed"</x:formula>
    </x:cfRule>
    <x:cfRule type="expression" dxfId="33" priority="12">
      <x:formula>$N7="In Progress"</x:formula>
    </x:cfRule>
    <x:cfRule type="expression" dxfId="34" priority="13">
      <x:formula>$N7="Delayed"</x:formula>
    </x:cfRule>
    <x:cfRule type="expression" dxfId="35" priority="14">
      <x:formula>$N7="On Hold"</x:formula>
    </x:cfRule>
  </x:conditionalFormatting>
  <x:conditionalFormatting sqref="P7:P206">
    <x:cfRule type="expression" dxfId="5" priority="7">
      <x:formula>P7="On Track"</x:formula>
    </x:cfRule>
    <x:cfRule type="expression" dxfId="6" priority="8">
      <x:formula>OR(P7="Delayed",ISNUMBER(SEARCH("conflict",P7)),ISNUMBER(SEARCH("Invalid",P7)),ISNUMBER(SEARCH("Outside",P7)),ISNUMBER(SEARCH("cycle",P7)),ISNUMBER(SEARCH("Duplicate",P7)),ISNUMBER(SEARCH("Missing",P7)))</x:formula>
    </x:cfRule>
    <x:cfRule type="expression" dxfId="7" priority="9">
      <x:formula>P7="On Hold"</x:formula>
    </x:cfRule>
    <x:cfRule type="expression" dxfId="36" priority="15">
      <x:formula>OR(ISNUMBER(SEARCH("Conflict",$P7)),ISNUMBER(SEARCH("Invalid",$P7)),ISNUMBER(SEARCH("Duplicate",$P7)),ISNUMBER(SEARCH("cycle",$P7)),ISNUMBER(SEARCH("Outside",$P7)))</x:formula>
    </x:cfRule>
    <x:cfRule type="expression" dxfId="37" priority="16">
      <x:formula>$P7="On Track"</x:formula>
    </x:cfRule>
  </x:conditionalFormatting>
  <x:dataValidations count="5">
    <x:dataValidation type="list" sqref="J7:J206">
      <x:formula1>"FS,SS,FF,SF"</x:formula1>
    </x:dataValidation>
    <x:dataValidation type="list" sqref="K7:K206">
      <x:formula1>"Yes,No"</x:formula1>
    </x:dataValidation>
    <x:dataValidation type="list" sqref="M7:M206">
      <x:formula1>"High,Medium,Low"</x:formula1>
    </x:dataValidation>
    <x:dataValidation type="list" sqref="N7:N206">
      <x:formula1>"Not Started,In Progress,Completed,On Hold,Delayed"</x:formula1>
    </x:dataValidation>
    <x:dataValidation type="decimal" operator="between" sqref="O7:O206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137ab6aafa40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E018B9-FBA2-E2AC-A97F-27FB3755968D}">
            <x14:dataBar gradient="1">
              <x14:cfvo type="min"/>
              <x14:cfvo type="max"/>
              <x14:fillColor rgb="FF2E7D32"/>
            </x14:dataBar>
          </x14:cfRule>
          <x14:cfRule type="dataBar" priority="10" id="{E7653D08-38A1-AE70-1220-5EFE52DD87E5}">
            <x14:dataBar gradient="1">
              <x14:cfvo type="min"/>
              <x14:cfvo type="max"/>
              <x14:fillColor rgb="FF2563EB"/>
            </x14:dataBar>
          </x14:cfRule>
          <xm:sqref>O7:O206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14" hidden="0" customWidth="1"/>
    <x:col min="5" max="5" width="11" hidden="0" customWidth="1"/>
    <x:col min="6" max="6" width="20" hidden="0" customWidth="1"/>
    <x:col min="7" max="7" width="10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</x:cols>
  <x:sheetData>
    <x:row r="1">
      <x:c r="A1" s="4" t="str">
        <x:v>Dynamic Gantt — 2026-09-11 to 2026-10-14</x:v>
      </x:c>
      <x:c r="B1" s="4"/>
      <x:c r="C1" s="4"/>
      <x:c r="D1" s="4"/>
      <x:c r="E1" s="4"/>
      <x:c r="F1" s="4"/>
      <x:c r="G1" s="4"/>
      <x:c r="H1" s="70" t="str">
        <x:v>SEP 2026</x:v>
      </x:c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  <x:c r="Z1" s="70"/>
      <x:c r="AA1" s="70"/>
      <x:c r="AB1" s="70" t="str">
        <x:v>OCT 2026</x:v>
      </x:c>
      <x:c r="AC1" s="70"/>
      <x:c r="AD1" s="70"/>
      <x:c r="AE1" s="70"/>
      <x:c r="AF1" s="70"/>
      <x:c r="AG1" s="70"/>
      <x:c r="AH1" s="70"/>
      <x:c r="AI1" s="70"/>
      <x:c r="AJ1" s="70"/>
      <x:c r="AK1" s="70"/>
      <x:c r="AL1" s="70"/>
      <x:c r="AM1" s="70"/>
      <x:c r="AN1" s="70"/>
      <x:c r="AO1" s="70"/>
    </x:row>
    <x:row r="2">
      <x:c r="A2" s="22" t="str">
        <x:v>Green = completed portion · Blue = In Progress · Gray = Not Started · Red = Delayed · Amber = On Hold · ◆ = Milestone</x:v>
      </x:c>
      <x:c r="B2" s="22"/>
      <x:c r="C2" s="22"/>
      <x:c r="D2" s="22"/>
      <x:c r="E2" s="22"/>
      <x:c r="F2" s="22"/>
      <x:c r="G2" s="22"/>
      <x:c r="H2" s="76" t="n">
        <x:v>46276</x:v>
      </x:c>
      <x:c r="I2" s="96" t="n">
        <x:v>46277</x:v>
      </x:c>
      <x:c r="J2" s="96" t="n">
        <x:v>46278</x:v>
      </x:c>
      <x:c r="K2" s="76" t="n">
        <x:v>46279</x:v>
      </x:c>
      <x:c r="L2" s="76" t="n">
        <x:v>46280</x:v>
      </x:c>
      <x:c r="M2" s="76" t="n">
        <x:v>46281</x:v>
      </x:c>
      <x:c r="N2" s="76" t="n">
        <x:v>46282</x:v>
      </x:c>
      <x:c r="O2" s="76" t="n">
        <x:v>46283</x:v>
      </x:c>
      <x:c r="P2" s="96" t="n">
        <x:v>46284</x:v>
      </x:c>
      <x:c r="Q2" s="96" t="n">
        <x:v>46285</x:v>
      </x:c>
      <x:c r="R2" s="76" t="n">
        <x:v>46286</x:v>
      </x:c>
      <x:c r="S2" s="76" t="n">
        <x:v>46287</x:v>
      </x:c>
      <x:c r="T2" s="76" t="n">
        <x:v>46288</x:v>
      </x:c>
      <x:c r="U2" s="76" t="n">
        <x:v>46289</x:v>
      </x:c>
      <x:c r="V2" s="76" t="n">
        <x:v>46290</x:v>
      </x:c>
      <x:c r="W2" s="96" t="n">
        <x:v>46291</x:v>
      </x:c>
      <x:c r="X2" s="96" t="n">
        <x:v>46292</x:v>
      </x:c>
      <x:c r="Y2" s="76" t="n">
        <x:v>46293</x:v>
      </x:c>
      <x:c r="Z2" s="76" t="n">
        <x:v>46294</x:v>
      </x:c>
      <x:c r="AA2" s="76" t="n">
        <x:v>46295</x:v>
      </x:c>
      <x:c r="AB2" s="76" t="n">
        <x:v>46296</x:v>
      </x:c>
      <x:c r="AC2" s="76" t="n">
        <x:v>46297</x:v>
      </x:c>
      <x:c r="AD2" s="96" t="n">
        <x:v>46298</x:v>
      </x:c>
      <x:c r="AE2" s="96" t="n">
        <x:v>46299</x:v>
      </x:c>
      <x:c r="AF2" s="76" t="n">
        <x:v>46300</x:v>
      </x:c>
      <x:c r="AG2" s="76" t="n">
        <x:v>46301</x:v>
      </x:c>
      <x:c r="AH2" s="76" t="n">
        <x:v>46302</x:v>
      </x:c>
      <x:c r="AI2" s="76" t="n">
        <x:v>46303</x:v>
      </x:c>
      <x:c r="AJ2" s="76" t="n">
        <x:v>46304</x:v>
      </x:c>
      <x:c r="AK2" s="96" t="n">
        <x:v>46305</x:v>
      </x:c>
      <x:c r="AL2" s="96" t="n">
        <x:v>46306</x:v>
      </x:c>
      <x:c r="AM2" s="76" t="n">
        <x:v>46307</x:v>
      </x:c>
      <x:c r="AN2" s="76" t="n">
        <x:v>46308</x:v>
      </x:c>
      <x:c r="AO2" s="76" t="n">
        <x:v>46309</x:v>
      </x:c>
    </x:row>
    <x:row r="3">
      <x:c r="A3" s="29" t="str">
        <x:v>Task ID</x:v>
      </x:c>
      <x:c r="B3" s="29" t="str">
        <x:v>Phase</x:v>
      </x:c>
      <x:c r="C3" s="29" t="str">
        <x:v>Task Name</x:v>
      </x:c>
      <x:c r="D3" s="29" t="str">
        <x:v>Status</x:v>
      </x:c>
      <x:c r="E3" s="29" t="str">
        <x:v>Progress %</x:v>
      </x:c>
      <x:c r="F3" s="29" t="str">
        <x:v>Schedule Health</x:v>
      </x:c>
      <x:c r="G3" s="29" t="str">
        <x:v>Milestone</x:v>
      </x:c>
      <x:c r="H3" s="81" t="str">
        <x:f>TEXT(H$2,"ddd")</x:f>
        <x:v>Fri</x:v>
      </x:c>
      <x:c r="I3" s="97" t="str">
        <x:f>TEXT(I$2,"ddd")</x:f>
        <x:v>Sat</x:v>
      </x:c>
      <x:c r="J3" s="97" t="str">
        <x:f>TEXT(J$2,"ddd")</x:f>
        <x:v>Sun</x:v>
      </x:c>
      <x:c r="K3" s="81" t="str">
        <x:f>TEXT(K$2,"ddd")</x:f>
        <x:v>Mon</x:v>
      </x:c>
      <x:c r="L3" s="81" t="str">
        <x:f>TEXT(L$2,"ddd")</x:f>
        <x:v>Tue</x:v>
      </x:c>
      <x:c r="M3" s="81" t="str">
        <x:f>TEXT(M$2,"ddd")</x:f>
        <x:v>Wed</x:v>
      </x:c>
      <x:c r="N3" s="81" t="str">
        <x:f>TEXT(N$2,"ddd")</x:f>
        <x:v>Thu</x:v>
      </x:c>
      <x:c r="O3" s="81" t="str">
        <x:f>TEXT(O$2,"ddd")</x:f>
        <x:v>Fri</x:v>
      </x:c>
      <x:c r="P3" s="97" t="str">
        <x:f>TEXT(P$2,"ddd")</x:f>
        <x:v>Sat</x:v>
      </x:c>
      <x:c r="Q3" s="97" t="str">
        <x:f>TEXT(Q$2,"ddd")</x:f>
        <x:v>Sun</x:v>
      </x:c>
      <x:c r="R3" s="81" t="str">
        <x:f>TEXT(R$2,"ddd")</x:f>
        <x:v>Mon</x:v>
      </x:c>
      <x:c r="S3" s="81" t="str">
        <x:f>TEXT(S$2,"ddd")</x:f>
        <x:v>Tue</x:v>
      </x:c>
      <x:c r="T3" s="81" t="str">
        <x:f>TEXT(T$2,"ddd")</x:f>
        <x:v>Wed</x:v>
      </x:c>
      <x:c r="U3" s="81" t="str">
        <x:f>TEXT(U$2,"ddd")</x:f>
        <x:v>Thu</x:v>
      </x:c>
      <x:c r="V3" s="81" t="str">
        <x:f>TEXT(V$2,"ddd")</x:f>
        <x:v>Fri</x:v>
      </x:c>
      <x:c r="W3" s="97" t="str">
        <x:f>TEXT(W$2,"ddd")</x:f>
        <x:v>Sat</x:v>
      </x:c>
      <x:c r="X3" s="97" t="str">
        <x:f>TEXT(X$2,"ddd")</x:f>
        <x:v>Sun</x:v>
      </x:c>
      <x:c r="Y3" s="81" t="str">
        <x:f>TEXT(Y$2,"ddd")</x:f>
        <x:v>Mon</x:v>
      </x:c>
      <x:c r="Z3" s="81" t="str">
        <x:f>TEXT(Z$2,"ddd")</x:f>
        <x:v>Tue</x:v>
      </x:c>
      <x:c r="AA3" s="81" t="str">
        <x:f>TEXT(AA$2,"ddd")</x:f>
        <x:v>Wed</x:v>
      </x:c>
      <x:c r="AB3" s="81" t="str">
        <x:f>TEXT(AB$2,"ddd")</x:f>
        <x:v>Thu</x:v>
      </x:c>
      <x:c r="AC3" s="81" t="str">
        <x:f>TEXT(AC$2,"ddd")</x:f>
        <x:v>Fri</x:v>
      </x:c>
      <x:c r="AD3" s="97" t="str">
        <x:f>TEXT(AD$2,"ddd")</x:f>
        <x:v>Sat</x:v>
      </x:c>
      <x:c r="AE3" s="97" t="str">
        <x:f>TEXT(AE$2,"ddd")</x:f>
        <x:v>Sun</x:v>
      </x:c>
      <x:c r="AF3" s="81" t="str">
        <x:f>TEXT(AF$2,"ddd")</x:f>
        <x:v>Mon</x:v>
      </x:c>
      <x:c r="AG3" s="81" t="str">
        <x:f>TEXT(AG$2,"ddd")</x:f>
        <x:v>Tue</x:v>
      </x:c>
      <x:c r="AH3" s="81" t="str">
        <x:f>TEXT(AH$2,"ddd")</x:f>
        <x:v>Wed</x:v>
      </x:c>
      <x:c r="AI3" s="81" t="str">
        <x:f>TEXT(AI$2,"ddd")</x:f>
        <x:v>Thu</x:v>
      </x:c>
      <x:c r="AJ3" s="81" t="str">
        <x:f>TEXT(AJ$2,"ddd")</x:f>
        <x:v>Fri</x:v>
      </x:c>
      <x:c r="AK3" s="97" t="str">
        <x:f>TEXT(AK$2,"ddd")</x:f>
        <x:v>Sat</x:v>
      </x:c>
      <x:c r="AL3" s="97" t="str">
        <x:f>TEXT(AL$2,"ddd")</x:f>
        <x:v>Sun</x:v>
      </x:c>
      <x:c r="AM3" s="81" t="str">
        <x:f>TEXT(AM$2,"ddd")</x:f>
        <x:v>Mon</x:v>
      </x:c>
      <x:c r="AN3" s="81" t="str">
        <x:f>TEXT(AN$2,"ddd")</x:f>
        <x:v>Tue</x:v>
      </x:c>
      <x:c r="AO3" s="81" t="str">
        <x:f>TEXT(AO$2,"ddd")</x:f>
        <x:v>Wed</x:v>
      </x:c>
    </x:row>
    <x:row r="4">
      <x:c r="A4" s="10" t="str">
        <x:f>IFERROR(INDEX(TasksTable[Task ID],ROWS($A$4:A4)),"")</x:f>
        <x:v>T01</x:v>
      </x:c>
      <x:c r="B4" s="10" t="str">
        <x:f>IF($A4="","",IFERROR(XLOOKUP($A4,TasksTable[Task ID],TasksTable[Phase],""),""))</x:f>
        <x:v>M1 · Governance, Policy &amp; Canonical State Initialization</x:v>
      </x:c>
      <x:c r="C4" s="10" t="str">
        <x:f>IF($A4="","",IFERROR(XLOOKUP($A4,TasksTable[Task ID],TasksTable[Task Name],""),""))</x:f>
        <x:v>Define enterprise objectives, tenant scopes, and budget boundaries</x:v>
      </x:c>
      <x:c r="D4" s="10" t="str">
        <x:f>IF($A4="","",IFERROR(XLOOKUP($A4,TasksTable[Task ID],TasksTable[Status],""),""))</x:f>
        <x:v>Not Started</x:v>
      </x:c>
      <x:c r="E4" s="86" t="n">
        <x:f>IF($A4="","",IFERROR(XLOOKUP($A4,TasksTable[Task ID],TasksTable[Progress %],0),0))</x:f>
        <x:v>0</x:v>
      </x:c>
      <x:c r="F4" s="10" t="str">
        <x:f>IF($A4="","",IFERROR(XLOOKUP($A4,TasksTable[Task ID],TasksTable[Schedule Health],""),""))</x:f>
        <x:v>On Track</x:v>
      </x:c>
      <x:c r="G4" s="10" t="str">
        <x:f>IF($A4="","",IFERROR(XLOOKUP($A4,TasksTable[Task ID],TasksTable[Milestone],""),""))</x:f>
        <x:v>No</x:v>
      </x:c>
      <x:c r="H4" s="90" t="str">
        <x:f>IF($A4="","",IF(AND($G4="Yes",H$2=XLOOKUP($A4,TasksTable[Task ID],TasksTable[Start Date],"")),"◆",""))</x:f>
      </x:c>
      <x:c r="I4" s="90" t="str">
        <x:f>IF($A4="","",IF(AND($G4="Yes",I$2=XLOOKUP($A4,TasksTable[Task ID],TasksTable[Start Date],"")),"◆",""))</x:f>
      </x:c>
      <x:c r="J4" s="90" t="str">
        <x:f>IF($A4="","",IF(AND($G4="Yes",J$2=XLOOKUP($A4,TasksTable[Task ID],TasksTable[Start Date],"")),"◆",""))</x:f>
      </x:c>
      <x:c r="K4" s="90" t="str">
        <x:f>IF($A4="","",IF(AND($G4="Yes",K$2=XLOOKUP($A4,TasksTable[Task ID],TasksTable[Start Date],"")),"◆",""))</x:f>
      </x:c>
      <x:c r="L4" s="90" t="str">
        <x:f>IF($A4="","",IF(AND($G4="Yes",L$2=XLOOKUP($A4,TasksTable[Task ID],TasksTable[Start Date],"")),"◆",""))</x:f>
      </x:c>
      <x:c r="M4" s="90" t="str">
        <x:f>IF($A4="","",IF(AND($G4="Yes",M$2=XLOOKUP($A4,TasksTable[Task ID],TasksTable[Start Date],"")),"◆",""))</x:f>
      </x:c>
      <x:c r="N4" s="90" t="str">
        <x:f>IF($A4="","",IF(AND($G4="Yes",N$2=XLOOKUP($A4,TasksTable[Task ID],TasksTable[Start Date],"")),"◆",""))</x:f>
      </x:c>
      <x:c r="O4" s="90" t="str">
        <x:f>IF($A4="","",IF(AND($G4="Yes",O$2=XLOOKUP($A4,TasksTable[Task ID],TasksTable[Start Date],"")),"◆",""))</x:f>
      </x:c>
      <x:c r="P4" s="90" t="str">
        <x:f>IF($A4="","",IF(AND($G4="Yes",P$2=XLOOKUP($A4,TasksTable[Task ID],TasksTable[Start Date],"")),"◆",""))</x:f>
      </x:c>
      <x:c r="Q4" s="90" t="str">
        <x:f>IF($A4="","",IF(AND($G4="Yes",Q$2=XLOOKUP($A4,TasksTable[Task ID],TasksTable[Start Date],"")),"◆",""))</x:f>
      </x:c>
      <x:c r="R4" s="90" t="str">
        <x:f>IF($A4="","",IF(AND($G4="Yes",R$2=XLOOKUP($A4,TasksTable[Task ID],TasksTable[Start Date],"")),"◆",""))</x:f>
      </x:c>
      <x:c r="S4" s="90" t="str">
        <x:f>IF($A4="","",IF(AND($G4="Yes",S$2=XLOOKUP($A4,TasksTable[Task ID],TasksTable[Start Date],"")),"◆",""))</x:f>
      </x:c>
      <x:c r="T4" s="90" t="str">
        <x:f>IF($A4="","",IF(AND($G4="Yes",T$2=XLOOKUP($A4,TasksTable[Task ID],TasksTable[Start Date],"")),"◆",""))</x:f>
      </x:c>
      <x:c r="U4" s="90" t="str">
        <x:f>IF($A4="","",IF(AND($G4="Yes",U$2=XLOOKUP($A4,TasksTable[Task ID],TasksTable[Start Date],"")),"◆",""))</x:f>
      </x:c>
      <x:c r="V4" s="90" t="str">
        <x:f>IF($A4="","",IF(AND($G4="Yes",V$2=XLOOKUP($A4,TasksTable[Task ID],TasksTable[Start Date],"")),"◆",""))</x:f>
      </x:c>
      <x:c r="W4" s="90" t="str">
        <x:f>IF($A4="","",IF(AND($G4="Yes",W$2=XLOOKUP($A4,TasksTable[Task ID],TasksTable[Start Date],"")),"◆",""))</x:f>
      </x:c>
      <x:c r="X4" s="90" t="str">
        <x:f>IF($A4="","",IF(AND($G4="Yes",X$2=XLOOKUP($A4,TasksTable[Task ID],TasksTable[Start Date],"")),"◆",""))</x:f>
      </x:c>
      <x:c r="Y4" s="90" t="str">
        <x:f>IF($A4="","",IF(AND($G4="Yes",Y$2=XLOOKUP($A4,TasksTable[Task ID],TasksTable[Start Date],"")),"◆",""))</x:f>
      </x:c>
      <x:c r="Z4" s="90" t="str">
        <x:f>IF($A4="","",IF(AND($G4="Yes",Z$2=XLOOKUP($A4,TasksTable[Task ID],TasksTable[Start Date],"")),"◆",""))</x:f>
      </x:c>
      <x:c r="AA4" s="90" t="str">
        <x:f>IF($A4="","",IF(AND($G4="Yes",AA$2=XLOOKUP($A4,TasksTable[Task ID],TasksTable[Start Date],"")),"◆",""))</x:f>
      </x:c>
      <x:c r="AB4" s="90" t="str">
        <x:f>IF($A4="","",IF(AND($G4="Yes",AB$2=XLOOKUP($A4,TasksTable[Task ID],TasksTable[Start Date],"")),"◆",""))</x:f>
      </x:c>
      <x:c r="AC4" s="90" t="str">
        <x:f>IF($A4="","",IF(AND($G4="Yes",AC$2=XLOOKUP($A4,TasksTable[Task ID],TasksTable[Start Date],"")),"◆",""))</x:f>
      </x:c>
      <x:c r="AD4" s="90" t="str">
        <x:f>IF($A4="","",IF(AND($G4="Yes",AD$2=XLOOKUP($A4,TasksTable[Task ID],TasksTable[Start Date],"")),"◆",""))</x:f>
      </x:c>
      <x:c r="AE4" s="90" t="str">
        <x:f>IF($A4="","",IF(AND($G4="Yes",AE$2=XLOOKUP($A4,TasksTable[Task ID],TasksTable[Start Date],"")),"◆",""))</x:f>
      </x:c>
      <x:c r="AF4" s="90" t="str">
        <x:f>IF($A4="","",IF(AND($G4="Yes",AF$2=XLOOKUP($A4,TasksTable[Task ID],TasksTable[Start Date],"")),"◆",""))</x:f>
      </x:c>
      <x:c r="AG4" s="90" t="str">
        <x:f>IF($A4="","",IF(AND($G4="Yes",AG$2=XLOOKUP($A4,TasksTable[Task ID],TasksTable[Start Date],"")),"◆",""))</x:f>
      </x:c>
      <x:c r="AH4" s="90" t="str">
        <x:f>IF($A4="","",IF(AND($G4="Yes",AH$2=XLOOKUP($A4,TasksTable[Task ID],TasksTable[Start Date],"")),"◆",""))</x:f>
      </x:c>
      <x:c r="AI4" s="90" t="str">
        <x:f>IF($A4="","",IF(AND($G4="Yes",AI$2=XLOOKUP($A4,TasksTable[Task ID],TasksTable[Start Date],"")),"◆",""))</x:f>
      </x:c>
      <x:c r="AJ4" s="90" t="str">
        <x:f>IF($A4="","",IF(AND($G4="Yes",AJ$2=XLOOKUP($A4,TasksTable[Task ID],TasksTable[Start Date],"")),"◆",""))</x:f>
      </x:c>
      <x:c r="AK4" s="90" t="str">
        <x:f>IF($A4="","",IF(AND($G4="Yes",AK$2=XLOOKUP($A4,TasksTable[Task ID],TasksTable[Start Date],"")),"◆",""))</x:f>
      </x:c>
      <x:c r="AL4" s="90" t="str">
        <x:f>IF($A4="","",IF(AND($G4="Yes",AL$2=XLOOKUP($A4,TasksTable[Task ID],TasksTable[Start Date],"")),"◆",""))</x:f>
      </x:c>
      <x:c r="AM4" s="90" t="str">
        <x:f>IF($A4="","",IF(AND($G4="Yes",AM$2=XLOOKUP($A4,TasksTable[Task ID],TasksTable[Start Date],"")),"◆",""))</x:f>
      </x:c>
      <x:c r="AN4" s="90" t="str">
        <x:f>IF($A4="","",IF(AND($G4="Yes",AN$2=XLOOKUP($A4,TasksTable[Task ID],TasksTable[Start Date],"")),"◆",""))</x:f>
      </x:c>
      <x:c r="AO4" s="90" t="str">
        <x:f>IF($A4="","",IF(AND($G4="Yes",AO$2=XLOOKUP($A4,TasksTable[Task ID],TasksTable[Start Date],"")),"◆",""))</x:f>
      </x:c>
    </x:row>
    <x:row r="5">
      <x:c r="A5" s="10" t="str">
        <x:f>IFERROR(INDEX(TasksTable[Task ID],ROWS($A$4:A5)),"")</x:f>
        <x:v>T02</x:v>
      </x:c>
      <x:c r="B5" s="10" t="str">
        <x:f>IF($A5="","",IFERROR(XLOOKUP($A5,TasksTable[Task ID],TasksTable[Phase],""),""))</x:f>
        <x:v>M1 · Governance, Policy &amp; Canonical State Initialization</x:v>
      </x:c>
      <x:c r="C5" s="10" t="str">
        <x:f>IF($A5="","",IFERROR(XLOOKUP($A5,TasksTable[Task ID],TasksTable[Task Name],""),""))</x:f>
        <x:v>Configure machine-readable policy rules, autonomy tiers, and claim limits</x:v>
      </x:c>
      <x:c r="D5" s="10" t="str">
        <x:f>IF($A5="","",IFERROR(XLOOKUP($A5,TasksTable[Task ID],TasksTable[Status],""),""))</x:f>
        <x:v>Not Started</x:v>
      </x:c>
      <x:c r="E5" s="86" t="n">
        <x:f>IF($A5="","",IFERROR(XLOOKUP($A5,TasksTable[Task ID],TasksTable[Progress %],0),0))</x:f>
        <x:v>0</x:v>
      </x:c>
      <x:c r="F5" s="10" t="str">
        <x:f>IF($A5="","",IFERROR(XLOOKUP($A5,TasksTable[Task ID],TasksTable[Schedule Health],""),""))</x:f>
        <x:v>On Track</x:v>
      </x:c>
      <x:c r="G5" s="10" t="str">
        <x:f>IF($A5="","",IFERROR(XLOOKUP($A5,TasksTable[Task ID],TasksTable[Milestone],""),""))</x:f>
        <x:v>No</x:v>
      </x:c>
      <x:c r="H5" s="90" t="str">
        <x:f>IF($A5="","",IF(AND($G5="Yes",H$2=XLOOKUP($A5,TasksTable[Task ID],TasksTable[Start Date],"")),"◆",""))</x:f>
      </x:c>
      <x:c r="I5" s="90" t="str">
        <x:f>IF($A5="","",IF(AND($G5="Yes",I$2=XLOOKUP($A5,TasksTable[Task ID],TasksTable[Start Date],"")),"◆",""))</x:f>
      </x:c>
      <x:c r="J5" s="90" t="str">
        <x:f>IF($A5="","",IF(AND($G5="Yes",J$2=XLOOKUP($A5,TasksTable[Task ID],TasksTable[Start Date],"")),"◆",""))</x:f>
      </x:c>
      <x:c r="K5" s="90" t="str">
        <x:f>IF($A5="","",IF(AND($G5="Yes",K$2=XLOOKUP($A5,TasksTable[Task ID],TasksTable[Start Date],"")),"◆",""))</x:f>
      </x:c>
      <x:c r="L5" s="90" t="str">
        <x:f>IF($A5="","",IF(AND($G5="Yes",L$2=XLOOKUP($A5,TasksTable[Task ID],TasksTable[Start Date],"")),"◆",""))</x:f>
      </x:c>
      <x:c r="M5" s="90" t="str">
        <x:f>IF($A5="","",IF(AND($G5="Yes",M$2=XLOOKUP($A5,TasksTable[Task ID],TasksTable[Start Date],"")),"◆",""))</x:f>
      </x:c>
      <x:c r="N5" s="90" t="str">
        <x:f>IF($A5="","",IF(AND($G5="Yes",N$2=XLOOKUP($A5,TasksTable[Task ID],TasksTable[Start Date],"")),"◆",""))</x:f>
      </x:c>
      <x:c r="O5" s="90" t="str">
        <x:f>IF($A5="","",IF(AND($G5="Yes",O$2=XLOOKUP($A5,TasksTable[Task ID],TasksTable[Start Date],"")),"◆",""))</x:f>
      </x:c>
      <x:c r="P5" s="90" t="str">
        <x:f>IF($A5="","",IF(AND($G5="Yes",P$2=XLOOKUP($A5,TasksTable[Task ID],TasksTable[Start Date],"")),"◆",""))</x:f>
      </x:c>
      <x:c r="Q5" s="90" t="str">
        <x:f>IF($A5="","",IF(AND($G5="Yes",Q$2=XLOOKUP($A5,TasksTable[Task ID],TasksTable[Start Date],"")),"◆",""))</x:f>
      </x:c>
      <x:c r="R5" s="90" t="str">
        <x:f>IF($A5="","",IF(AND($G5="Yes",R$2=XLOOKUP($A5,TasksTable[Task ID],TasksTable[Start Date],"")),"◆",""))</x:f>
      </x:c>
      <x:c r="S5" s="90" t="str">
        <x:f>IF($A5="","",IF(AND($G5="Yes",S$2=XLOOKUP($A5,TasksTable[Task ID],TasksTable[Start Date],"")),"◆",""))</x:f>
      </x:c>
      <x:c r="T5" s="90" t="str">
        <x:f>IF($A5="","",IF(AND($G5="Yes",T$2=XLOOKUP($A5,TasksTable[Task ID],TasksTable[Start Date],"")),"◆",""))</x:f>
      </x:c>
      <x:c r="U5" s="90" t="str">
        <x:f>IF($A5="","",IF(AND($G5="Yes",U$2=XLOOKUP($A5,TasksTable[Task ID],TasksTable[Start Date],"")),"◆",""))</x:f>
      </x:c>
      <x:c r="V5" s="90" t="str">
        <x:f>IF($A5="","",IF(AND($G5="Yes",V$2=XLOOKUP($A5,TasksTable[Task ID],TasksTable[Start Date],"")),"◆",""))</x:f>
      </x:c>
      <x:c r="W5" s="90" t="str">
        <x:f>IF($A5="","",IF(AND($G5="Yes",W$2=XLOOKUP($A5,TasksTable[Task ID],TasksTable[Start Date],"")),"◆",""))</x:f>
      </x:c>
      <x:c r="X5" s="90" t="str">
        <x:f>IF($A5="","",IF(AND($G5="Yes",X$2=XLOOKUP($A5,TasksTable[Task ID],TasksTable[Start Date],"")),"◆",""))</x:f>
      </x:c>
      <x:c r="Y5" s="90" t="str">
        <x:f>IF($A5="","",IF(AND($G5="Yes",Y$2=XLOOKUP($A5,TasksTable[Task ID],TasksTable[Start Date],"")),"◆",""))</x:f>
      </x:c>
      <x:c r="Z5" s="90" t="str">
        <x:f>IF($A5="","",IF(AND($G5="Yes",Z$2=XLOOKUP($A5,TasksTable[Task ID],TasksTable[Start Date],"")),"◆",""))</x:f>
      </x:c>
      <x:c r="AA5" s="90" t="str">
        <x:f>IF($A5="","",IF(AND($G5="Yes",AA$2=XLOOKUP($A5,TasksTable[Task ID],TasksTable[Start Date],"")),"◆",""))</x:f>
      </x:c>
      <x:c r="AB5" s="90" t="str">
        <x:f>IF($A5="","",IF(AND($G5="Yes",AB$2=XLOOKUP($A5,TasksTable[Task ID],TasksTable[Start Date],"")),"◆",""))</x:f>
      </x:c>
      <x:c r="AC5" s="90" t="str">
        <x:f>IF($A5="","",IF(AND($G5="Yes",AC$2=XLOOKUP($A5,TasksTable[Task ID],TasksTable[Start Date],"")),"◆",""))</x:f>
      </x:c>
      <x:c r="AD5" s="90" t="str">
        <x:f>IF($A5="","",IF(AND($G5="Yes",AD$2=XLOOKUP($A5,TasksTable[Task ID],TasksTable[Start Date],"")),"◆",""))</x:f>
      </x:c>
      <x:c r="AE5" s="90" t="str">
        <x:f>IF($A5="","",IF(AND($G5="Yes",AE$2=XLOOKUP($A5,TasksTable[Task ID],TasksTable[Start Date],"")),"◆",""))</x:f>
      </x:c>
      <x:c r="AF5" s="90" t="str">
        <x:f>IF($A5="","",IF(AND($G5="Yes",AF$2=XLOOKUP($A5,TasksTable[Task ID],TasksTable[Start Date],"")),"◆",""))</x:f>
      </x:c>
      <x:c r="AG5" s="90" t="str">
        <x:f>IF($A5="","",IF(AND($G5="Yes",AG$2=XLOOKUP($A5,TasksTable[Task ID],TasksTable[Start Date],"")),"◆",""))</x:f>
      </x:c>
      <x:c r="AH5" s="90" t="str">
        <x:f>IF($A5="","",IF(AND($G5="Yes",AH$2=XLOOKUP($A5,TasksTable[Task ID],TasksTable[Start Date],"")),"◆",""))</x:f>
      </x:c>
      <x:c r="AI5" s="90" t="str">
        <x:f>IF($A5="","",IF(AND($G5="Yes",AI$2=XLOOKUP($A5,TasksTable[Task ID],TasksTable[Start Date],"")),"◆",""))</x:f>
      </x:c>
      <x:c r="AJ5" s="90" t="str">
        <x:f>IF($A5="","",IF(AND($G5="Yes",AJ$2=XLOOKUP($A5,TasksTable[Task ID],TasksTable[Start Date],"")),"◆",""))</x:f>
      </x:c>
      <x:c r="AK5" s="90" t="str">
        <x:f>IF($A5="","",IF(AND($G5="Yes",AK$2=XLOOKUP($A5,TasksTable[Task ID],TasksTable[Start Date],"")),"◆",""))</x:f>
      </x:c>
      <x:c r="AL5" s="90" t="str">
        <x:f>IF($A5="","",IF(AND($G5="Yes",AL$2=XLOOKUP($A5,TasksTable[Task ID],TasksTable[Start Date],"")),"◆",""))</x:f>
      </x:c>
      <x:c r="AM5" s="90" t="str">
        <x:f>IF($A5="","",IF(AND($G5="Yes",AM$2=XLOOKUP($A5,TasksTable[Task ID],TasksTable[Start Date],"")),"◆",""))</x:f>
      </x:c>
      <x:c r="AN5" s="90" t="str">
        <x:f>IF($A5="","",IF(AND($G5="Yes",AN$2=XLOOKUP($A5,TasksTable[Task ID],TasksTable[Start Date],"")),"◆",""))</x:f>
      </x:c>
      <x:c r="AO5" s="90" t="str">
        <x:f>IF($A5="","",IF(AND($G5="Yes",AO$2=XLOOKUP($A5,TasksTable[Task ID],TasksTable[Start Date],"")),"◆",""))</x:f>
      </x:c>
    </x:row>
    <x:row r="6">
      <x:c r="A6" s="10" t="str">
        <x:f>IFERROR(INDEX(TasksTable[Task ID],ROWS($A$4:A6)),"")</x:f>
        <x:v>T03</x:v>
      </x:c>
      <x:c r="B6" s="10" t="str">
        <x:f>IF($A6="","",IFERROR(XLOOKUP($A6,TasksTable[Task ID],TasksTable[Phase],""),""))</x:f>
        <x:v>M1 · Governance, Policy &amp; Canonical State Initialization</x:v>
      </x:c>
      <x:c r="C6" s="10" t="str">
        <x:f>IF($A6="","",IFERROR(XLOOKUP($A6,TasksTable[Task ID],TasksTable[Task Name],""),""))</x:f>
        <x:v>Establish Policy &amp; Authorization Boundary (PAB) evaluation rules</x:v>
      </x:c>
      <x:c r="D6" s="10" t="str">
        <x:f>IF($A6="","",IFERROR(XLOOKUP($A6,TasksTable[Task ID],TasksTable[Status],""),""))</x:f>
        <x:v>Not Started</x:v>
      </x:c>
      <x:c r="E6" s="86" t="n">
        <x:f>IF($A6="","",IFERROR(XLOOKUP($A6,TasksTable[Task ID],TasksTable[Progress %],0),0))</x:f>
        <x:v>0</x:v>
      </x:c>
      <x:c r="F6" s="10" t="str">
        <x:f>IF($A6="","",IFERROR(XLOOKUP($A6,TasksTable[Task ID],TasksTable[Schedule Health],""),""))</x:f>
        <x:v>On Track</x:v>
      </x:c>
      <x:c r="G6" s="10" t="str">
        <x:f>IF($A6="","",IFERROR(XLOOKUP($A6,TasksTable[Task ID],TasksTable[Milestone],""),""))</x:f>
        <x:v>No</x:v>
      </x:c>
      <x:c r="H6" s="90" t="str">
        <x:f>IF($A6="","",IF(AND($G6="Yes",H$2=XLOOKUP($A6,TasksTable[Task ID],TasksTable[Start Date],"")),"◆",""))</x:f>
      </x:c>
      <x:c r="I6" s="90" t="str">
        <x:f>IF($A6="","",IF(AND($G6="Yes",I$2=XLOOKUP($A6,TasksTable[Task ID],TasksTable[Start Date],"")),"◆",""))</x:f>
      </x:c>
      <x:c r="J6" s="90" t="str">
        <x:f>IF($A6="","",IF(AND($G6="Yes",J$2=XLOOKUP($A6,TasksTable[Task ID],TasksTable[Start Date],"")),"◆",""))</x:f>
      </x:c>
      <x:c r="K6" s="90" t="str">
        <x:f>IF($A6="","",IF(AND($G6="Yes",K$2=XLOOKUP($A6,TasksTable[Task ID],TasksTable[Start Date],"")),"◆",""))</x:f>
      </x:c>
      <x:c r="L6" s="90" t="str">
        <x:f>IF($A6="","",IF(AND($G6="Yes",L$2=XLOOKUP($A6,TasksTable[Task ID],TasksTable[Start Date],"")),"◆",""))</x:f>
      </x:c>
      <x:c r="M6" s="90" t="str">
        <x:f>IF($A6="","",IF(AND($G6="Yes",M$2=XLOOKUP($A6,TasksTable[Task ID],TasksTable[Start Date],"")),"◆",""))</x:f>
      </x:c>
      <x:c r="N6" s="90" t="str">
        <x:f>IF($A6="","",IF(AND($G6="Yes",N$2=XLOOKUP($A6,TasksTable[Task ID],TasksTable[Start Date],"")),"◆",""))</x:f>
      </x:c>
      <x:c r="O6" s="90" t="str">
        <x:f>IF($A6="","",IF(AND($G6="Yes",O$2=XLOOKUP($A6,TasksTable[Task ID],TasksTable[Start Date],"")),"◆",""))</x:f>
      </x:c>
      <x:c r="P6" s="90" t="str">
        <x:f>IF($A6="","",IF(AND($G6="Yes",P$2=XLOOKUP($A6,TasksTable[Task ID],TasksTable[Start Date],"")),"◆",""))</x:f>
      </x:c>
      <x:c r="Q6" s="90" t="str">
        <x:f>IF($A6="","",IF(AND($G6="Yes",Q$2=XLOOKUP($A6,TasksTable[Task ID],TasksTable[Start Date],"")),"◆",""))</x:f>
      </x:c>
      <x:c r="R6" s="90" t="str">
        <x:f>IF($A6="","",IF(AND($G6="Yes",R$2=XLOOKUP($A6,TasksTable[Task ID],TasksTable[Start Date],"")),"◆",""))</x:f>
      </x:c>
      <x:c r="S6" s="90" t="str">
        <x:f>IF($A6="","",IF(AND($G6="Yes",S$2=XLOOKUP($A6,TasksTable[Task ID],TasksTable[Start Date],"")),"◆",""))</x:f>
      </x:c>
      <x:c r="T6" s="90" t="str">
        <x:f>IF($A6="","",IF(AND($G6="Yes",T$2=XLOOKUP($A6,TasksTable[Task ID],TasksTable[Start Date],"")),"◆",""))</x:f>
      </x:c>
      <x:c r="U6" s="90" t="str">
        <x:f>IF($A6="","",IF(AND($G6="Yes",U$2=XLOOKUP($A6,TasksTable[Task ID],TasksTable[Start Date],"")),"◆",""))</x:f>
      </x:c>
      <x:c r="V6" s="90" t="str">
        <x:f>IF($A6="","",IF(AND($G6="Yes",V$2=XLOOKUP($A6,TasksTable[Task ID],TasksTable[Start Date],"")),"◆",""))</x:f>
      </x:c>
      <x:c r="W6" s="90" t="str">
        <x:f>IF($A6="","",IF(AND($G6="Yes",W$2=XLOOKUP($A6,TasksTable[Task ID],TasksTable[Start Date],"")),"◆",""))</x:f>
      </x:c>
      <x:c r="X6" s="90" t="str">
        <x:f>IF($A6="","",IF(AND($G6="Yes",X$2=XLOOKUP($A6,TasksTable[Task ID],TasksTable[Start Date],"")),"◆",""))</x:f>
      </x:c>
      <x:c r="Y6" s="90" t="str">
        <x:f>IF($A6="","",IF(AND($G6="Yes",Y$2=XLOOKUP($A6,TasksTable[Task ID],TasksTable[Start Date],"")),"◆",""))</x:f>
      </x:c>
      <x:c r="Z6" s="90" t="str">
        <x:f>IF($A6="","",IF(AND($G6="Yes",Z$2=XLOOKUP($A6,TasksTable[Task ID],TasksTable[Start Date],"")),"◆",""))</x:f>
      </x:c>
      <x:c r="AA6" s="90" t="str">
        <x:f>IF($A6="","",IF(AND($G6="Yes",AA$2=XLOOKUP($A6,TasksTable[Task ID],TasksTable[Start Date],"")),"◆",""))</x:f>
      </x:c>
      <x:c r="AB6" s="90" t="str">
        <x:f>IF($A6="","",IF(AND($G6="Yes",AB$2=XLOOKUP($A6,TasksTable[Task ID],TasksTable[Start Date],"")),"◆",""))</x:f>
      </x:c>
      <x:c r="AC6" s="90" t="str">
        <x:f>IF($A6="","",IF(AND($G6="Yes",AC$2=XLOOKUP($A6,TasksTable[Task ID],TasksTable[Start Date],"")),"◆",""))</x:f>
      </x:c>
      <x:c r="AD6" s="90" t="str">
        <x:f>IF($A6="","",IF(AND($G6="Yes",AD$2=XLOOKUP($A6,TasksTable[Task ID],TasksTable[Start Date],"")),"◆",""))</x:f>
      </x:c>
      <x:c r="AE6" s="90" t="str">
        <x:f>IF($A6="","",IF(AND($G6="Yes",AE$2=XLOOKUP($A6,TasksTable[Task ID],TasksTable[Start Date],"")),"◆",""))</x:f>
      </x:c>
      <x:c r="AF6" s="90" t="str">
        <x:f>IF($A6="","",IF(AND($G6="Yes",AF$2=XLOOKUP($A6,TasksTable[Task ID],TasksTable[Start Date],"")),"◆",""))</x:f>
      </x:c>
      <x:c r="AG6" s="90" t="str">
        <x:f>IF($A6="","",IF(AND($G6="Yes",AG$2=XLOOKUP($A6,TasksTable[Task ID],TasksTable[Start Date],"")),"◆",""))</x:f>
      </x:c>
      <x:c r="AH6" s="90" t="str">
        <x:f>IF($A6="","",IF(AND($G6="Yes",AH$2=XLOOKUP($A6,TasksTable[Task ID],TasksTable[Start Date],"")),"◆",""))</x:f>
      </x:c>
      <x:c r="AI6" s="90" t="str">
        <x:f>IF($A6="","",IF(AND($G6="Yes",AI$2=XLOOKUP($A6,TasksTable[Task ID],TasksTable[Start Date],"")),"◆",""))</x:f>
      </x:c>
      <x:c r="AJ6" s="90" t="str">
        <x:f>IF($A6="","",IF(AND($G6="Yes",AJ$2=XLOOKUP($A6,TasksTable[Task ID],TasksTable[Start Date],"")),"◆",""))</x:f>
      </x:c>
      <x:c r="AK6" s="90" t="str">
        <x:f>IF($A6="","",IF(AND($G6="Yes",AK$2=XLOOKUP($A6,TasksTable[Task ID],TasksTable[Start Date],"")),"◆",""))</x:f>
      </x:c>
      <x:c r="AL6" s="90" t="str">
        <x:f>IF($A6="","",IF(AND($G6="Yes",AL$2=XLOOKUP($A6,TasksTable[Task ID],TasksTable[Start Date],"")),"◆",""))</x:f>
      </x:c>
      <x:c r="AM6" s="90" t="str">
        <x:f>IF($A6="","",IF(AND($G6="Yes",AM$2=XLOOKUP($A6,TasksTable[Task ID],TasksTable[Start Date],"")),"◆",""))</x:f>
      </x:c>
      <x:c r="AN6" s="90" t="str">
        <x:f>IF($A6="","",IF(AND($G6="Yes",AN$2=XLOOKUP($A6,TasksTable[Task ID],TasksTable[Start Date],"")),"◆",""))</x:f>
      </x:c>
      <x:c r="AO6" s="90" t="str">
        <x:f>IF($A6="","",IF(AND($G6="Yes",AO$2=XLOOKUP($A6,TasksTable[Task ID],TasksTable[Start Date],"")),"◆",""))</x:f>
      </x:c>
    </x:row>
    <x:row r="7">
      <x:c r="A7" s="10" t="str">
        <x:f>IFERROR(INDEX(TasksTable[Task ID],ROWS($A$4:A7)),"")</x:f>
        <x:v>T04</x:v>
      </x:c>
      <x:c r="B7" s="10" t="str">
        <x:f>IF($A7="","",IFERROR(XLOOKUP($A7,TasksTable[Task ID],TasksTable[Phase],""),""))</x:f>
        <x:v>M1 · Governance, Policy &amp; Canonical State Initialization</x:v>
      </x:c>
      <x:c r="C7" s="10" t="str">
        <x:f>IF($A7="","",IFERROR(XLOOKUP($A7,TasksTable[Task ID],TasksTable[Task Name],""),""))</x:f>
        <x:v>Initialize Canonical Task State Machine (CTS) and DAG execution schema</x:v>
      </x:c>
      <x:c r="D7" s="10" t="str">
        <x:f>IF($A7="","",IFERROR(XLOOKUP($A7,TasksTable[Task ID],TasksTable[Status],""),""))</x:f>
        <x:v>Not Started</x:v>
      </x:c>
      <x:c r="E7" s="86" t="n">
        <x:f>IF($A7="","",IFERROR(XLOOKUP($A7,TasksTable[Task ID],TasksTable[Progress %],0),0))</x:f>
        <x:v>0</x:v>
      </x:c>
      <x:c r="F7" s="10" t="str">
        <x:f>IF($A7="","",IFERROR(XLOOKUP($A7,TasksTable[Task ID],TasksTable[Schedule Health],""),""))</x:f>
        <x:v>On Track</x:v>
      </x:c>
      <x:c r="G7" s="10" t="str">
        <x:f>IF($A7="","",IFERROR(XLOOKUP($A7,TasksTable[Task ID],TasksTable[Milestone],""),""))</x:f>
        <x:v>No</x:v>
      </x:c>
      <x:c r="H7" s="90" t="str">
        <x:f>IF($A7="","",IF(AND($G7="Yes",H$2=XLOOKUP($A7,TasksTable[Task ID],TasksTable[Start Date],"")),"◆",""))</x:f>
      </x:c>
      <x:c r="I7" s="90" t="str">
        <x:f>IF($A7="","",IF(AND($G7="Yes",I$2=XLOOKUP($A7,TasksTable[Task ID],TasksTable[Start Date],"")),"◆",""))</x:f>
      </x:c>
      <x:c r="J7" s="90" t="str">
        <x:f>IF($A7="","",IF(AND($G7="Yes",J$2=XLOOKUP($A7,TasksTable[Task ID],TasksTable[Start Date],"")),"◆",""))</x:f>
      </x:c>
      <x:c r="K7" s="90" t="str">
        <x:f>IF($A7="","",IF(AND($G7="Yes",K$2=XLOOKUP($A7,TasksTable[Task ID],TasksTable[Start Date],"")),"◆",""))</x:f>
      </x:c>
      <x:c r="L7" s="90" t="str">
        <x:f>IF($A7="","",IF(AND($G7="Yes",L$2=XLOOKUP($A7,TasksTable[Task ID],TasksTable[Start Date],"")),"◆",""))</x:f>
      </x:c>
      <x:c r="M7" s="90" t="str">
        <x:f>IF($A7="","",IF(AND($G7="Yes",M$2=XLOOKUP($A7,TasksTable[Task ID],TasksTable[Start Date],"")),"◆",""))</x:f>
      </x:c>
      <x:c r="N7" s="90" t="str">
        <x:f>IF($A7="","",IF(AND($G7="Yes",N$2=XLOOKUP($A7,TasksTable[Task ID],TasksTable[Start Date],"")),"◆",""))</x:f>
      </x:c>
      <x:c r="O7" s="90" t="str">
        <x:f>IF($A7="","",IF(AND($G7="Yes",O$2=XLOOKUP($A7,TasksTable[Task ID],TasksTable[Start Date],"")),"◆",""))</x:f>
      </x:c>
      <x:c r="P7" s="90" t="str">
        <x:f>IF($A7="","",IF(AND($G7="Yes",P$2=XLOOKUP($A7,TasksTable[Task ID],TasksTable[Start Date],"")),"◆",""))</x:f>
      </x:c>
      <x:c r="Q7" s="90" t="str">
        <x:f>IF($A7="","",IF(AND($G7="Yes",Q$2=XLOOKUP($A7,TasksTable[Task ID],TasksTable[Start Date],"")),"◆",""))</x:f>
      </x:c>
      <x:c r="R7" s="90" t="str">
        <x:f>IF($A7="","",IF(AND($G7="Yes",R$2=XLOOKUP($A7,TasksTable[Task ID],TasksTable[Start Date],"")),"◆",""))</x:f>
      </x:c>
      <x:c r="S7" s="90" t="str">
        <x:f>IF($A7="","",IF(AND($G7="Yes",S$2=XLOOKUP($A7,TasksTable[Task ID],TasksTable[Start Date],"")),"◆",""))</x:f>
      </x:c>
      <x:c r="T7" s="90" t="str">
        <x:f>IF($A7="","",IF(AND($G7="Yes",T$2=XLOOKUP($A7,TasksTable[Task ID],TasksTable[Start Date],"")),"◆",""))</x:f>
      </x:c>
      <x:c r="U7" s="90" t="str">
        <x:f>IF($A7="","",IF(AND($G7="Yes",U$2=XLOOKUP($A7,TasksTable[Task ID],TasksTable[Start Date],"")),"◆",""))</x:f>
      </x:c>
      <x:c r="V7" s="90" t="str">
        <x:f>IF($A7="","",IF(AND($G7="Yes",V$2=XLOOKUP($A7,TasksTable[Task ID],TasksTable[Start Date],"")),"◆",""))</x:f>
      </x:c>
      <x:c r="W7" s="90" t="str">
        <x:f>IF($A7="","",IF(AND($G7="Yes",W$2=XLOOKUP($A7,TasksTable[Task ID],TasksTable[Start Date],"")),"◆",""))</x:f>
      </x:c>
      <x:c r="X7" s="90" t="str">
        <x:f>IF($A7="","",IF(AND($G7="Yes",X$2=XLOOKUP($A7,TasksTable[Task ID],TasksTable[Start Date],"")),"◆",""))</x:f>
      </x:c>
      <x:c r="Y7" s="90" t="str">
        <x:f>IF($A7="","",IF(AND($G7="Yes",Y$2=XLOOKUP($A7,TasksTable[Task ID],TasksTable[Start Date],"")),"◆",""))</x:f>
      </x:c>
      <x:c r="Z7" s="90" t="str">
        <x:f>IF($A7="","",IF(AND($G7="Yes",Z$2=XLOOKUP($A7,TasksTable[Task ID],TasksTable[Start Date],"")),"◆",""))</x:f>
      </x:c>
      <x:c r="AA7" s="90" t="str">
        <x:f>IF($A7="","",IF(AND($G7="Yes",AA$2=XLOOKUP($A7,TasksTable[Task ID],TasksTable[Start Date],"")),"◆",""))</x:f>
      </x:c>
      <x:c r="AB7" s="90" t="str">
        <x:f>IF($A7="","",IF(AND($G7="Yes",AB$2=XLOOKUP($A7,TasksTable[Task ID],TasksTable[Start Date],"")),"◆",""))</x:f>
      </x:c>
      <x:c r="AC7" s="90" t="str">
        <x:f>IF($A7="","",IF(AND($G7="Yes",AC$2=XLOOKUP($A7,TasksTable[Task ID],TasksTable[Start Date],"")),"◆",""))</x:f>
      </x:c>
      <x:c r="AD7" s="90" t="str">
        <x:f>IF($A7="","",IF(AND($G7="Yes",AD$2=XLOOKUP($A7,TasksTable[Task ID],TasksTable[Start Date],"")),"◆",""))</x:f>
      </x:c>
      <x:c r="AE7" s="90" t="str">
        <x:f>IF($A7="","",IF(AND($G7="Yes",AE$2=XLOOKUP($A7,TasksTable[Task ID],TasksTable[Start Date],"")),"◆",""))</x:f>
      </x:c>
      <x:c r="AF7" s="90" t="str">
        <x:f>IF($A7="","",IF(AND($G7="Yes",AF$2=XLOOKUP($A7,TasksTable[Task ID],TasksTable[Start Date],"")),"◆",""))</x:f>
      </x:c>
      <x:c r="AG7" s="90" t="str">
        <x:f>IF($A7="","",IF(AND($G7="Yes",AG$2=XLOOKUP($A7,TasksTable[Task ID],TasksTable[Start Date],"")),"◆",""))</x:f>
      </x:c>
      <x:c r="AH7" s="90" t="str">
        <x:f>IF($A7="","",IF(AND($G7="Yes",AH$2=XLOOKUP($A7,TasksTable[Task ID],TasksTable[Start Date],"")),"◆",""))</x:f>
      </x:c>
      <x:c r="AI7" s="90" t="str">
        <x:f>IF($A7="","",IF(AND($G7="Yes",AI$2=XLOOKUP($A7,TasksTable[Task ID],TasksTable[Start Date],"")),"◆",""))</x:f>
      </x:c>
      <x:c r="AJ7" s="90" t="str">
        <x:f>IF($A7="","",IF(AND($G7="Yes",AJ$2=XLOOKUP($A7,TasksTable[Task ID],TasksTable[Start Date],"")),"◆",""))</x:f>
      </x:c>
      <x:c r="AK7" s="90" t="str">
        <x:f>IF($A7="","",IF(AND($G7="Yes",AK$2=XLOOKUP($A7,TasksTable[Task ID],TasksTable[Start Date],"")),"◆",""))</x:f>
      </x:c>
      <x:c r="AL7" s="90" t="str">
        <x:f>IF($A7="","",IF(AND($G7="Yes",AL$2=XLOOKUP($A7,TasksTable[Task ID],TasksTable[Start Date],"")),"◆",""))</x:f>
      </x:c>
      <x:c r="AM7" s="90" t="str">
        <x:f>IF($A7="","",IF(AND($G7="Yes",AM$2=XLOOKUP($A7,TasksTable[Task ID],TasksTable[Start Date],"")),"◆",""))</x:f>
      </x:c>
      <x:c r="AN7" s="90" t="str">
        <x:f>IF($A7="","",IF(AND($G7="Yes",AN$2=XLOOKUP($A7,TasksTable[Task ID],TasksTable[Start Date],"")),"◆",""))</x:f>
      </x:c>
      <x:c r="AO7" s="90" t="str">
        <x:f>IF($A7="","",IF(AND($G7="Yes",AO$2=XLOOKUP($A7,TasksTable[Task ID],TasksTable[Start Date],"")),"◆",""))</x:f>
      </x:c>
    </x:row>
    <x:row r="8">
      <x:c r="A8" s="10" t="str">
        <x:f>IFERROR(INDEX(TasksTable[Task ID],ROWS($A$4:A8)),"")</x:f>
        <x:v>M1</x:v>
      </x:c>
      <x:c r="B8" s="10" t="str">
        <x:f>IF($A8="","",IFERROR(XLOOKUP($A8,TasksTable[Task ID],TasksTable[Phase],""),""))</x:f>
        <x:v>M1 · Governance, Policy &amp; Canonical State Initialization</x:v>
      </x:c>
      <x:c r="C8" s="10" t="str">
        <x:f>IF($A8="","",IFERROR(XLOOKUP($A8,TasksTable[Task ID],TasksTable[Task Name],""),""))</x:f>
        <x:v>Governance, Policy &amp; Canonical State Initialization</x:v>
      </x:c>
      <x:c r="D8" s="10" t="str">
        <x:f>IF($A8="","",IFERROR(XLOOKUP($A8,TasksTable[Task ID],TasksTable[Status],""),""))</x:f>
        <x:v>Not Started</x:v>
      </x:c>
      <x:c r="E8" s="86" t="n">
        <x:f>IF($A8="","",IFERROR(XLOOKUP($A8,TasksTable[Task ID],TasksTable[Progress %],0),0))</x:f>
        <x:v>0</x:v>
      </x:c>
      <x:c r="F8" s="10" t="str">
        <x:f>IF($A8="","",IFERROR(XLOOKUP($A8,TasksTable[Task ID],TasksTable[Schedule Health],""),""))</x:f>
        <x:v>On Track</x:v>
      </x:c>
      <x:c r="G8" s="10" t="str">
        <x:f>IF($A8="","",IFERROR(XLOOKUP($A8,TasksTable[Task ID],TasksTable[Milestone],""),""))</x:f>
        <x:v>Yes</x:v>
      </x:c>
      <x:c r="H8" s="90" t="str">
        <x:f>IF($A8="","",IF(AND($G8="Yes",H$2=XLOOKUP($A8,TasksTable[Task ID],TasksTable[Start Date],"")),"◆",""))</x:f>
      </x:c>
      <x:c r="I8" s="90" t="str">
        <x:f>IF($A8="","",IF(AND($G8="Yes",I$2=XLOOKUP($A8,TasksTable[Task ID],TasksTable[Start Date],"")),"◆",""))</x:f>
      </x:c>
      <x:c r="J8" s="90" t="str">
        <x:f>IF($A8="","",IF(AND($G8="Yes",J$2=XLOOKUP($A8,TasksTable[Task ID],TasksTable[Start Date],"")),"◆",""))</x:f>
      </x:c>
      <x:c r="K8" s="90" t="str">
        <x:f>IF($A8="","",IF(AND($G8="Yes",K$2=XLOOKUP($A8,TasksTable[Task ID],TasksTable[Start Date],"")),"◆",""))</x:f>
        <x:v>◆</x:v>
      </x:c>
      <x:c r="L8" s="90" t="str">
        <x:f>IF($A8="","",IF(AND($G8="Yes",L$2=XLOOKUP($A8,TasksTable[Task ID],TasksTable[Start Date],"")),"◆",""))</x:f>
      </x:c>
      <x:c r="M8" s="90" t="str">
        <x:f>IF($A8="","",IF(AND($G8="Yes",M$2=XLOOKUP($A8,TasksTable[Task ID],TasksTable[Start Date],"")),"◆",""))</x:f>
      </x:c>
      <x:c r="N8" s="90" t="str">
        <x:f>IF($A8="","",IF(AND($G8="Yes",N$2=XLOOKUP($A8,TasksTable[Task ID],TasksTable[Start Date],"")),"◆",""))</x:f>
      </x:c>
      <x:c r="O8" s="90" t="str">
        <x:f>IF($A8="","",IF(AND($G8="Yes",O$2=XLOOKUP($A8,TasksTable[Task ID],TasksTable[Start Date],"")),"◆",""))</x:f>
      </x:c>
      <x:c r="P8" s="90" t="str">
        <x:f>IF($A8="","",IF(AND($G8="Yes",P$2=XLOOKUP($A8,TasksTable[Task ID],TasksTable[Start Date],"")),"◆",""))</x:f>
      </x:c>
      <x:c r="Q8" s="90" t="str">
        <x:f>IF($A8="","",IF(AND($G8="Yes",Q$2=XLOOKUP($A8,TasksTable[Task ID],TasksTable[Start Date],"")),"◆",""))</x:f>
      </x:c>
      <x:c r="R8" s="90" t="str">
        <x:f>IF($A8="","",IF(AND($G8="Yes",R$2=XLOOKUP($A8,TasksTable[Task ID],TasksTable[Start Date],"")),"◆",""))</x:f>
      </x:c>
      <x:c r="S8" s="90" t="str">
        <x:f>IF($A8="","",IF(AND($G8="Yes",S$2=XLOOKUP($A8,TasksTable[Task ID],TasksTable[Start Date],"")),"◆",""))</x:f>
      </x:c>
      <x:c r="T8" s="90" t="str">
        <x:f>IF($A8="","",IF(AND($G8="Yes",T$2=XLOOKUP($A8,TasksTable[Task ID],TasksTable[Start Date],"")),"◆",""))</x:f>
      </x:c>
      <x:c r="U8" s="90" t="str">
        <x:f>IF($A8="","",IF(AND($G8="Yes",U$2=XLOOKUP($A8,TasksTable[Task ID],TasksTable[Start Date],"")),"◆",""))</x:f>
      </x:c>
      <x:c r="V8" s="90" t="str">
        <x:f>IF($A8="","",IF(AND($G8="Yes",V$2=XLOOKUP($A8,TasksTable[Task ID],TasksTable[Start Date],"")),"◆",""))</x:f>
      </x:c>
      <x:c r="W8" s="90" t="str">
        <x:f>IF($A8="","",IF(AND($G8="Yes",W$2=XLOOKUP($A8,TasksTable[Task ID],TasksTable[Start Date],"")),"◆",""))</x:f>
      </x:c>
      <x:c r="X8" s="90" t="str">
        <x:f>IF($A8="","",IF(AND($G8="Yes",X$2=XLOOKUP($A8,TasksTable[Task ID],TasksTable[Start Date],"")),"◆",""))</x:f>
      </x:c>
      <x:c r="Y8" s="90" t="str">
        <x:f>IF($A8="","",IF(AND($G8="Yes",Y$2=XLOOKUP($A8,TasksTable[Task ID],TasksTable[Start Date],"")),"◆",""))</x:f>
      </x:c>
      <x:c r="Z8" s="90" t="str">
        <x:f>IF($A8="","",IF(AND($G8="Yes",Z$2=XLOOKUP($A8,TasksTable[Task ID],TasksTable[Start Date],"")),"◆",""))</x:f>
      </x:c>
      <x:c r="AA8" s="90" t="str">
        <x:f>IF($A8="","",IF(AND($G8="Yes",AA$2=XLOOKUP($A8,TasksTable[Task ID],TasksTable[Start Date],"")),"◆",""))</x:f>
      </x:c>
      <x:c r="AB8" s="90" t="str">
        <x:f>IF($A8="","",IF(AND($G8="Yes",AB$2=XLOOKUP($A8,TasksTable[Task ID],TasksTable[Start Date],"")),"◆",""))</x:f>
      </x:c>
      <x:c r="AC8" s="90" t="str">
        <x:f>IF($A8="","",IF(AND($G8="Yes",AC$2=XLOOKUP($A8,TasksTable[Task ID],TasksTable[Start Date],"")),"◆",""))</x:f>
      </x:c>
      <x:c r="AD8" s="90" t="str">
        <x:f>IF($A8="","",IF(AND($G8="Yes",AD$2=XLOOKUP($A8,TasksTable[Task ID],TasksTable[Start Date],"")),"◆",""))</x:f>
      </x:c>
      <x:c r="AE8" s="90" t="str">
        <x:f>IF($A8="","",IF(AND($G8="Yes",AE$2=XLOOKUP($A8,TasksTable[Task ID],TasksTable[Start Date],"")),"◆",""))</x:f>
      </x:c>
      <x:c r="AF8" s="90" t="str">
        <x:f>IF($A8="","",IF(AND($G8="Yes",AF$2=XLOOKUP($A8,TasksTable[Task ID],TasksTable[Start Date],"")),"◆",""))</x:f>
      </x:c>
      <x:c r="AG8" s="90" t="str">
        <x:f>IF($A8="","",IF(AND($G8="Yes",AG$2=XLOOKUP($A8,TasksTable[Task ID],TasksTable[Start Date],"")),"◆",""))</x:f>
      </x:c>
      <x:c r="AH8" s="90" t="str">
        <x:f>IF($A8="","",IF(AND($G8="Yes",AH$2=XLOOKUP($A8,TasksTable[Task ID],TasksTable[Start Date],"")),"◆",""))</x:f>
      </x:c>
      <x:c r="AI8" s="90" t="str">
        <x:f>IF($A8="","",IF(AND($G8="Yes",AI$2=XLOOKUP($A8,TasksTable[Task ID],TasksTable[Start Date],"")),"◆",""))</x:f>
      </x:c>
      <x:c r="AJ8" s="90" t="str">
        <x:f>IF($A8="","",IF(AND($G8="Yes",AJ$2=XLOOKUP($A8,TasksTable[Task ID],TasksTable[Start Date],"")),"◆",""))</x:f>
      </x:c>
      <x:c r="AK8" s="90" t="str">
        <x:f>IF($A8="","",IF(AND($G8="Yes",AK$2=XLOOKUP($A8,TasksTable[Task ID],TasksTable[Start Date],"")),"◆",""))</x:f>
      </x:c>
      <x:c r="AL8" s="90" t="str">
        <x:f>IF($A8="","",IF(AND($G8="Yes",AL$2=XLOOKUP($A8,TasksTable[Task ID],TasksTable[Start Date],"")),"◆",""))</x:f>
      </x:c>
      <x:c r="AM8" s="90" t="str">
        <x:f>IF($A8="","",IF(AND($G8="Yes",AM$2=XLOOKUP($A8,TasksTable[Task ID],TasksTable[Start Date],"")),"◆",""))</x:f>
      </x:c>
      <x:c r="AN8" s="90" t="str">
        <x:f>IF($A8="","",IF(AND($G8="Yes",AN$2=XLOOKUP($A8,TasksTable[Task ID],TasksTable[Start Date],"")),"◆",""))</x:f>
      </x:c>
      <x:c r="AO8" s="90" t="str">
        <x:f>IF($A8="","",IF(AND($G8="Yes",AO$2=XLOOKUP($A8,TasksTable[Task ID],TasksTable[Start Date],"")),"◆",""))</x:f>
      </x:c>
    </x:row>
    <x:row r="9">
      <x:c r="A9" s="10" t="str">
        <x:f>IFERROR(INDEX(TasksTable[Task ID],ROWS($A$4:A9)),"")</x:f>
        <x:v>T05</x:v>
      </x:c>
      <x:c r="B9" s="10" t="str">
        <x:f>IF($A9="","",IFERROR(XLOOKUP($A9,TasksTable[Task ID],TasksTable[Phase],""),""))</x:f>
        <x:v>M2 · Governed Data Plane &amp; Central Storage Integration (Model A)</x:v>
      </x:c>
      <x:c r="C9" s="10" t="str">
        <x:f>IF($A9="","",IFERROR(XLOOKUP($A9,TasksTable[Task ID],TasksTable[Task Name],""),""))</x:f>
        <x:v>Provision Central Enterprise Database (CDB) relational tables &amp; vector stores</x:v>
      </x:c>
      <x:c r="D9" s="10" t="str">
        <x:f>IF($A9="","",IFERROR(XLOOKUP($A9,TasksTable[Task ID],TasksTable[Status],""),""))</x:f>
        <x:v>Not Started</x:v>
      </x:c>
      <x:c r="E9" s="86" t="n">
        <x:f>IF($A9="","",IFERROR(XLOOKUP($A9,TasksTable[Task ID],TasksTable[Progress %],0),0))</x:f>
        <x:v>0</x:v>
      </x:c>
      <x:c r="F9" s="10" t="str">
        <x:f>IF($A9="","",IFERROR(XLOOKUP($A9,TasksTable[Task ID],TasksTable[Schedule Health],""),""))</x:f>
        <x:v>On Track</x:v>
      </x:c>
      <x:c r="G9" s="10" t="str">
        <x:f>IF($A9="","",IFERROR(XLOOKUP($A9,TasksTable[Task ID],TasksTable[Milestone],""),""))</x:f>
        <x:v>No</x:v>
      </x:c>
      <x:c r="H9" s="90" t="str">
        <x:f>IF($A9="","",IF(AND($G9="Yes",H$2=XLOOKUP($A9,TasksTable[Task ID],TasksTable[Start Date],"")),"◆",""))</x:f>
      </x:c>
      <x:c r="I9" s="90" t="str">
        <x:f>IF($A9="","",IF(AND($G9="Yes",I$2=XLOOKUP($A9,TasksTable[Task ID],TasksTable[Start Date],"")),"◆",""))</x:f>
      </x:c>
      <x:c r="J9" s="90" t="str">
        <x:f>IF($A9="","",IF(AND($G9="Yes",J$2=XLOOKUP($A9,TasksTable[Task ID],TasksTable[Start Date],"")),"◆",""))</x:f>
      </x:c>
      <x:c r="K9" s="90" t="str">
        <x:f>IF($A9="","",IF(AND($G9="Yes",K$2=XLOOKUP($A9,TasksTable[Task ID],TasksTable[Start Date],"")),"◆",""))</x:f>
      </x:c>
      <x:c r="L9" s="90" t="str">
        <x:f>IF($A9="","",IF(AND($G9="Yes",L$2=XLOOKUP($A9,TasksTable[Task ID],TasksTable[Start Date],"")),"◆",""))</x:f>
      </x:c>
      <x:c r="M9" s="90" t="str">
        <x:f>IF($A9="","",IF(AND($G9="Yes",M$2=XLOOKUP($A9,TasksTable[Task ID],TasksTable[Start Date],"")),"◆",""))</x:f>
      </x:c>
      <x:c r="N9" s="90" t="str">
        <x:f>IF($A9="","",IF(AND($G9="Yes",N$2=XLOOKUP($A9,TasksTable[Task ID],TasksTable[Start Date],"")),"◆",""))</x:f>
      </x:c>
      <x:c r="O9" s="90" t="str">
        <x:f>IF($A9="","",IF(AND($G9="Yes",O$2=XLOOKUP($A9,TasksTable[Task ID],TasksTable[Start Date],"")),"◆",""))</x:f>
      </x:c>
      <x:c r="P9" s="90" t="str">
        <x:f>IF($A9="","",IF(AND($G9="Yes",P$2=XLOOKUP($A9,TasksTable[Task ID],TasksTable[Start Date],"")),"◆",""))</x:f>
      </x:c>
      <x:c r="Q9" s="90" t="str">
        <x:f>IF($A9="","",IF(AND($G9="Yes",Q$2=XLOOKUP($A9,TasksTable[Task ID],TasksTable[Start Date],"")),"◆",""))</x:f>
      </x:c>
      <x:c r="R9" s="90" t="str">
        <x:f>IF($A9="","",IF(AND($G9="Yes",R$2=XLOOKUP($A9,TasksTable[Task ID],TasksTable[Start Date],"")),"◆",""))</x:f>
      </x:c>
      <x:c r="S9" s="90" t="str">
        <x:f>IF($A9="","",IF(AND($G9="Yes",S$2=XLOOKUP($A9,TasksTable[Task ID],TasksTable[Start Date],"")),"◆",""))</x:f>
      </x:c>
      <x:c r="T9" s="90" t="str">
        <x:f>IF($A9="","",IF(AND($G9="Yes",T$2=XLOOKUP($A9,TasksTable[Task ID],TasksTable[Start Date],"")),"◆",""))</x:f>
      </x:c>
      <x:c r="U9" s="90" t="str">
        <x:f>IF($A9="","",IF(AND($G9="Yes",U$2=XLOOKUP($A9,TasksTable[Task ID],TasksTable[Start Date],"")),"◆",""))</x:f>
      </x:c>
      <x:c r="V9" s="90" t="str">
        <x:f>IF($A9="","",IF(AND($G9="Yes",V$2=XLOOKUP($A9,TasksTable[Task ID],TasksTable[Start Date],"")),"◆",""))</x:f>
      </x:c>
      <x:c r="W9" s="90" t="str">
        <x:f>IF($A9="","",IF(AND($G9="Yes",W$2=XLOOKUP($A9,TasksTable[Task ID],TasksTable[Start Date],"")),"◆",""))</x:f>
      </x:c>
      <x:c r="X9" s="90" t="str">
        <x:f>IF($A9="","",IF(AND($G9="Yes",X$2=XLOOKUP($A9,TasksTable[Task ID],TasksTable[Start Date],"")),"◆",""))</x:f>
      </x:c>
      <x:c r="Y9" s="90" t="str">
        <x:f>IF($A9="","",IF(AND($G9="Yes",Y$2=XLOOKUP($A9,TasksTable[Task ID],TasksTable[Start Date],"")),"◆",""))</x:f>
      </x:c>
      <x:c r="Z9" s="90" t="str">
        <x:f>IF($A9="","",IF(AND($G9="Yes",Z$2=XLOOKUP($A9,TasksTable[Task ID],TasksTable[Start Date],"")),"◆",""))</x:f>
      </x:c>
      <x:c r="AA9" s="90" t="str">
        <x:f>IF($A9="","",IF(AND($G9="Yes",AA$2=XLOOKUP($A9,TasksTable[Task ID],TasksTable[Start Date],"")),"◆",""))</x:f>
      </x:c>
      <x:c r="AB9" s="90" t="str">
        <x:f>IF($A9="","",IF(AND($G9="Yes",AB$2=XLOOKUP($A9,TasksTable[Task ID],TasksTable[Start Date],"")),"◆",""))</x:f>
      </x:c>
      <x:c r="AC9" s="90" t="str">
        <x:f>IF($A9="","",IF(AND($G9="Yes",AC$2=XLOOKUP($A9,TasksTable[Task ID],TasksTable[Start Date],"")),"◆",""))</x:f>
      </x:c>
      <x:c r="AD9" s="90" t="str">
        <x:f>IF($A9="","",IF(AND($G9="Yes",AD$2=XLOOKUP($A9,TasksTable[Task ID],TasksTable[Start Date],"")),"◆",""))</x:f>
      </x:c>
      <x:c r="AE9" s="90" t="str">
        <x:f>IF($A9="","",IF(AND($G9="Yes",AE$2=XLOOKUP($A9,TasksTable[Task ID],TasksTable[Start Date],"")),"◆",""))</x:f>
      </x:c>
      <x:c r="AF9" s="90" t="str">
        <x:f>IF($A9="","",IF(AND($G9="Yes",AF$2=XLOOKUP($A9,TasksTable[Task ID],TasksTable[Start Date],"")),"◆",""))</x:f>
      </x:c>
      <x:c r="AG9" s="90" t="str">
        <x:f>IF($A9="","",IF(AND($G9="Yes",AG$2=XLOOKUP($A9,TasksTable[Task ID],TasksTable[Start Date],"")),"◆",""))</x:f>
      </x:c>
      <x:c r="AH9" s="90" t="str">
        <x:f>IF($A9="","",IF(AND($G9="Yes",AH$2=XLOOKUP($A9,TasksTable[Task ID],TasksTable[Start Date],"")),"◆",""))</x:f>
      </x:c>
      <x:c r="AI9" s="90" t="str">
        <x:f>IF($A9="","",IF(AND($G9="Yes",AI$2=XLOOKUP($A9,TasksTable[Task ID],TasksTable[Start Date],"")),"◆",""))</x:f>
      </x:c>
      <x:c r="AJ9" s="90" t="str">
        <x:f>IF($A9="","",IF(AND($G9="Yes",AJ$2=XLOOKUP($A9,TasksTable[Task ID],TasksTable[Start Date],"")),"◆",""))</x:f>
      </x:c>
      <x:c r="AK9" s="90" t="str">
        <x:f>IF($A9="","",IF(AND($G9="Yes",AK$2=XLOOKUP($A9,TasksTable[Task ID],TasksTable[Start Date],"")),"◆",""))</x:f>
      </x:c>
      <x:c r="AL9" s="90" t="str">
        <x:f>IF($A9="","",IF(AND($G9="Yes",AL$2=XLOOKUP($A9,TasksTable[Task ID],TasksTable[Start Date],"")),"◆",""))</x:f>
      </x:c>
      <x:c r="AM9" s="90" t="str">
        <x:f>IF($A9="","",IF(AND($G9="Yes",AM$2=XLOOKUP($A9,TasksTable[Task ID],TasksTable[Start Date],"")),"◆",""))</x:f>
      </x:c>
      <x:c r="AN9" s="90" t="str">
        <x:f>IF($A9="","",IF(AND($G9="Yes",AN$2=XLOOKUP($A9,TasksTable[Task ID],TasksTable[Start Date],"")),"◆",""))</x:f>
      </x:c>
      <x:c r="AO9" s="90" t="str">
        <x:f>IF($A9="","",IF(AND($G9="Yes",AO$2=XLOOKUP($A9,TasksTable[Task ID],TasksTable[Start Date],"")),"◆",""))</x:f>
      </x:c>
    </x:row>
    <x:row r="10">
      <x:c r="A10" s="10" t="str">
        <x:f>IFERROR(INDEX(TasksTable[Task ID],ROWS($A$4:A10)),"")</x:f>
        <x:v>T06</x:v>
      </x:c>
      <x:c r="B10" s="10" t="str">
        <x:f>IF($A10="","",IFERROR(XLOOKUP($A10,TasksTable[Task ID],TasksTable[Phase],""),""))</x:f>
        <x:v>M2 · Governed Data Plane &amp; Central Storage Integration (Model A)</x:v>
      </x:c>
      <x:c r="C10" s="10" t="str">
        <x:f>IF($A10="","",IFERROR(XLOOKUP($A10,TasksTable[Task ID],TasksTable[Task Name],""),""))</x:f>
        <x:v>Connect Headless CMS content models and staging layout schemas</x:v>
      </x:c>
      <x:c r="D10" s="10" t="str">
        <x:f>IF($A10="","",IFERROR(XLOOKUP($A10,TasksTable[Task ID],TasksTable[Status],""),""))</x:f>
        <x:v>Not Started</x:v>
      </x:c>
      <x:c r="E10" s="86" t="n">
        <x:f>IF($A10="","",IFERROR(XLOOKUP($A10,TasksTable[Task ID],TasksTable[Progress %],0),0))</x:f>
        <x:v>0</x:v>
      </x:c>
      <x:c r="F10" s="10" t="str">
        <x:f>IF($A10="","",IFERROR(XLOOKUP($A10,TasksTable[Task ID],TasksTable[Schedule Health],""),""))</x:f>
        <x:v>On Track</x:v>
      </x:c>
      <x:c r="G10" s="10" t="str">
        <x:f>IF($A10="","",IFERROR(XLOOKUP($A10,TasksTable[Task ID],TasksTable[Milestone],""),""))</x:f>
        <x:v>No</x:v>
      </x:c>
      <x:c r="H10" s="90" t="str">
        <x:f>IF($A10="","",IF(AND($G10="Yes",H$2=XLOOKUP($A10,TasksTable[Task ID],TasksTable[Start Date],"")),"◆",""))</x:f>
      </x:c>
      <x:c r="I10" s="90" t="str">
        <x:f>IF($A10="","",IF(AND($G10="Yes",I$2=XLOOKUP($A10,TasksTable[Task ID],TasksTable[Start Date],"")),"◆",""))</x:f>
      </x:c>
      <x:c r="J10" s="90" t="str">
        <x:f>IF($A10="","",IF(AND($G10="Yes",J$2=XLOOKUP($A10,TasksTable[Task ID],TasksTable[Start Date],"")),"◆",""))</x:f>
      </x:c>
      <x:c r="K10" s="90" t="str">
        <x:f>IF($A10="","",IF(AND($G10="Yes",K$2=XLOOKUP($A10,TasksTable[Task ID],TasksTable[Start Date],"")),"◆",""))</x:f>
      </x:c>
      <x:c r="L10" s="90" t="str">
        <x:f>IF($A10="","",IF(AND($G10="Yes",L$2=XLOOKUP($A10,TasksTable[Task ID],TasksTable[Start Date],"")),"◆",""))</x:f>
      </x:c>
      <x:c r="M10" s="90" t="str">
        <x:f>IF($A10="","",IF(AND($G10="Yes",M$2=XLOOKUP($A10,TasksTable[Task ID],TasksTable[Start Date],"")),"◆",""))</x:f>
      </x:c>
      <x:c r="N10" s="90" t="str">
        <x:f>IF($A10="","",IF(AND($G10="Yes",N$2=XLOOKUP($A10,TasksTable[Task ID],TasksTable[Start Date],"")),"◆",""))</x:f>
      </x:c>
      <x:c r="O10" s="90" t="str">
        <x:f>IF($A10="","",IF(AND($G10="Yes",O$2=XLOOKUP($A10,TasksTable[Task ID],TasksTable[Start Date],"")),"◆",""))</x:f>
      </x:c>
      <x:c r="P10" s="90" t="str">
        <x:f>IF($A10="","",IF(AND($G10="Yes",P$2=XLOOKUP($A10,TasksTable[Task ID],TasksTable[Start Date],"")),"◆",""))</x:f>
      </x:c>
      <x:c r="Q10" s="90" t="str">
        <x:f>IF($A10="","",IF(AND($G10="Yes",Q$2=XLOOKUP($A10,TasksTable[Task ID],TasksTable[Start Date],"")),"◆",""))</x:f>
      </x:c>
      <x:c r="R10" s="90" t="str">
        <x:f>IF($A10="","",IF(AND($G10="Yes",R$2=XLOOKUP($A10,TasksTable[Task ID],TasksTable[Start Date],"")),"◆",""))</x:f>
      </x:c>
      <x:c r="S10" s="90" t="str">
        <x:f>IF($A10="","",IF(AND($G10="Yes",S$2=XLOOKUP($A10,TasksTable[Task ID],TasksTable[Start Date],"")),"◆",""))</x:f>
      </x:c>
      <x:c r="T10" s="90" t="str">
        <x:f>IF($A10="","",IF(AND($G10="Yes",T$2=XLOOKUP($A10,TasksTable[Task ID],TasksTable[Start Date],"")),"◆",""))</x:f>
      </x:c>
      <x:c r="U10" s="90" t="str">
        <x:f>IF($A10="","",IF(AND($G10="Yes",U$2=XLOOKUP($A10,TasksTable[Task ID],TasksTable[Start Date],"")),"◆",""))</x:f>
      </x:c>
      <x:c r="V10" s="90" t="str">
        <x:f>IF($A10="","",IF(AND($G10="Yes",V$2=XLOOKUP($A10,TasksTable[Task ID],TasksTable[Start Date],"")),"◆",""))</x:f>
      </x:c>
      <x:c r="W10" s="90" t="str">
        <x:f>IF($A10="","",IF(AND($G10="Yes",W$2=XLOOKUP($A10,TasksTable[Task ID],TasksTable[Start Date],"")),"◆",""))</x:f>
      </x:c>
      <x:c r="X10" s="90" t="str">
        <x:f>IF($A10="","",IF(AND($G10="Yes",X$2=XLOOKUP($A10,TasksTable[Task ID],TasksTable[Start Date],"")),"◆",""))</x:f>
      </x:c>
      <x:c r="Y10" s="90" t="str">
        <x:f>IF($A10="","",IF(AND($G10="Yes",Y$2=XLOOKUP($A10,TasksTable[Task ID],TasksTable[Start Date],"")),"◆",""))</x:f>
      </x:c>
      <x:c r="Z10" s="90" t="str">
        <x:f>IF($A10="","",IF(AND($G10="Yes",Z$2=XLOOKUP($A10,TasksTable[Task ID],TasksTable[Start Date],"")),"◆",""))</x:f>
      </x:c>
      <x:c r="AA10" s="90" t="str">
        <x:f>IF($A10="","",IF(AND($G10="Yes",AA$2=XLOOKUP($A10,TasksTable[Task ID],TasksTable[Start Date],"")),"◆",""))</x:f>
      </x:c>
      <x:c r="AB10" s="90" t="str">
        <x:f>IF($A10="","",IF(AND($G10="Yes",AB$2=XLOOKUP($A10,TasksTable[Task ID],TasksTable[Start Date],"")),"◆",""))</x:f>
      </x:c>
      <x:c r="AC10" s="90" t="str">
        <x:f>IF($A10="","",IF(AND($G10="Yes",AC$2=XLOOKUP($A10,TasksTable[Task ID],TasksTable[Start Date],"")),"◆",""))</x:f>
      </x:c>
      <x:c r="AD10" s="90" t="str">
        <x:f>IF($A10="","",IF(AND($G10="Yes",AD$2=XLOOKUP($A10,TasksTable[Task ID],TasksTable[Start Date],"")),"◆",""))</x:f>
      </x:c>
      <x:c r="AE10" s="90" t="str">
        <x:f>IF($A10="","",IF(AND($G10="Yes",AE$2=XLOOKUP($A10,TasksTable[Task ID],TasksTable[Start Date],"")),"◆",""))</x:f>
      </x:c>
      <x:c r="AF10" s="90" t="str">
        <x:f>IF($A10="","",IF(AND($G10="Yes",AF$2=XLOOKUP($A10,TasksTable[Task ID],TasksTable[Start Date],"")),"◆",""))</x:f>
      </x:c>
      <x:c r="AG10" s="90" t="str">
        <x:f>IF($A10="","",IF(AND($G10="Yes",AG$2=XLOOKUP($A10,TasksTable[Task ID],TasksTable[Start Date],"")),"◆",""))</x:f>
      </x:c>
      <x:c r="AH10" s="90" t="str">
        <x:f>IF($A10="","",IF(AND($G10="Yes",AH$2=XLOOKUP($A10,TasksTable[Task ID],TasksTable[Start Date],"")),"◆",""))</x:f>
      </x:c>
      <x:c r="AI10" s="90" t="str">
        <x:f>IF($A10="","",IF(AND($G10="Yes",AI$2=XLOOKUP($A10,TasksTable[Task ID],TasksTable[Start Date],"")),"◆",""))</x:f>
      </x:c>
      <x:c r="AJ10" s="90" t="str">
        <x:f>IF($A10="","",IF(AND($G10="Yes",AJ$2=XLOOKUP($A10,TasksTable[Task ID],TasksTable[Start Date],"")),"◆",""))</x:f>
      </x:c>
      <x:c r="AK10" s="90" t="str">
        <x:f>IF($A10="","",IF(AND($G10="Yes",AK$2=XLOOKUP($A10,TasksTable[Task ID],TasksTable[Start Date],"")),"◆",""))</x:f>
      </x:c>
      <x:c r="AL10" s="90" t="str">
        <x:f>IF($A10="","",IF(AND($G10="Yes",AL$2=XLOOKUP($A10,TasksTable[Task ID],TasksTable[Start Date],"")),"◆",""))</x:f>
      </x:c>
      <x:c r="AM10" s="90" t="str">
        <x:f>IF($A10="","",IF(AND($G10="Yes",AM$2=XLOOKUP($A10,TasksTable[Task ID],TasksTable[Start Date],"")),"◆",""))</x:f>
      </x:c>
      <x:c r="AN10" s="90" t="str">
        <x:f>IF($A10="","",IF(AND($G10="Yes",AN$2=XLOOKUP($A10,TasksTable[Task ID],TasksTable[Start Date],"")),"◆",""))</x:f>
      </x:c>
      <x:c r="AO10" s="90" t="str">
        <x:f>IF($A10="","",IF(AND($G10="Yes",AO$2=XLOOKUP($A10,TasksTable[Task ID],TasksTable[Start Date],"")),"◆",""))</x:f>
      </x:c>
    </x:row>
    <x:row r="11">
      <x:c r="A11" s="10" t="str">
        <x:f>IFERROR(INDEX(TasksTable[Task ID],ROWS($A$4:A11)),"")</x:f>
        <x:v>T07</x:v>
      </x:c>
      <x:c r="B11" s="10" t="str">
        <x:f>IF($A11="","",IFERROR(XLOOKUP($A11,TasksTable[Task ID],TasksTable[Phase],""),""))</x:f>
        <x:v>M2 · Governed Data Plane &amp; Central Storage Integration (Model A)</x:v>
      </x:c>
      <x:c r="C11" s="10" t="str">
        <x:f>IF($A11="","",IFERROR(XLOOKUP($A11,TasksTable[Task ID],TasksTable[Task Name],""),""))</x:f>
        <x:v>Instantiate Institutional Memory Store (MEM) for brand heuristics &amp; rules</x:v>
      </x:c>
      <x:c r="D11" s="10" t="str">
        <x:f>IF($A11="","",IFERROR(XLOOKUP($A11,TasksTable[Task ID],TasksTable[Status],""),""))</x:f>
        <x:v>Not Started</x:v>
      </x:c>
      <x:c r="E11" s="86" t="n">
        <x:f>IF($A11="","",IFERROR(XLOOKUP($A11,TasksTable[Task ID],TasksTable[Progress %],0),0))</x:f>
        <x:v>0</x:v>
      </x:c>
      <x:c r="F11" s="10" t="str">
        <x:f>IF($A11="","",IFERROR(XLOOKUP($A11,TasksTable[Task ID],TasksTable[Schedule Health],""),""))</x:f>
        <x:v>On Track</x:v>
      </x:c>
      <x:c r="G11" s="10" t="str">
        <x:f>IF($A11="","",IFERROR(XLOOKUP($A11,TasksTable[Task ID],TasksTable[Milestone],""),""))</x:f>
        <x:v>No</x:v>
      </x:c>
      <x:c r="H11" s="90" t="str">
        <x:f>IF($A11="","",IF(AND($G11="Yes",H$2=XLOOKUP($A11,TasksTable[Task ID],TasksTable[Start Date],"")),"◆",""))</x:f>
      </x:c>
      <x:c r="I11" s="90" t="str">
        <x:f>IF($A11="","",IF(AND($G11="Yes",I$2=XLOOKUP($A11,TasksTable[Task ID],TasksTable[Start Date],"")),"◆",""))</x:f>
      </x:c>
      <x:c r="J11" s="90" t="str">
        <x:f>IF($A11="","",IF(AND($G11="Yes",J$2=XLOOKUP($A11,TasksTable[Task ID],TasksTable[Start Date],"")),"◆",""))</x:f>
      </x:c>
      <x:c r="K11" s="90" t="str">
        <x:f>IF($A11="","",IF(AND($G11="Yes",K$2=XLOOKUP($A11,TasksTable[Task ID],TasksTable[Start Date],"")),"◆",""))</x:f>
      </x:c>
      <x:c r="L11" s="90" t="str">
        <x:f>IF($A11="","",IF(AND($G11="Yes",L$2=XLOOKUP($A11,TasksTable[Task ID],TasksTable[Start Date],"")),"◆",""))</x:f>
      </x:c>
      <x:c r="M11" s="90" t="str">
        <x:f>IF($A11="","",IF(AND($G11="Yes",M$2=XLOOKUP($A11,TasksTable[Task ID],TasksTable[Start Date],"")),"◆",""))</x:f>
      </x:c>
      <x:c r="N11" s="90" t="str">
        <x:f>IF($A11="","",IF(AND($G11="Yes",N$2=XLOOKUP($A11,TasksTable[Task ID],TasksTable[Start Date],"")),"◆",""))</x:f>
      </x:c>
      <x:c r="O11" s="90" t="str">
        <x:f>IF($A11="","",IF(AND($G11="Yes",O$2=XLOOKUP($A11,TasksTable[Task ID],TasksTable[Start Date],"")),"◆",""))</x:f>
      </x:c>
      <x:c r="P11" s="90" t="str">
        <x:f>IF($A11="","",IF(AND($G11="Yes",P$2=XLOOKUP($A11,TasksTable[Task ID],TasksTable[Start Date],"")),"◆",""))</x:f>
      </x:c>
      <x:c r="Q11" s="90" t="str">
        <x:f>IF($A11="","",IF(AND($G11="Yes",Q$2=XLOOKUP($A11,TasksTable[Task ID],TasksTable[Start Date],"")),"◆",""))</x:f>
      </x:c>
      <x:c r="R11" s="90" t="str">
        <x:f>IF($A11="","",IF(AND($G11="Yes",R$2=XLOOKUP($A11,TasksTable[Task ID],TasksTable[Start Date],"")),"◆",""))</x:f>
      </x:c>
      <x:c r="S11" s="90" t="str">
        <x:f>IF($A11="","",IF(AND($G11="Yes",S$2=XLOOKUP($A11,TasksTable[Task ID],TasksTable[Start Date],"")),"◆",""))</x:f>
      </x:c>
      <x:c r="T11" s="90" t="str">
        <x:f>IF($A11="","",IF(AND($G11="Yes",T$2=XLOOKUP($A11,TasksTable[Task ID],TasksTable[Start Date],"")),"◆",""))</x:f>
      </x:c>
      <x:c r="U11" s="90" t="str">
        <x:f>IF($A11="","",IF(AND($G11="Yes",U$2=XLOOKUP($A11,TasksTable[Task ID],TasksTable[Start Date],"")),"◆",""))</x:f>
      </x:c>
      <x:c r="V11" s="90" t="str">
        <x:f>IF($A11="","",IF(AND($G11="Yes",V$2=XLOOKUP($A11,TasksTable[Task ID],TasksTable[Start Date],"")),"◆",""))</x:f>
      </x:c>
      <x:c r="W11" s="90" t="str">
        <x:f>IF($A11="","",IF(AND($G11="Yes",W$2=XLOOKUP($A11,TasksTable[Task ID],TasksTable[Start Date],"")),"◆",""))</x:f>
      </x:c>
      <x:c r="X11" s="90" t="str">
        <x:f>IF($A11="","",IF(AND($G11="Yes",X$2=XLOOKUP($A11,TasksTable[Task ID],TasksTable[Start Date],"")),"◆",""))</x:f>
      </x:c>
      <x:c r="Y11" s="90" t="str">
        <x:f>IF($A11="","",IF(AND($G11="Yes",Y$2=XLOOKUP($A11,TasksTable[Task ID],TasksTable[Start Date],"")),"◆",""))</x:f>
      </x:c>
      <x:c r="Z11" s="90" t="str">
        <x:f>IF($A11="","",IF(AND($G11="Yes",Z$2=XLOOKUP($A11,TasksTable[Task ID],TasksTable[Start Date],"")),"◆",""))</x:f>
      </x:c>
      <x:c r="AA11" s="90" t="str">
        <x:f>IF($A11="","",IF(AND($G11="Yes",AA$2=XLOOKUP($A11,TasksTable[Task ID],TasksTable[Start Date],"")),"◆",""))</x:f>
      </x:c>
      <x:c r="AB11" s="90" t="str">
        <x:f>IF($A11="","",IF(AND($G11="Yes",AB$2=XLOOKUP($A11,TasksTable[Task ID],TasksTable[Start Date],"")),"◆",""))</x:f>
      </x:c>
      <x:c r="AC11" s="90" t="str">
        <x:f>IF($A11="","",IF(AND($G11="Yes",AC$2=XLOOKUP($A11,TasksTable[Task ID],TasksTable[Start Date],"")),"◆",""))</x:f>
      </x:c>
      <x:c r="AD11" s="90" t="str">
        <x:f>IF($A11="","",IF(AND($G11="Yes",AD$2=XLOOKUP($A11,TasksTable[Task ID],TasksTable[Start Date],"")),"◆",""))</x:f>
      </x:c>
      <x:c r="AE11" s="90" t="str">
        <x:f>IF($A11="","",IF(AND($G11="Yes",AE$2=XLOOKUP($A11,TasksTable[Task ID],TasksTable[Start Date],"")),"◆",""))</x:f>
      </x:c>
      <x:c r="AF11" s="90" t="str">
        <x:f>IF($A11="","",IF(AND($G11="Yes",AF$2=XLOOKUP($A11,TasksTable[Task ID],TasksTable[Start Date],"")),"◆",""))</x:f>
      </x:c>
      <x:c r="AG11" s="90" t="str">
        <x:f>IF($A11="","",IF(AND($G11="Yes",AG$2=XLOOKUP($A11,TasksTable[Task ID],TasksTable[Start Date],"")),"◆",""))</x:f>
      </x:c>
      <x:c r="AH11" s="90" t="str">
        <x:f>IF($A11="","",IF(AND($G11="Yes",AH$2=XLOOKUP($A11,TasksTable[Task ID],TasksTable[Start Date],"")),"◆",""))</x:f>
      </x:c>
      <x:c r="AI11" s="90" t="str">
        <x:f>IF($A11="","",IF(AND($G11="Yes",AI$2=XLOOKUP($A11,TasksTable[Task ID],TasksTable[Start Date],"")),"◆",""))</x:f>
      </x:c>
      <x:c r="AJ11" s="90" t="str">
        <x:f>IF($A11="","",IF(AND($G11="Yes",AJ$2=XLOOKUP($A11,TasksTable[Task ID],TasksTable[Start Date],"")),"◆",""))</x:f>
      </x:c>
      <x:c r="AK11" s="90" t="str">
        <x:f>IF($A11="","",IF(AND($G11="Yes",AK$2=XLOOKUP($A11,TasksTable[Task ID],TasksTable[Start Date],"")),"◆",""))</x:f>
      </x:c>
      <x:c r="AL11" s="90" t="str">
        <x:f>IF($A11="","",IF(AND($G11="Yes",AL$2=XLOOKUP($A11,TasksTable[Task ID],TasksTable[Start Date],"")),"◆",""))</x:f>
      </x:c>
      <x:c r="AM11" s="90" t="str">
        <x:f>IF($A11="","",IF(AND($G11="Yes",AM$2=XLOOKUP($A11,TasksTable[Task ID],TasksTable[Start Date],"")),"◆",""))</x:f>
      </x:c>
      <x:c r="AN11" s="90" t="str">
        <x:f>IF($A11="","",IF(AND($G11="Yes",AN$2=XLOOKUP($A11,TasksTable[Task ID],TasksTable[Start Date],"")),"◆",""))</x:f>
      </x:c>
      <x:c r="AO11" s="90" t="str">
        <x:f>IF($A11="","",IF(AND($G11="Yes",AO$2=XLOOKUP($A11,TasksTable[Task ID],TasksTable[Start Date],"")),"◆",""))</x:f>
      </x:c>
    </x:row>
    <x:row r="12">
      <x:c r="A12" s="10" t="str">
        <x:f>IFERROR(INDEX(TasksTable[Task ID],ROWS($A$4:A12)),"")</x:f>
        <x:v>T08</x:v>
      </x:c>
      <x:c r="B12" s="10" t="str">
        <x:f>IF($A12="","",IFERROR(XLOOKUP($A12,TasksTable[Task ID],TasksTable[Phase],""),""))</x:f>
        <x:v>M2 · Governed Data Plane &amp; Central Storage Integration (Model A)</x:v>
      </x:c>
      <x:c r="C12" s="10" t="str">
        <x:f>IF($A12="","",IFERROR(XLOOKUP($A12,TasksTable[Task ID],TasksTable[Task Name],""),""))</x:f>
        <x:v>Configure Artifact &amp; Evidence Registry (ART) for UUID/hash deliverables</x:v>
      </x:c>
      <x:c r="D12" s="10" t="str">
        <x:f>IF($A12="","",IFERROR(XLOOKUP($A12,TasksTable[Task ID],TasksTable[Status],""),""))</x:f>
        <x:v>Not Started</x:v>
      </x:c>
      <x:c r="E12" s="86" t="n">
        <x:f>IF($A12="","",IFERROR(XLOOKUP($A12,TasksTable[Task ID],TasksTable[Progress %],0),0))</x:f>
        <x:v>0</x:v>
      </x:c>
      <x:c r="F12" s="10" t="str">
        <x:f>IF($A12="","",IFERROR(XLOOKUP($A12,TasksTable[Task ID],TasksTable[Schedule Health],""),""))</x:f>
        <x:v>On Track</x:v>
      </x:c>
      <x:c r="G12" s="10" t="str">
        <x:f>IF($A12="","",IFERROR(XLOOKUP($A12,TasksTable[Task ID],TasksTable[Milestone],""),""))</x:f>
        <x:v>No</x:v>
      </x:c>
      <x:c r="H12" s="90" t="str">
        <x:f>IF($A12="","",IF(AND($G12="Yes",H$2=XLOOKUP($A12,TasksTable[Task ID],TasksTable[Start Date],"")),"◆",""))</x:f>
      </x:c>
      <x:c r="I12" s="90" t="str">
        <x:f>IF($A12="","",IF(AND($G12="Yes",I$2=XLOOKUP($A12,TasksTable[Task ID],TasksTable[Start Date],"")),"◆",""))</x:f>
      </x:c>
      <x:c r="J12" s="90" t="str">
        <x:f>IF($A12="","",IF(AND($G12="Yes",J$2=XLOOKUP($A12,TasksTable[Task ID],TasksTable[Start Date],"")),"◆",""))</x:f>
      </x:c>
      <x:c r="K12" s="90" t="str">
        <x:f>IF($A12="","",IF(AND($G12="Yes",K$2=XLOOKUP($A12,TasksTable[Task ID],TasksTable[Start Date],"")),"◆",""))</x:f>
      </x:c>
      <x:c r="L12" s="90" t="str">
        <x:f>IF($A12="","",IF(AND($G12="Yes",L$2=XLOOKUP($A12,TasksTable[Task ID],TasksTable[Start Date],"")),"◆",""))</x:f>
      </x:c>
      <x:c r="M12" s="90" t="str">
        <x:f>IF($A12="","",IF(AND($G12="Yes",M$2=XLOOKUP($A12,TasksTable[Task ID],TasksTable[Start Date],"")),"◆",""))</x:f>
      </x:c>
      <x:c r="N12" s="90" t="str">
        <x:f>IF($A12="","",IF(AND($G12="Yes",N$2=XLOOKUP($A12,TasksTable[Task ID],TasksTable[Start Date],"")),"◆",""))</x:f>
      </x:c>
      <x:c r="O12" s="90" t="str">
        <x:f>IF($A12="","",IF(AND($G12="Yes",O$2=XLOOKUP($A12,TasksTable[Task ID],TasksTable[Start Date],"")),"◆",""))</x:f>
      </x:c>
      <x:c r="P12" s="90" t="str">
        <x:f>IF($A12="","",IF(AND($G12="Yes",P$2=XLOOKUP($A12,TasksTable[Task ID],TasksTable[Start Date],"")),"◆",""))</x:f>
      </x:c>
      <x:c r="Q12" s="90" t="str">
        <x:f>IF($A12="","",IF(AND($G12="Yes",Q$2=XLOOKUP($A12,TasksTable[Task ID],TasksTable[Start Date],"")),"◆",""))</x:f>
      </x:c>
      <x:c r="R12" s="90" t="str">
        <x:f>IF($A12="","",IF(AND($G12="Yes",R$2=XLOOKUP($A12,TasksTable[Task ID],TasksTable[Start Date],"")),"◆",""))</x:f>
      </x:c>
      <x:c r="S12" s="90" t="str">
        <x:f>IF($A12="","",IF(AND($G12="Yes",S$2=XLOOKUP($A12,TasksTable[Task ID],TasksTable[Start Date],"")),"◆",""))</x:f>
      </x:c>
      <x:c r="T12" s="90" t="str">
        <x:f>IF($A12="","",IF(AND($G12="Yes",T$2=XLOOKUP($A12,TasksTable[Task ID],TasksTable[Start Date],"")),"◆",""))</x:f>
      </x:c>
      <x:c r="U12" s="90" t="str">
        <x:f>IF($A12="","",IF(AND($G12="Yes",U$2=XLOOKUP($A12,TasksTable[Task ID],TasksTable[Start Date],"")),"◆",""))</x:f>
      </x:c>
      <x:c r="V12" s="90" t="str">
        <x:f>IF($A12="","",IF(AND($G12="Yes",V$2=XLOOKUP($A12,TasksTable[Task ID],TasksTable[Start Date],"")),"◆",""))</x:f>
      </x:c>
      <x:c r="W12" s="90" t="str">
        <x:f>IF($A12="","",IF(AND($G12="Yes",W$2=XLOOKUP($A12,TasksTable[Task ID],TasksTable[Start Date],"")),"◆",""))</x:f>
      </x:c>
      <x:c r="X12" s="90" t="str">
        <x:f>IF($A12="","",IF(AND($G12="Yes",X$2=XLOOKUP($A12,TasksTable[Task ID],TasksTable[Start Date],"")),"◆",""))</x:f>
      </x:c>
      <x:c r="Y12" s="90" t="str">
        <x:f>IF($A12="","",IF(AND($G12="Yes",Y$2=XLOOKUP($A12,TasksTable[Task ID],TasksTable[Start Date],"")),"◆",""))</x:f>
      </x:c>
      <x:c r="Z12" s="90" t="str">
        <x:f>IF($A12="","",IF(AND($G12="Yes",Z$2=XLOOKUP($A12,TasksTable[Task ID],TasksTable[Start Date],"")),"◆",""))</x:f>
      </x:c>
      <x:c r="AA12" s="90" t="str">
        <x:f>IF($A12="","",IF(AND($G12="Yes",AA$2=XLOOKUP($A12,TasksTable[Task ID],TasksTable[Start Date],"")),"◆",""))</x:f>
      </x:c>
      <x:c r="AB12" s="90" t="str">
        <x:f>IF($A12="","",IF(AND($G12="Yes",AB$2=XLOOKUP($A12,TasksTable[Task ID],TasksTable[Start Date],"")),"◆",""))</x:f>
      </x:c>
      <x:c r="AC12" s="90" t="str">
        <x:f>IF($A12="","",IF(AND($G12="Yes",AC$2=XLOOKUP($A12,TasksTable[Task ID],TasksTable[Start Date],"")),"◆",""))</x:f>
      </x:c>
      <x:c r="AD12" s="90" t="str">
        <x:f>IF($A12="","",IF(AND($G12="Yes",AD$2=XLOOKUP($A12,TasksTable[Task ID],TasksTable[Start Date],"")),"◆",""))</x:f>
      </x:c>
      <x:c r="AE12" s="90" t="str">
        <x:f>IF($A12="","",IF(AND($G12="Yes",AE$2=XLOOKUP($A12,TasksTable[Task ID],TasksTable[Start Date],"")),"◆",""))</x:f>
      </x:c>
      <x:c r="AF12" s="90" t="str">
        <x:f>IF($A12="","",IF(AND($G12="Yes",AF$2=XLOOKUP($A12,TasksTable[Task ID],TasksTable[Start Date],"")),"◆",""))</x:f>
      </x:c>
      <x:c r="AG12" s="90" t="str">
        <x:f>IF($A12="","",IF(AND($G12="Yes",AG$2=XLOOKUP($A12,TasksTable[Task ID],TasksTable[Start Date],"")),"◆",""))</x:f>
      </x:c>
      <x:c r="AH12" s="90" t="str">
        <x:f>IF($A12="","",IF(AND($G12="Yes",AH$2=XLOOKUP($A12,TasksTable[Task ID],TasksTable[Start Date],"")),"◆",""))</x:f>
      </x:c>
      <x:c r="AI12" s="90" t="str">
        <x:f>IF($A12="","",IF(AND($G12="Yes",AI$2=XLOOKUP($A12,TasksTable[Task ID],TasksTable[Start Date],"")),"◆",""))</x:f>
      </x:c>
      <x:c r="AJ12" s="90" t="str">
        <x:f>IF($A12="","",IF(AND($G12="Yes",AJ$2=XLOOKUP($A12,TasksTable[Task ID],TasksTable[Start Date],"")),"◆",""))</x:f>
      </x:c>
      <x:c r="AK12" s="90" t="str">
        <x:f>IF($A12="","",IF(AND($G12="Yes",AK$2=XLOOKUP($A12,TasksTable[Task ID],TasksTable[Start Date],"")),"◆",""))</x:f>
      </x:c>
      <x:c r="AL12" s="90" t="str">
        <x:f>IF($A12="","",IF(AND($G12="Yes",AL$2=XLOOKUP($A12,TasksTable[Task ID],TasksTable[Start Date],"")),"◆",""))</x:f>
      </x:c>
      <x:c r="AM12" s="90" t="str">
        <x:f>IF($A12="","",IF(AND($G12="Yes",AM$2=XLOOKUP($A12,TasksTable[Task ID],TasksTable[Start Date],"")),"◆",""))</x:f>
      </x:c>
      <x:c r="AN12" s="90" t="str">
        <x:f>IF($A12="","",IF(AND($G12="Yes",AN$2=XLOOKUP($A12,TasksTable[Task ID],TasksTable[Start Date],"")),"◆",""))</x:f>
      </x:c>
      <x:c r="AO12" s="90" t="str">
        <x:f>IF($A12="","",IF(AND($G12="Yes",AO$2=XLOOKUP($A12,TasksTable[Task ID],TasksTable[Start Date],"")),"◆",""))</x:f>
      </x:c>
    </x:row>
    <x:row r="13">
      <x:c r="A13" s="10" t="str">
        <x:f>IFERROR(INDEX(TasksTable[Task ID],ROWS($A$4:A13)),"")</x:f>
        <x:v>T09</x:v>
      </x:c>
      <x:c r="B13" s="10" t="str">
        <x:f>IF($A13="","",IFERROR(XLOOKUP($A13,TasksTable[Task ID],TasksTable[Phase],""),""))</x:f>
        <x:v>M2 · Governed Data Plane &amp; Central Storage Integration (Model A)</x:v>
      </x:c>
      <x:c r="C13" s="10" t="str">
        <x:f>IF($A13="","",IFERROR(XLOOKUP($A13,TasksTable[Task ID],TasksTable[Task Name],""),""))</x:f>
        <x:v>Deploy Governed MCP Data Boundary CRUD gateways &amp; connection pools</x:v>
      </x:c>
      <x:c r="D13" s="10" t="str">
        <x:f>IF($A13="","",IFERROR(XLOOKUP($A13,TasksTable[Task ID],TasksTable[Status],""),""))</x:f>
        <x:v>Not Started</x:v>
      </x:c>
      <x:c r="E13" s="86" t="n">
        <x:f>IF($A13="","",IFERROR(XLOOKUP($A13,TasksTable[Task ID],TasksTable[Progress %],0),0))</x:f>
        <x:v>0</x:v>
      </x:c>
      <x:c r="F13" s="10" t="str">
        <x:f>IF($A13="","",IFERROR(XLOOKUP($A13,TasksTable[Task ID],TasksTable[Schedule Health],""),""))</x:f>
        <x:v>On Track</x:v>
      </x:c>
      <x:c r="G13" s="10" t="str">
        <x:f>IF($A13="","",IFERROR(XLOOKUP($A13,TasksTable[Task ID],TasksTable[Milestone],""),""))</x:f>
        <x:v>No</x:v>
      </x:c>
      <x:c r="H13" s="90" t="str">
        <x:f>IF($A13="","",IF(AND($G13="Yes",H$2=XLOOKUP($A13,TasksTable[Task ID],TasksTable[Start Date],"")),"◆",""))</x:f>
      </x:c>
      <x:c r="I13" s="90" t="str">
        <x:f>IF($A13="","",IF(AND($G13="Yes",I$2=XLOOKUP($A13,TasksTable[Task ID],TasksTable[Start Date],"")),"◆",""))</x:f>
      </x:c>
      <x:c r="J13" s="90" t="str">
        <x:f>IF($A13="","",IF(AND($G13="Yes",J$2=XLOOKUP($A13,TasksTable[Task ID],TasksTable[Start Date],"")),"◆",""))</x:f>
      </x:c>
      <x:c r="K13" s="90" t="str">
        <x:f>IF($A13="","",IF(AND($G13="Yes",K$2=XLOOKUP($A13,TasksTable[Task ID],TasksTable[Start Date],"")),"◆",""))</x:f>
      </x:c>
      <x:c r="L13" s="90" t="str">
        <x:f>IF($A13="","",IF(AND($G13="Yes",L$2=XLOOKUP($A13,TasksTable[Task ID],TasksTable[Start Date],"")),"◆",""))</x:f>
      </x:c>
      <x:c r="M13" s="90" t="str">
        <x:f>IF($A13="","",IF(AND($G13="Yes",M$2=XLOOKUP($A13,TasksTable[Task ID],TasksTable[Start Date],"")),"◆",""))</x:f>
      </x:c>
      <x:c r="N13" s="90" t="str">
        <x:f>IF($A13="","",IF(AND($G13="Yes",N$2=XLOOKUP($A13,TasksTable[Task ID],TasksTable[Start Date],"")),"◆",""))</x:f>
      </x:c>
      <x:c r="O13" s="90" t="str">
        <x:f>IF($A13="","",IF(AND($G13="Yes",O$2=XLOOKUP($A13,TasksTable[Task ID],TasksTable[Start Date],"")),"◆",""))</x:f>
      </x:c>
      <x:c r="P13" s="90" t="str">
        <x:f>IF($A13="","",IF(AND($G13="Yes",P$2=XLOOKUP($A13,TasksTable[Task ID],TasksTable[Start Date],"")),"◆",""))</x:f>
      </x:c>
      <x:c r="Q13" s="90" t="str">
        <x:f>IF($A13="","",IF(AND($G13="Yes",Q$2=XLOOKUP($A13,TasksTable[Task ID],TasksTable[Start Date],"")),"◆",""))</x:f>
      </x:c>
      <x:c r="R13" s="90" t="str">
        <x:f>IF($A13="","",IF(AND($G13="Yes",R$2=XLOOKUP($A13,TasksTable[Task ID],TasksTable[Start Date],"")),"◆",""))</x:f>
      </x:c>
      <x:c r="S13" s="90" t="str">
        <x:f>IF($A13="","",IF(AND($G13="Yes",S$2=XLOOKUP($A13,TasksTable[Task ID],TasksTable[Start Date],"")),"◆",""))</x:f>
      </x:c>
      <x:c r="T13" s="90" t="str">
        <x:f>IF($A13="","",IF(AND($G13="Yes",T$2=XLOOKUP($A13,TasksTable[Task ID],TasksTable[Start Date],"")),"◆",""))</x:f>
      </x:c>
      <x:c r="U13" s="90" t="str">
        <x:f>IF($A13="","",IF(AND($G13="Yes",U$2=XLOOKUP($A13,TasksTable[Task ID],TasksTable[Start Date],"")),"◆",""))</x:f>
      </x:c>
      <x:c r="V13" s="90" t="str">
        <x:f>IF($A13="","",IF(AND($G13="Yes",V$2=XLOOKUP($A13,TasksTable[Task ID],TasksTable[Start Date],"")),"◆",""))</x:f>
      </x:c>
      <x:c r="W13" s="90" t="str">
        <x:f>IF($A13="","",IF(AND($G13="Yes",W$2=XLOOKUP($A13,TasksTable[Task ID],TasksTable[Start Date],"")),"◆",""))</x:f>
      </x:c>
      <x:c r="X13" s="90" t="str">
        <x:f>IF($A13="","",IF(AND($G13="Yes",X$2=XLOOKUP($A13,TasksTable[Task ID],TasksTable[Start Date],"")),"◆",""))</x:f>
      </x:c>
      <x:c r="Y13" s="90" t="str">
        <x:f>IF($A13="","",IF(AND($G13="Yes",Y$2=XLOOKUP($A13,TasksTable[Task ID],TasksTable[Start Date],"")),"◆",""))</x:f>
      </x:c>
      <x:c r="Z13" s="90" t="str">
        <x:f>IF($A13="","",IF(AND($G13="Yes",Z$2=XLOOKUP($A13,TasksTable[Task ID],TasksTable[Start Date],"")),"◆",""))</x:f>
      </x:c>
      <x:c r="AA13" s="90" t="str">
        <x:f>IF($A13="","",IF(AND($G13="Yes",AA$2=XLOOKUP($A13,TasksTable[Task ID],TasksTable[Start Date],"")),"◆",""))</x:f>
      </x:c>
      <x:c r="AB13" s="90" t="str">
        <x:f>IF($A13="","",IF(AND($G13="Yes",AB$2=XLOOKUP($A13,TasksTable[Task ID],TasksTable[Start Date],"")),"◆",""))</x:f>
      </x:c>
      <x:c r="AC13" s="90" t="str">
        <x:f>IF($A13="","",IF(AND($G13="Yes",AC$2=XLOOKUP($A13,TasksTable[Task ID],TasksTable[Start Date],"")),"◆",""))</x:f>
      </x:c>
      <x:c r="AD13" s="90" t="str">
        <x:f>IF($A13="","",IF(AND($G13="Yes",AD$2=XLOOKUP($A13,TasksTable[Task ID],TasksTable[Start Date],"")),"◆",""))</x:f>
      </x:c>
      <x:c r="AE13" s="90" t="str">
        <x:f>IF($A13="","",IF(AND($G13="Yes",AE$2=XLOOKUP($A13,TasksTable[Task ID],TasksTable[Start Date],"")),"◆",""))</x:f>
      </x:c>
      <x:c r="AF13" s="90" t="str">
        <x:f>IF($A13="","",IF(AND($G13="Yes",AF$2=XLOOKUP($A13,TasksTable[Task ID],TasksTable[Start Date],"")),"◆",""))</x:f>
      </x:c>
      <x:c r="AG13" s="90" t="str">
        <x:f>IF($A13="","",IF(AND($G13="Yes",AG$2=XLOOKUP($A13,TasksTable[Task ID],TasksTable[Start Date],"")),"◆",""))</x:f>
      </x:c>
      <x:c r="AH13" s="90" t="str">
        <x:f>IF($A13="","",IF(AND($G13="Yes",AH$2=XLOOKUP($A13,TasksTable[Task ID],TasksTable[Start Date],"")),"◆",""))</x:f>
      </x:c>
      <x:c r="AI13" s="90" t="str">
        <x:f>IF($A13="","",IF(AND($G13="Yes",AI$2=XLOOKUP($A13,TasksTable[Task ID],TasksTable[Start Date],"")),"◆",""))</x:f>
      </x:c>
      <x:c r="AJ13" s="90" t="str">
        <x:f>IF($A13="","",IF(AND($G13="Yes",AJ$2=XLOOKUP($A13,TasksTable[Task ID],TasksTable[Start Date],"")),"◆",""))</x:f>
      </x:c>
      <x:c r="AK13" s="90" t="str">
        <x:f>IF($A13="","",IF(AND($G13="Yes",AK$2=XLOOKUP($A13,TasksTable[Task ID],TasksTable[Start Date],"")),"◆",""))</x:f>
      </x:c>
      <x:c r="AL13" s="90" t="str">
        <x:f>IF($A13="","",IF(AND($G13="Yes",AL$2=XLOOKUP($A13,TasksTable[Task ID],TasksTable[Start Date],"")),"◆",""))</x:f>
      </x:c>
      <x:c r="AM13" s="90" t="str">
        <x:f>IF($A13="","",IF(AND($G13="Yes",AM$2=XLOOKUP($A13,TasksTable[Task ID],TasksTable[Start Date],"")),"◆",""))</x:f>
      </x:c>
      <x:c r="AN13" s="90" t="str">
        <x:f>IF($A13="","",IF(AND($G13="Yes",AN$2=XLOOKUP($A13,TasksTable[Task ID],TasksTable[Start Date],"")),"◆",""))</x:f>
      </x:c>
      <x:c r="AO13" s="90" t="str">
        <x:f>IF($A13="","",IF(AND($G13="Yes",AO$2=XLOOKUP($A13,TasksTable[Task ID],TasksTable[Start Date],"")),"◆",""))</x:f>
      </x:c>
    </x:row>
    <x:row r="14">
      <x:c r="A14" s="10" t="str">
        <x:f>IFERROR(INDEX(TasksTable[Task ID],ROWS($A$4:A14)),"")</x:f>
        <x:v>T10</x:v>
      </x:c>
      <x:c r="B14" s="10" t="str">
        <x:f>IF($A14="","",IFERROR(XLOOKUP($A14,TasksTable[Task ID],TasksTable[Phase],""),""))</x:f>
        <x:v>M2 · Governed Data Plane &amp; Central Storage Integration (Model A)</x:v>
      </x:c>
      <x:c r="C14" s="10" t="str">
        <x:f>IF($A14="","",IFERROR(XLOOKUP($A14,TasksTable[Task ID],TasksTable[Task Name],""),""))</x:f>
        <x:v>Configure Agentic RAG Controller with tenant isolation &amp; freshness gates</x:v>
      </x:c>
      <x:c r="D14" s="10" t="str">
        <x:f>IF($A14="","",IFERROR(XLOOKUP($A14,TasksTable[Task ID],TasksTable[Status],""),""))</x:f>
        <x:v>Not Started</x:v>
      </x:c>
      <x:c r="E14" s="86" t="n">
        <x:f>IF($A14="","",IFERROR(XLOOKUP($A14,TasksTable[Task ID],TasksTable[Progress %],0),0))</x:f>
        <x:v>0</x:v>
      </x:c>
      <x:c r="F14" s="10" t="str">
        <x:f>IF($A14="","",IFERROR(XLOOKUP($A14,TasksTable[Task ID],TasksTable[Schedule Health],""),""))</x:f>
        <x:v>On Track</x:v>
      </x:c>
      <x:c r="G14" s="10" t="str">
        <x:f>IF($A14="","",IFERROR(XLOOKUP($A14,TasksTable[Task ID],TasksTable[Milestone],""),""))</x:f>
        <x:v>No</x:v>
      </x:c>
      <x:c r="H14" s="90" t="str">
        <x:f>IF($A14="","",IF(AND($G14="Yes",H$2=XLOOKUP($A14,TasksTable[Task ID],TasksTable[Start Date],"")),"◆",""))</x:f>
      </x:c>
      <x:c r="I14" s="90" t="str">
        <x:f>IF($A14="","",IF(AND($G14="Yes",I$2=XLOOKUP($A14,TasksTable[Task ID],TasksTable[Start Date],"")),"◆",""))</x:f>
      </x:c>
      <x:c r="J14" s="90" t="str">
        <x:f>IF($A14="","",IF(AND($G14="Yes",J$2=XLOOKUP($A14,TasksTable[Task ID],TasksTable[Start Date],"")),"◆",""))</x:f>
      </x:c>
      <x:c r="K14" s="90" t="str">
        <x:f>IF($A14="","",IF(AND($G14="Yes",K$2=XLOOKUP($A14,TasksTable[Task ID],TasksTable[Start Date],"")),"◆",""))</x:f>
      </x:c>
      <x:c r="L14" s="90" t="str">
        <x:f>IF($A14="","",IF(AND($G14="Yes",L$2=XLOOKUP($A14,TasksTable[Task ID],TasksTable[Start Date],"")),"◆",""))</x:f>
      </x:c>
      <x:c r="M14" s="90" t="str">
        <x:f>IF($A14="","",IF(AND($G14="Yes",M$2=XLOOKUP($A14,TasksTable[Task ID],TasksTable[Start Date],"")),"◆",""))</x:f>
      </x:c>
      <x:c r="N14" s="90" t="str">
        <x:f>IF($A14="","",IF(AND($G14="Yes",N$2=XLOOKUP($A14,TasksTable[Task ID],TasksTable[Start Date],"")),"◆",""))</x:f>
      </x:c>
      <x:c r="O14" s="90" t="str">
        <x:f>IF($A14="","",IF(AND($G14="Yes",O$2=XLOOKUP($A14,TasksTable[Task ID],TasksTable[Start Date],"")),"◆",""))</x:f>
      </x:c>
      <x:c r="P14" s="90" t="str">
        <x:f>IF($A14="","",IF(AND($G14="Yes",P$2=XLOOKUP($A14,TasksTable[Task ID],TasksTable[Start Date],"")),"◆",""))</x:f>
      </x:c>
      <x:c r="Q14" s="90" t="str">
        <x:f>IF($A14="","",IF(AND($G14="Yes",Q$2=XLOOKUP($A14,TasksTable[Task ID],TasksTable[Start Date],"")),"◆",""))</x:f>
      </x:c>
      <x:c r="R14" s="90" t="str">
        <x:f>IF($A14="","",IF(AND($G14="Yes",R$2=XLOOKUP($A14,TasksTable[Task ID],TasksTable[Start Date],"")),"◆",""))</x:f>
      </x:c>
      <x:c r="S14" s="90" t="str">
        <x:f>IF($A14="","",IF(AND($G14="Yes",S$2=XLOOKUP($A14,TasksTable[Task ID],TasksTable[Start Date],"")),"◆",""))</x:f>
      </x:c>
      <x:c r="T14" s="90" t="str">
        <x:f>IF($A14="","",IF(AND($G14="Yes",T$2=XLOOKUP($A14,TasksTable[Task ID],TasksTable[Start Date],"")),"◆",""))</x:f>
      </x:c>
      <x:c r="U14" s="90" t="str">
        <x:f>IF($A14="","",IF(AND($G14="Yes",U$2=XLOOKUP($A14,TasksTable[Task ID],TasksTable[Start Date],"")),"◆",""))</x:f>
      </x:c>
      <x:c r="V14" s="90" t="str">
        <x:f>IF($A14="","",IF(AND($G14="Yes",V$2=XLOOKUP($A14,TasksTable[Task ID],TasksTable[Start Date],"")),"◆",""))</x:f>
      </x:c>
      <x:c r="W14" s="90" t="str">
        <x:f>IF($A14="","",IF(AND($G14="Yes",W$2=XLOOKUP($A14,TasksTable[Task ID],TasksTable[Start Date],"")),"◆",""))</x:f>
      </x:c>
      <x:c r="X14" s="90" t="str">
        <x:f>IF($A14="","",IF(AND($G14="Yes",X$2=XLOOKUP($A14,TasksTable[Task ID],TasksTable[Start Date],"")),"◆",""))</x:f>
      </x:c>
      <x:c r="Y14" s="90" t="str">
        <x:f>IF($A14="","",IF(AND($G14="Yes",Y$2=XLOOKUP($A14,TasksTable[Task ID],TasksTable[Start Date],"")),"◆",""))</x:f>
      </x:c>
      <x:c r="Z14" s="90" t="str">
        <x:f>IF($A14="","",IF(AND($G14="Yes",Z$2=XLOOKUP($A14,TasksTable[Task ID],TasksTable[Start Date],"")),"◆",""))</x:f>
      </x:c>
      <x:c r="AA14" s="90" t="str">
        <x:f>IF($A14="","",IF(AND($G14="Yes",AA$2=XLOOKUP($A14,TasksTable[Task ID],TasksTable[Start Date],"")),"◆",""))</x:f>
      </x:c>
      <x:c r="AB14" s="90" t="str">
        <x:f>IF($A14="","",IF(AND($G14="Yes",AB$2=XLOOKUP($A14,TasksTable[Task ID],TasksTable[Start Date],"")),"◆",""))</x:f>
      </x:c>
      <x:c r="AC14" s="90" t="str">
        <x:f>IF($A14="","",IF(AND($G14="Yes",AC$2=XLOOKUP($A14,TasksTable[Task ID],TasksTable[Start Date],"")),"◆",""))</x:f>
      </x:c>
      <x:c r="AD14" s="90" t="str">
        <x:f>IF($A14="","",IF(AND($G14="Yes",AD$2=XLOOKUP($A14,TasksTable[Task ID],TasksTable[Start Date],"")),"◆",""))</x:f>
      </x:c>
      <x:c r="AE14" s="90" t="str">
        <x:f>IF($A14="","",IF(AND($G14="Yes",AE$2=XLOOKUP($A14,TasksTable[Task ID],TasksTable[Start Date],"")),"◆",""))</x:f>
      </x:c>
      <x:c r="AF14" s="90" t="str">
        <x:f>IF($A14="","",IF(AND($G14="Yes",AF$2=XLOOKUP($A14,TasksTable[Task ID],TasksTable[Start Date],"")),"◆",""))</x:f>
      </x:c>
      <x:c r="AG14" s="90" t="str">
        <x:f>IF($A14="","",IF(AND($G14="Yes",AG$2=XLOOKUP($A14,TasksTable[Task ID],TasksTable[Start Date],"")),"◆",""))</x:f>
      </x:c>
      <x:c r="AH14" s="90" t="str">
        <x:f>IF($A14="","",IF(AND($G14="Yes",AH$2=XLOOKUP($A14,TasksTable[Task ID],TasksTable[Start Date],"")),"◆",""))</x:f>
      </x:c>
      <x:c r="AI14" s="90" t="str">
        <x:f>IF($A14="","",IF(AND($G14="Yes",AI$2=XLOOKUP($A14,TasksTable[Task ID],TasksTable[Start Date],"")),"◆",""))</x:f>
      </x:c>
      <x:c r="AJ14" s="90" t="str">
        <x:f>IF($A14="","",IF(AND($G14="Yes",AJ$2=XLOOKUP($A14,TasksTable[Task ID],TasksTable[Start Date],"")),"◆",""))</x:f>
      </x:c>
      <x:c r="AK14" s="90" t="str">
        <x:f>IF($A14="","",IF(AND($G14="Yes",AK$2=XLOOKUP($A14,TasksTable[Task ID],TasksTable[Start Date],"")),"◆",""))</x:f>
      </x:c>
      <x:c r="AL14" s="90" t="str">
        <x:f>IF($A14="","",IF(AND($G14="Yes",AL$2=XLOOKUP($A14,TasksTable[Task ID],TasksTable[Start Date],"")),"◆",""))</x:f>
      </x:c>
      <x:c r="AM14" s="90" t="str">
        <x:f>IF($A14="","",IF(AND($G14="Yes",AM$2=XLOOKUP($A14,TasksTable[Task ID],TasksTable[Start Date],"")),"◆",""))</x:f>
      </x:c>
      <x:c r="AN14" s="90" t="str">
        <x:f>IF($A14="","",IF(AND($G14="Yes",AN$2=XLOOKUP($A14,TasksTable[Task ID],TasksTable[Start Date],"")),"◆",""))</x:f>
      </x:c>
      <x:c r="AO14" s="90" t="str">
        <x:f>IF($A14="","",IF(AND($G14="Yes",AO$2=XLOOKUP($A14,TasksTable[Task ID],TasksTable[Start Date],"")),"◆",""))</x:f>
      </x:c>
    </x:row>
    <x:row r="15">
      <x:c r="A15" s="10" t="str">
        <x:f>IFERROR(INDEX(TasksTable[Task ID],ROWS($A$4:A15)),"")</x:f>
        <x:v>M2</x:v>
      </x:c>
      <x:c r="B15" s="10" t="str">
        <x:f>IF($A15="","",IFERROR(XLOOKUP($A15,TasksTable[Task ID],TasksTable[Phase],""),""))</x:f>
        <x:v>M2 · Governed Data Plane &amp; Central Storage Integration (Model A)</x:v>
      </x:c>
      <x:c r="C15" s="10" t="str">
        <x:f>IF($A15="","",IFERROR(XLOOKUP($A15,TasksTable[Task ID],TasksTable[Task Name],""),""))</x:f>
        <x:v>Governed Data Plane &amp; Central Storage Integration (Model A)</x:v>
      </x:c>
      <x:c r="D15" s="10" t="str">
        <x:f>IF($A15="","",IFERROR(XLOOKUP($A15,TasksTable[Task ID],TasksTable[Status],""),""))</x:f>
        <x:v>Not Started</x:v>
      </x:c>
      <x:c r="E15" s="86" t="n">
        <x:f>IF($A15="","",IFERROR(XLOOKUP($A15,TasksTable[Task ID],TasksTable[Progress %],0),0))</x:f>
        <x:v>0</x:v>
      </x:c>
      <x:c r="F15" s="10" t="str">
        <x:f>IF($A15="","",IFERROR(XLOOKUP($A15,TasksTable[Task ID],TasksTable[Schedule Health],""),""))</x:f>
        <x:v>On Track</x:v>
      </x:c>
      <x:c r="G15" s="10" t="str">
        <x:f>IF($A15="","",IFERROR(XLOOKUP($A15,TasksTable[Task ID],TasksTable[Milestone],""),""))</x:f>
        <x:v>Yes</x:v>
      </x:c>
      <x:c r="H15" s="90" t="str">
        <x:f>IF($A15="","",IF(AND($G15="Yes",H$2=XLOOKUP($A15,TasksTable[Task ID],TasksTable[Start Date],"")),"◆",""))</x:f>
      </x:c>
      <x:c r="I15" s="90" t="str">
        <x:f>IF($A15="","",IF(AND($G15="Yes",I$2=XLOOKUP($A15,TasksTable[Task ID],TasksTable[Start Date],"")),"◆",""))</x:f>
      </x:c>
      <x:c r="J15" s="90" t="str">
        <x:f>IF($A15="","",IF(AND($G15="Yes",J$2=XLOOKUP($A15,TasksTable[Task ID],TasksTable[Start Date],"")),"◆",""))</x:f>
      </x:c>
      <x:c r="K15" s="90" t="str">
        <x:f>IF($A15="","",IF(AND($G15="Yes",K$2=XLOOKUP($A15,TasksTable[Task ID],TasksTable[Start Date],"")),"◆",""))</x:f>
      </x:c>
      <x:c r="L15" s="90" t="str">
        <x:f>IF($A15="","",IF(AND($G15="Yes",L$2=XLOOKUP($A15,TasksTable[Task ID],TasksTable[Start Date],"")),"◆",""))</x:f>
      </x:c>
      <x:c r="M15" s="90" t="str">
        <x:f>IF($A15="","",IF(AND($G15="Yes",M$2=XLOOKUP($A15,TasksTable[Task ID],TasksTable[Start Date],"")),"◆",""))</x:f>
      </x:c>
      <x:c r="N15" s="90" t="str">
        <x:f>IF($A15="","",IF(AND($G15="Yes",N$2=XLOOKUP($A15,TasksTable[Task ID],TasksTable[Start Date],"")),"◆",""))</x:f>
      </x:c>
      <x:c r="O15" s="90" t="str">
        <x:f>IF($A15="","",IF(AND($G15="Yes",O$2=XLOOKUP($A15,TasksTable[Task ID],TasksTable[Start Date],"")),"◆",""))</x:f>
      </x:c>
      <x:c r="P15" s="90" t="str">
        <x:f>IF($A15="","",IF(AND($G15="Yes",P$2=XLOOKUP($A15,TasksTable[Task ID],TasksTable[Start Date],"")),"◆",""))</x:f>
        <x:v>◆</x:v>
      </x:c>
      <x:c r="Q15" s="90" t="str">
        <x:f>IF($A15="","",IF(AND($G15="Yes",Q$2=XLOOKUP($A15,TasksTable[Task ID],TasksTable[Start Date],"")),"◆",""))</x:f>
      </x:c>
      <x:c r="R15" s="90" t="str">
        <x:f>IF($A15="","",IF(AND($G15="Yes",R$2=XLOOKUP($A15,TasksTable[Task ID],TasksTable[Start Date],"")),"◆",""))</x:f>
      </x:c>
      <x:c r="S15" s="90" t="str">
        <x:f>IF($A15="","",IF(AND($G15="Yes",S$2=XLOOKUP($A15,TasksTable[Task ID],TasksTable[Start Date],"")),"◆",""))</x:f>
      </x:c>
      <x:c r="T15" s="90" t="str">
        <x:f>IF($A15="","",IF(AND($G15="Yes",T$2=XLOOKUP($A15,TasksTable[Task ID],TasksTable[Start Date],"")),"◆",""))</x:f>
      </x:c>
      <x:c r="U15" s="90" t="str">
        <x:f>IF($A15="","",IF(AND($G15="Yes",U$2=XLOOKUP($A15,TasksTable[Task ID],TasksTable[Start Date],"")),"◆",""))</x:f>
      </x:c>
      <x:c r="V15" s="90" t="str">
        <x:f>IF($A15="","",IF(AND($G15="Yes",V$2=XLOOKUP($A15,TasksTable[Task ID],TasksTable[Start Date],"")),"◆",""))</x:f>
      </x:c>
      <x:c r="W15" s="90" t="str">
        <x:f>IF($A15="","",IF(AND($G15="Yes",W$2=XLOOKUP($A15,TasksTable[Task ID],TasksTable[Start Date],"")),"◆",""))</x:f>
      </x:c>
      <x:c r="X15" s="90" t="str">
        <x:f>IF($A15="","",IF(AND($G15="Yes",X$2=XLOOKUP($A15,TasksTable[Task ID],TasksTable[Start Date],"")),"◆",""))</x:f>
      </x:c>
      <x:c r="Y15" s="90" t="str">
        <x:f>IF($A15="","",IF(AND($G15="Yes",Y$2=XLOOKUP($A15,TasksTable[Task ID],TasksTable[Start Date],"")),"◆",""))</x:f>
      </x:c>
      <x:c r="Z15" s="90" t="str">
        <x:f>IF($A15="","",IF(AND($G15="Yes",Z$2=XLOOKUP($A15,TasksTable[Task ID],TasksTable[Start Date],"")),"◆",""))</x:f>
      </x:c>
      <x:c r="AA15" s="90" t="str">
        <x:f>IF($A15="","",IF(AND($G15="Yes",AA$2=XLOOKUP($A15,TasksTable[Task ID],TasksTable[Start Date],"")),"◆",""))</x:f>
      </x:c>
      <x:c r="AB15" s="90" t="str">
        <x:f>IF($A15="","",IF(AND($G15="Yes",AB$2=XLOOKUP($A15,TasksTable[Task ID],TasksTable[Start Date],"")),"◆",""))</x:f>
      </x:c>
      <x:c r="AC15" s="90" t="str">
        <x:f>IF($A15="","",IF(AND($G15="Yes",AC$2=XLOOKUP($A15,TasksTable[Task ID],TasksTable[Start Date],"")),"◆",""))</x:f>
      </x:c>
      <x:c r="AD15" s="90" t="str">
        <x:f>IF($A15="","",IF(AND($G15="Yes",AD$2=XLOOKUP($A15,TasksTable[Task ID],TasksTable[Start Date],"")),"◆",""))</x:f>
      </x:c>
      <x:c r="AE15" s="90" t="str">
        <x:f>IF($A15="","",IF(AND($G15="Yes",AE$2=XLOOKUP($A15,TasksTable[Task ID],TasksTable[Start Date],"")),"◆",""))</x:f>
      </x:c>
      <x:c r="AF15" s="90" t="str">
        <x:f>IF($A15="","",IF(AND($G15="Yes",AF$2=XLOOKUP($A15,TasksTable[Task ID],TasksTable[Start Date],"")),"◆",""))</x:f>
      </x:c>
      <x:c r="AG15" s="90" t="str">
        <x:f>IF($A15="","",IF(AND($G15="Yes",AG$2=XLOOKUP($A15,TasksTable[Task ID],TasksTable[Start Date],"")),"◆",""))</x:f>
      </x:c>
      <x:c r="AH15" s="90" t="str">
        <x:f>IF($A15="","",IF(AND($G15="Yes",AH$2=XLOOKUP($A15,TasksTable[Task ID],TasksTable[Start Date],"")),"◆",""))</x:f>
      </x:c>
      <x:c r="AI15" s="90" t="str">
        <x:f>IF($A15="","",IF(AND($G15="Yes",AI$2=XLOOKUP($A15,TasksTable[Task ID],TasksTable[Start Date],"")),"◆",""))</x:f>
      </x:c>
      <x:c r="AJ15" s="90" t="str">
        <x:f>IF($A15="","",IF(AND($G15="Yes",AJ$2=XLOOKUP($A15,TasksTable[Task ID],TasksTable[Start Date],"")),"◆",""))</x:f>
      </x:c>
      <x:c r="AK15" s="90" t="str">
        <x:f>IF($A15="","",IF(AND($G15="Yes",AK$2=XLOOKUP($A15,TasksTable[Task ID],TasksTable[Start Date],"")),"◆",""))</x:f>
      </x:c>
      <x:c r="AL15" s="90" t="str">
        <x:f>IF($A15="","",IF(AND($G15="Yes",AL$2=XLOOKUP($A15,TasksTable[Task ID],TasksTable[Start Date],"")),"◆",""))</x:f>
      </x:c>
      <x:c r="AM15" s="90" t="str">
        <x:f>IF($A15="","",IF(AND($G15="Yes",AM$2=XLOOKUP($A15,TasksTable[Task ID],TasksTable[Start Date],"")),"◆",""))</x:f>
      </x:c>
      <x:c r="AN15" s="90" t="str">
        <x:f>IF($A15="","",IF(AND($G15="Yes",AN$2=XLOOKUP($A15,TasksTable[Task ID],TasksTable[Start Date],"")),"◆",""))</x:f>
      </x:c>
      <x:c r="AO15" s="90" t="str">
        <x:f>IF($A15="","",IF(AND($G15="Yes",AO$2=XLOOKUP($A15,TasksTable[Task ID],TasksTable[Start Date],"")),"◆",""))</x:f>
      </x:c>
    </x:row>
    <x:row r="16">
      <x:c r="A16" s="10" t="str">
        <x:f>IFERROR(INDEX(TasksTable[Task ID],ROWS($A$4:A16)),"")</x:f>
        <x:v>T11</x:v>
      </x:c>
      <x:c r="B16" s="10" t="str">
        <x:f>IF($A16="","",IFERROR(XLOOKUP($A16,TasksTable[Task ID],TasksTable[Phase],""),""))</x:f>
        <x:v>M3 · Sandbox Isolation &amp; Specialist Sub-Agent Readiness</x:v>
      </x:c>
      <x:c r="C16" s="10" t="str">
        <x:f>IF($A16="","",IFERROR(XLOOKUP($A16,TasksTable[Task ID],TasksTable[Task Name],""),""))</x:f>
        <x:v>Deploy agent_sandbox with cgroups, seccomp, and tmpfs isolation</x:v>
      </x:c>
      <x:c r="D16" s="10" t="str">
        <x:f>IF($A16="","",IFERROR(XLOOKUP($A16,TasksTable[Task ID],TasksTable[Status],""),""))</x:f>
        <x:v>Not Started</x:v>
      </x:c>
      <x:c r="E16" s="86" t="n">
        <x:f>IF($A16="","",IFERROR(XLOOKUP($A16,TasksTable[Task ID],TasksTable[Progress %],0),0))</x:f>
        <x:v>0</x:v>
      </x:c>
      <x:c r="F16" s="10" t="str">
        <x:f>IF($A16="","",IFERROR(XLOOKUP($A16,TasksTable[Task ID],TasksTable[Schedule Health],""),""))</x:f>
        <x:v>On Track</x:v>
      </x:c>
      <x:c r="G16" s="10" t="str">
        <x:f>IF($A16="","",IFERROR(XLOOKUP($A16,TasksTable[Task ID],TasksTable[Milestone],""),""))</x:f>
        <x:v>No</x:v>
      </x:c>
      <x:c r="H16" s="90" t="str">
        <x:f>IF($A16="","",IF(AND($G16="Yes",H$2=XLOOKUP($A16,TasksTable[Task ID],TasksTable[Start Date],"")),"◆",""))</x:f>
      </x:c>
      <x:c r="I16" s="90" t="str">
        <x:f>IF($A16="","",IF(AND($G16="Yes",I$2=XLOOKUP($A16,TasksTable[Task ID],TasksTable[Start Date],"")),"◆",""))</x:f>
      </x:c>
      <x:c r="J16" s="90" t="str">
        <x:f>IF($A16="","",IF(AND($G16="Yes",J$2=XLOOKUP($A16,TasksTable[Task ID],TasksTable[Start Date],"")),"◆",""))</x:f>
      </x:c>
      <x:c r="K16" s="90" t="str">
        <x:f>IF($A16="","",IF(AND($G16="Yes",K$2=XLOOKUP($A16,TasksTable[Task ID],TasksTable[Start Date],"")),"◆",""))</x:f>
      </x:c>
      <x:c r="L16" s="90" t="str">
        <x:f>IF($A16="","",IF(AND($G16="Yes",L$2=XLOOKUP($A16,TasksTable[Task ID],TasksTable[Start Date],"")),"◆",""))</x:f>
      </x:c>
      <x:c r="M16" s="90" t="str">
        <x:f>IF($A16="","",IF(AND($G16="Yes",M$2=XLOOKUP($A16,TasksTable[Task ID],TasksTable[Start Date],"")),"◆",""))</x:f>
      </x:c>
      <x:c r="N16" s="90" t="str">
        <x:f>IF($A16="","",IF(AND($G16="Yes",N$2=XLOOKUP($A16,TasksTable[Task ID],TasksTable[Start Date],"")),"◆",""))</x:f>
      </x:c>
      <x:c r="O16" s="90" t="str">
        <x:f>IF($A16="","",IF(AND($G16="Yes",O$2=XLOOKUP($A16,TasksTable[Task ID],TasksTable[Start Date],"")),"◆",""))</x:f>
      </x:c>
      <x:c r="P16" s="90" t="str">
        <x:f>IF($A16="","",IF(AND($G16="Yes",P$2=XLOOKUP($A16,TasksTable[Task ID],TasksTable[Start Date],"")),"◆",""))</x:f>
      </x:c>
      <x:c r="Q16" s="90" t="str">
        <x:f>IF($A16="","",IF(AND($G16="Yes",Q$2=XLOOKUP($A16,TasksTable[Task ID],TasksTable[Start Date],"")),"◆",""))</x:f>
      </x:c>
      <x:c r="R16" s="90" t="str">
        <x:f>IF($A16="","",IF(AND($G16="Yes",R$2=XLOOKUP($A16,TasksTable[Task ID],TasksTable[Start Date],"")),"◆",""))</x:f>
      </x:c>
      <x:c r="S16" s="90" t="str">
        <x:f>IF($A16="","",IF(AND($G16="Yes",S$2=XLOOKUP($A16,TasksTable[Task ID],TasksTable[Start Date],"")),"◆",""))</x:f>
      </x:c>
      <x:c r="T16" s="90" t="str">
        <x:f>IF($A16="","",IF(AND($G16="Yes",T$2=XLOOKUP($A16,TasksTable[Task ID],TasksTable[Start Date],"")),"◆",""))</x:f>
      </x:c>
      <x:c r="U16" s="90" t="str">
        <x:f>IF($A16="","",IF(AND($G16="Yes",U$2=XLOOKUP($A16,TasksTable[Task ID],TasksTable[Start Date],"")),"◆",""))</x:f>
      </x:c>
      <x:c r="V16" s="90" t="str">
        <x:f>IF($A16="","",IF(AND($G16="Yes",V$2=XLOOKUP($A16,TasksTable[Task ID],TasksTable[Start Date],"")),"◆",""))</x:f>
      </x:c>
      <x:c r="W16" s="90" t="str">
        <x:f>IF($A16="","",IF(AND($G16="Yes",W$2=XLOOKUP($A16,TasksTable[Task ID],TasksTable[Start Date],"")),"◆",""))</x:f>
      </x:c>
      <x:c r="X16" s="90" t="str">
        <x:f>IF($A16="","",IF(AND($G16="Yes",X$2=XLOOKUP($A16,TasksTable[Task ID],TasksTable[Start Date],"")),"◆",""))</x:f>
      </x:c>
      <x:c r="Y16" s="90" t="str">
        <x:f>IF($A16="","",IF(AND($G16="Yes",Y$2=XLOOKUP($A16,TasksTable[Task ID],TasksTable[Start Date],"")),"◆",""))</x:f>
      </x:c>
      <x:c r="Z16" s="90" t="str">
        <x:f>IF($A16="","",IF(AND($G16="Yes",Z$2=XLOOKUP($A16,TasksTable[Task ID],TasksTable[Start Date],"")),"◆",""))</x:f>
      </x:c>
      <x:c r="AA16" s="90" t="str">
        <x:f>IF($A16="","",IF(AND($G16="Yes",AA$2=XLOOKUP($A16,TasksTable[Task ID],TasksTable[Start Date],"")),"◆",""))</x:f>
      </x:c>
      <x:c r="AB16" s="90" t="str">
        <x:f>IF($A16="","",IF(AND($G16="Yes",AB$2=XLOOKUP($A16,TasksTable[Task ID],TasksTable[Start Date],"")),"◆",""))</x:f>
      </x:c>
      <x:c r="AC16" s="90" t="str">
        <x:f>IF($A16="","",IF(AND($G16="Yes",AC$2=XLOOKUP($A16,TasksTable[Task ID],TasksTable[Start Date],"")),"◆",""))</x:f>
      </x:c>
      <x:c r="AD16" s="90" t="str">
        <x:f>IF($A16="","",IF(AND($G16="Yes",AD$2=XLOOKUP($A16,TasksTable[Task ID],TasksTable[Start Date],"")),"◆",""))</x:f>
      </x:c>
      <x:c r="AE16" s="90" t="str">
        <x:f>IF($A16="","",IF(AND($G16="Yes",AE$2=XLOOKUP($A16,TasksTable[Task ID],TasksTable[Start Date],"")),"◆",""))</x:f>
      </x:c>
      <x:c r="AF16" s="90" t="str">
        <x:f>IF($A16="","",IF(AND($G16="Yes",AF$2=XLOOKUP($A16,TasksTable[Task ID],TasksTable[Start Date],"")),"◆",""))</x:f>
      </x:c>
      <x:c r="AG16" s="90" t="str">
        <x:f>IF($A16="","",IF(AND($G16="Yes",AG$2=XLOOKUP($A16,TasksTable[Task ID],TasksTable[Start Date],"")),"◆",""))</x:f>
      </x:c>
      <x:c r="AH16" s="90" t="str">
        <x:f>IF($A16="","",IF(AND($G16="Yes",AH$2=XLOOKUP($A16,TasksTable[Task ID],TasksTable[Start Date],"")),"◆",""))</x:f>
      </x:c>
      <x:c r="AI16" s="90" t="str">
        <x:f>IF($A16="","",IF(AND($G16="Yes",AI$2=XLOOKUP($A16,TasksTable[Task ID],TasksTable[Start Date],"")),"◆",""))</x:f>
      </x:c>
      <x:c r="AJ16" s="90" t="str">
        <x:f>IF($A16="","",IF(AND($G16="Yes",AJ$2=XLOOKUP($A16,TasksTable[Task ID],TasksTable[Start Date],"")),"◆",""))</x:f>
      </x:c>
      <x:c r="AK16" s="90" t="str">
        <x:f>IF($A16="","",IF(AND($G16="Yes",AK$2=XLOOKUP($A16,TasksTable[Task ID],TasksTable[Start Date],"")),"◆",""))</x:f>
      </x:c>
      <x:c r="AL16" s="90" t="str">
        <x:f>IF($A16="","",IF(AND($G16="Yes",AL$2=XLOOKUP($A16,TasksTable[Task ID],TasksTable[Start Date],"")),"◆",""))</x:f>
      </x:c>
      <x:c r="AM16" s="90" t="str">
        <x:f>IF($A16="","",IF(AND($G16="Yes",AM$2=XLOOKUP($A16,TasksTable[Task ID],TasksTable[Start Date],"")),"◆",""))</x:f>
      </x:c>
      <x:c r="AN16" s="90" t="str">
        <x:f>IF($A16="","",IF(AND($G16="Yes",AN$2=XLOOKUP($A16,TasksTable[Task ID],TasksTable[Start Date],"")),"◆",""))</x:f>
      </x:c>
      <x:c r="AO16" s="90" t="str">
        <x:f>IF($A16="","",IF(AND($G16="Yes",AO$2=XLOOKUP($A16,TasksTable[Task ID],TasksTable[Start Date],"")),"◆",""))</x:f>
      </x:c>
    </x:row>
    <x:row r="17">
      <x:c r="A17" s="10" t="str">
        <x:f>IFERROR(INDEX(TasksTable[Task ID],ROWS($A$4:A17)),"")</x:f>
        <x:v>T12</x:v>
      </x:c>
      <x:c r="B17" s="10" t="str">
        <x:f>IF($A17="","",IFERROR(XLOOKUP($A17,TasksTable[Task ID],TasksTable[Phase],""),""))</x:f>
        <x:v>M3 · Sandbox Isolation &amp; Specialist Sub-Agent Readiness</x:v>
      </x:c>
      <x:c r="C17" s="10" t="str">
        <x:f>IF($A17="","",IFERROR(XLOOKUP($A17,TasksTable[Task ID],TasksTable[Task Name],""),""))</x:f>
        <x:v>Configure sandbox network proxy with strict egress allowlisting (DENY_ALL)</x:v>
      </x:c>
      <x:c r="D17" s="10" t="str">
        <x:f>IF($A17="","",IFERROR(XLOOKUP($A17,TasksTable[Task ID],TasksTable[Status],""),""))</x:f>
        <x:v>Not Started</x:v>
      </x:c>
      <x:c r="E17" s="86" t="n">
        <x:f>IF($A17="","",IFERROR(XLOOKUP($A17,TasksTable[Task ID],TasksTable[Progress %],0),0))</x:f>
        <x:v>0</x:v>
      </x:c>
      <x:c r="F17" s="10" t="str">
        <x:f>IF($A17="","",IFERROR(XLOOKUP($A17,TasksTable[Task ID],TasksTable[Schedule Health],""),""))</x:f>
        <x:v>On Track</x:v>
      </x:c>
      <x:c r="G17" s="10" t="str">
        <x:f>IF($A17="","",IFERROR(XLOOKUP($A17,TasksTable[Task ID],TasksTable[Milestone],""),""))</x:f>
        <x:v>No</x:v>
      </x:c>
      <x:c r="H17" s="90" t="str">
        <x:f>IF($A17="","",IF(AND($G17="Yes",H$2=XLOOKUP($A17,TasksTable[Task ID],TasksTable[Start Date],"")),"◆",""))</x:f>
      </x:c>
      <x:c r="I17" s="90" t="str">
        <x:f>IF($A17="","",IF(AND($G17="Yes",I$2=XLOOKUP($A17,TasksTable[Task ID],TasksTable[Start Date],"")),"◆",""))</x:f>
      </x:c>
      <x:c r="J17" s="90" t="str">
        <x:f>IF($A17="","",IF(AND($G17="Yes",J$2=XLOOKUP($A17,TasksTable[Task ID],TasksTable[Start Date],"")),"◆",""))</x:f>
      </x:c>
      <x:c r="K17" s="90" t="str">
        <x:f>IF($A17="","",IF(AND($G17="Yes",K$2=XLOOKUP($A17,TasksTable[Task ID],TasksTable[Start Date],"")),"◆",""))</x:f>
      </x:c>
      <x:c r="L17" s="90" t="str">
        <x:f>IF($A17="","",IF(AND($G17="Yes",L$2=XLOOKUP($A17,TasksTable[Task ID],TasksTable[Start Date],"")),"◆",""))</x:f>
      </x:c>
      <x:c r="M17" s="90" t="str">
        <x:f>IF($A17="","",IF(AND($G17="Yes",M$2=XLOOKUP($A17,TasksTable[Task ID],TasksTable[Start Date],"")),"◆",""))</x:f>
      </x:c>
      <x:c r="N17" s="90" t="str">
        <x:f>IF($A17="","",IF(AND($G17="Yes",N$2=XLOOKUP($A17,TasksTable[Task ID],TasksTable[Start Date],"")),"◆",""))</x:f>
      </x:c>
      <x:c r="O17" s="90" t="str">
        <x:f>IF($A17="","",IF(AND($G17="Yes",O$2=XLOOKUP($A17,TasksTable[Task ID],TasksTable[Start Date],"")),"◆",""))</x:f>
      </x:c>
      <x:c r="P17" s="90" t="str">
        <x:f>IF($A17="","",IF(AND($G17="Yes",P$2=XLOOKUP($A17,TasksTable[Task ID],TasksTable[Start Date],"")),"◆",""))</x:f>
      </x:c>
      <x:c r="Q17" s="90" t="str">
        <x:f>IF($A17="","",IF(AND($G17="Yes",Q$2=XLOOKUP($A17,TasksTable[Task ID],TasksTable[Start Date],"")),"◆",""))</x:f>
      </x:c>
      <x:c r="R17" s="90" t="str">
        <x:f>IF($A17="","",IF(AND($G17="Yes",R$2=XLOOKUP($A17,TasksTable[Task ID],TasksTable[Start Date],"")),"◆",""))</x:f>
      </x:c>
      <x:c r="S17" s="90" t="str">
        <x:f>IF($A17="","",IF(AND($G17="Yes",S$2=XLOOKUP($A17,TasksTable[Task ID],TasksTable[Start Date],"")),"◆",""))</x:f>
      </x:c>
      <x:c r="T17" s="90" t="str">
        <x:f>IF($A17="","",IF(AND($G17="Yes",T$2=XLOOKUP($A17,TasksTable[Task ID],TasksTable[Start Date],"")),"◆",""))</x:f>
      </x:c>
      <x:c r="U17" s="90" t="str">
        <x:f>IF($A17="","",IF(AND($G17="Yes",U$2=XLOOKUP($A17,TasksTable[Task ID],TasksTable[Start Date],"")),"◆",""))</x:f>
      </x:c>
      <x:c r="V17" s="90" t="str">
        <x:f>IF($A17="","",IF(AND($G17="Yes",V$2=XLOOKUP($A17,TasksTable[Task ID],TasksTable[Start Date],"")),"◆",""))</x:f>
      </x:c>
      <x:c r="W17" s="90" t="str">
        <x:f>IF($A17="","",IF(AND($G17="Yes",W$2=XLOOKUP($A17,TasksTable[Task ID],TasksTable[Start Date],"")),"◆",""))</x:f>
      </x:c>
      <x:c r="X17" s="90" t="str">
        <x:f>IF($A17="","",IF(AND($G17="Yes",X$2=XLOOKUP($A17,TasksTable[Task ID],TasksTable[Start Date],"")),"◆",""))</x:f>
      </x:c>
      <x:c r="Y17" s="90" t="str">
        <x:f>IF($A17="","",IF(AND($G17="Yes",Y$2=XLOOKUP($A17,TasksTable[Task ID],TasksTable[Start Date],"")),"◆",""))</x:f>
      </x:c>
      <x:c r="Z17" s="90" t="str">
        <x:f>IF($A17="","",IF(AND($G17="Yes",Z$2=XLOOKUP($A17,TasksTable[Task ID],TasksTable[Start Date],"")),"◆",""))</x:f>
      </x:c>
      <x:c r="AA17" s="90" t="str">
        <x:f>IF($A17="","",IF(AND($G17="Yes",AA$2=XLOOKUP($A17,TasksTable[Task ID],TasksTable[Start Date],"")),"◆",""))</x:f>
      </x:c>
      <x:c r="AB17" s="90" t="str">
        <x:f>IF($A17="","",IF(AND($G17="Yes",AB$2=XLOOKUP($A17,TasksTable[Task ID],TasksTable[Start Date],"")),"◆",""))</x:f>
      </x:c>
      <x:c r="AC17" s="90" t="str">
        <x:f>IF($A17="","",IF(AND($G17="Yes",AC$2=XLOOKUP($A17,TasksTable[Task ID],TasksTable[Start Date],"")),"◆",""))</x:f>
      </x:c>
      <x:c r="AD17" s="90" t="str">
        <x:f>IF($A17="","",IF(AND($G17="Yes",AD$2=XLOOKUP($A17,TasksTable[Task ID],TasksTable[Start Date],"")),"◆",""))</x:f>
      </x:c>
      <x:c r="AE17" s="90" t="str">
        <x:f>IF($A17="","",IF(AND($G17="Yes",AE$2=XLOOKUP($A17,TasksTable[Task ID],TasksTable[Start Date],"")),"◆",""))</x:f>
      </x:c>
      <x:c r="AF17" s="90" t="str">
        <x:f>IF($A17="","",IF(AND($G17="Yes",AF$2=XLOOKUP($A17,TasksTable[Task ID],TasksTable[Start Date],"")),"◆",""))</x:f>
      </x:c>
      <x:c r="AG17" s="90" t="str">
        <x:f>IF($A17="","",IF(AND($G17="Yes",AG$2=XLOOKUP($A17,TasksTable[Task ID],TasksTable[Start Date],"")),"◆",""))</x:f>
      </x:c>
      <x:c r="AH17" s="90" t="str">
        <x:f>IF($A17="","",IF(AND($G17="Yes",AH$2=XLOOKUP($A17,TasksTable[Task ID],TasksTable[Start Date],"")),"◆",""))</x:f>
      </x:c>
      <x:c r="AI17" s="90" t="str">
        <x:f>IF($A17="","",IF(AND($G17="Yes",AI$2=XLOOKUP($A17,TasksTable[Task ID],TasksTable[Start Date],"")),"◆",""))</x:f>
      </x:c>
      <x:c r="AJ17" s="90" t="str">
        <x:f>IF($A17="","",IF(AND($G17="Yes",AJ$2=XLOOKUP($A17,TasksTable[Task ID],TasksTable[Start Date],"")),"◆",""))</x:f>
      </x:c>
      <x:c r="AK17" s="90" t="str">
        <x:f>IF($A17="","",IF(AND($G17="Yes",AK$2=XLOOKUP($A17,TasksTable[Task ID],TasksTable[Start Date],"")),"◆",""))</x:f>
      </x:c>
      <x:c r="AL17" s="90" t="str">
        <x:f>IF($A17="","",IF(AND($G17="Yes",AL$2=XLOOKUP($A17,TasksTable[Task ID],TasksTable[Start Date],"")),"◆",""))</x:f>
      </x:c>
      <x:c r="AM17" s="90" t="str">
        <x:f>IF($A17="","",IF(AND($G17="Yes",AM$2=XLOOKUP($A17,TasksTable[Task ID],TasksTable[Start Date],"")),"◆",""))</x:f>
      </x:c>
      <x:c r="AN17" s="90" t="str">
        <x:f>IF($A17="","",IF(AND($G17="Yes",AN$2=XLOOKUP($A17,TasksTable[Task ID],TasksTable[Start Date],"")),"◆",""))</x:f>
      </x:c>
      <x:c r="AO17" s="90" t="str">
        <x:f>IF($A17="","",IF(AND($G17="Yes",AO$2=XLOOKUP($A17,TasksTable[Task ID],TasksTable[Start Date],"")),"◆",""))</x:f>
      </x:c>
    </x:row>
    <x:row r="18">
      <x:c r="A18" s="10" t="str">
        <x:f>IFERROR(INDEX(TasksTable[Task ID],ROWS($A$4:A18)),"")</x:f>
        <x:v>T13</x:v>
      </x:c>
      <x:c r="B18" s="10" t="str">
        <x:f>IF($A18="","",IFERROR(XLOOKUP($A18,TasksTable[Task ID],TasksTable[Phase],""),""))</x:f>
        <x:v>M3 · Sandbox Isolation &amp; Specialist Sub-Agent Readiness</x:v>
      </x:c>
      <x:c r="C18" s="10" t="str">
        <x:f>IF($A18="","",IFERROR(XLOOKUP($A18,TasksTable[Task ID],TasksTable[Task Name],""),""))</x:f>
        <x:v>Implement sandbox execution audit interception to W3C PROV ledger</x:v>
      </x:c>
      <x:c r="D18" s="10" t="str">
        <x:f>IF($A18="","",IFERROR(XLOOKUP($A18,TasksTable[Task ID],TasksTable[Status],""),""))</x:f>
        <x:v>Not Started</x:v>
      </x:c>
      <x:c r="E18" s="86" t="n">
        <x:f>IF($A18="","",IFERROR(XLOOKUP($A18,TasksTable[Task ID],TasksTable[Progress %],0),0))</x:f>
        <x:v>0</x:v>
      </x:c>
      <x:c r="F18" s="10" t="str">
        <x:f>IF($A18="","",IFERROR(XLOOKUP($A18,TasksTable[Task ID],TasksTable[Schedule Health],""),""))</x:f>
        <x:v>On Track</x:v>
      </x:c>
      <x:c r="G18" s="10" t="str">
        <x:f>IF($A18="","",IFERROR(XLOOKUP($A18,TasksTable[Task ID],TasksTable[Milestone],""),""))</x:f>
        <x:v>No</x:v>
      </x:c>
      <x:c r="H18" s="90" t="str">
        <x:f>IF($A18="","",IF(AND($G18="Yes",H$2=XLOOKUP($A18,TasksTable[Task ID],TasksTable[Start Date],"")),"◆",""))</x:f>
      </x:c>
      <x:c r="I18" s="90" t="str">
        <x:f>IF($A18="","",IF(AND($G18="Yes",I$2=XLOOKUP($A18,TasksTable[Task ID],TasksTable[Start Date],"")),"◆",""))</x:f>
      </x:c>
      <x:c r="J18" s="90" t="str">
        <x:f>IF($A18="","",IF(AND($G18="Yes",J$2=XLOOKUP($A18,TasksTable[Task ID],TasksTable[Start Date],"")),"◆",""))</x:f>
      </x:c>
      <x:c r="K18" s="90" t="str">
        <x:f>IF($A18="","",IF(AND($G18="Yes",K$2=XLOOKUP($A18,TasksTable[Task ID],TasksTable[Start Date],"")),"◆",""))</x:f>
      </x:c>
      <x:c r="L18" s="90" t="str">
        <x:f>IF($A18="","",IF(AND($G18="Yes",L$2=XLOOKUP($A18,TasksTable[Task ID],TasksTable[Start Date],"")),"◆",""))</x:f>
      </x:c>
      <x:c r="M18" s="90" t="str">
        <x:f>IF($A18="","",IF(AND($G18="Yes",M$2=XLOOKUP($A18,TasksTable[Task ID],TasksTable[Start Date],"")),"◆",""))</x:f>
      </x:c>
      <x:c r="N18" s="90" t="str">
        <x:f>IF($A18="","",IF(AND($G18="Yes",N$2=XLOOKUP($A18,TasksTable[Task ID],TasksTable[Start Date],"")),"◆",""))</x:f>
      </x:c>
      <x:c r="O18" s="90" t="str">
        <x:f>IF($A18="","",IF(AND($G18="Yes",O$2=XLOOKUP($A18,TasksTable[Task ID],TasksTable[Start Date],"")),"◆",""))</x:f>
      </x:c>
      <x:c r="P18" s="90" t="str">
        <x:f>IF($A18="","",IF(AND($G18="Yes",P$2=XLOOKUP($A18,TasksTable[Task ID],TasksTable[Start Date],"")),"◆",""))</x:f>
      </x:c>
      <x:c r="Q18" s="90" t="str">
        <x:f>IF($A18="","",IF(AND($G18="Yes",Q$2=XLOOKUP($A18,TasksTable[Task ID],TasksTable[Start Date],"")),"◆",""))</x:f>
      </x:c>
      <x:c r="R18" s="90" t="str">
        <x:f>IF($A18="","",IF(AND($G18="Yes",R$2=XLOOKUP($A18,TasksTable[Task ID],TasksTable[Start Date],"")),"◆",""))</x:f>
      </x:c>
      <x:c r="S18" s="90" t="str">
        <x:f>IF($A18="","",IF(AND($G18="Yes",S$2=XLOOKUP($A18,TasksTable[Task ID],TasksTable[Start Date],"")),"◆",""))</x:f>
      </x:c>
      <x:c r="T18" s="90" t="str">
        <x:f>IF($A18="","",IF(AND($G18="Yes",T$2=XLOOKUP($A18,TasksTable[Task ID],TasksTable[Start Date],"")),"◆",""))</x:f>
      </x:c>
      <x:c r="U18" s="90" t="str">
        <x:f>IF($A18="","",IF(AND($G18="Yes",U$2=XLOOKUP($A18,TasksTable[Task ID],TasksTable[Start Date],"")),"◆",""))</x:f>
      </x:c>
      <x:c r="V18" s="90" t="str">
        <x:f>IF($A18="","",IF(AND($G18="Yes",V$2=XLOOKUP($A18,TasksTable[Task ID],TasksTable[Start Date],"")),"◆",""))</x:f>
      </x:c>
      <x:c r="W18" s="90" t="str">
        <x:f>IF($A18="","",IF(AND($G18="Yes",W$2=XLOOKUP($A18,TasksTable[Task ID],TasksTable[Start Date],"")),"◆",""))</x:f>
      </x:c>
      <x:c r="X18" s="90" t="str">
        <x:f>IF($A18="","",IF(AND($G18="Yes",X$2=XLOOKUP($A18,TasksTable[Task ID],TasksTable[Start Date],"")),"◆",""))</x:f>
      </x:c>
      <x:c r="Y18" s="90" t="str">
        <x:f>IF($A18="","",IF(AND($G18="Yes",Y$2=XLOOKUP($A18,TasksTable[Task ID],TasksTable[Start Date],"")),"◆",""))</x:f>
      </x:c>
      <x:c r="Z18" s="90" t="str">
        <x:f>IF($A18="","",IF(AND($G18="Yes",Z$2=XLOOKUP($A18,TasksTable[Task ID],TasksTable[Start Date],"")),"◆",""))</x:f>
      </x:c>
      <x:c r="AA18" s="90" t="str">
        <x:f>IF($A18="","",IF(AND($G18="Yes",AA$2=XLOOKUP($A18,TasksTable[Task ID],TasksTable[Start Date],"")),"◆",""))</x:f>
      </x:c>
      <x:c r="AB18" s="90" t="str">
        <x:f>IF($A18="","",IF(AND($G18="Yes",AB$2=XLOOKUP($A18,TasksTable[Task ID],TasksTable[Start Date],"")),"◆",""))</x:f>
      </x:c>
      <x:c r="AC18" s="90" t="str">
        <x:f>IF($A18="","",IF(AND($G18="Yes",AC$2=XLOOKUP($A18,TasksTable[Task ID],TasksTable[Start Date],"")),"◆",""))</x:f>
      </x:c>
      <x:c r="AD18" s="90" t="str">
        <x:f>IF($A18="","",IF(AND($G18="Yes",AD$2=XLOOKUP($A18,TasksTable[Task ID],TasksTable[Start Date],"")),"◆",""))</x:f>
      </x:c>
      <x:c r="AE18" s="90" t="str">
        <x:f>IF($A18="","",IF(AND($G18="Yes",AE$2=XLOOKUP($A18,TasksTable[Task ID],TasksTable[Start Date],"")),"◆",""))</x:f>
      </x:c>
      <x:c r="AF18" s="90" t="str">
        <x:f>IF($A18="","",IF(AND($G18="Yes",AF$2=XLOOKUP($A18,TasksTable[Task ID],TasksTable[Start Date],"")),"◆",""))</x:f>
      </x:c>
      <x:c r="AG18" s="90" t="str">
        <x:f>IF($A18="","",IF(AND($G18="Yes",AG$2=XLOOKUP($A18,TasksTable[Task ID],TasksTable[Start Date],"")),"◆",""))</x:f>
      </x:c>
      <x:c r="AH18" s="90" t="str">
        <x:f>IF($A18="","",IF(AND($G18="Yes",AH$2=XLOOKUP($A18,TasksTable[Task ID],TasksTable[Start Date],"")),"◆",""))</x:f>
      </x:c>
      <x:c r="AI18" s="90" t="str">
        <x:f>IF($A18="","",IF(AND($G18="Yes",AI$2=XLOOKUP($A18,TasksTable[Task ID],TasksTable[Start Date],"")),"◆",""))</x:f>
      </x:c>
      <x:c r="AJ18" s="90" t="str">
        <x:f>IF($A18="","",IF(AND($G18="Yes",AJ$2=XLOOKUP($A18,TasksTable[Task ID],TasksTable[Start Date],"")),"◆",""))</x:f>
      </x:c>
      <x:c r="AK18" s="90" t="str">
        <x:f>IF($A18="","",IF(AND($G18="Yes",AK$2=XLOOKUP($A18,TasksTable[Task ID],TasksTable[Start Date],"")),"◆",""))</x:f>
      </x:c>
      <x:c r="AL18" s="90" t="str">
        <x:f>IF($A18="","",IF(AND($G18="Yes",AL$2=XLOOKUP($A18,TasksTable[Task ID],TasksTable[Start Date],"")),"◆",""))</x:f>
      </x:c>
      <x:c r="AM18" s="90" t="str">
        <x:f>IF($A18="","",IF(AND($G18="Yes",AM$2=XLOOKUP($A18,TasksTable[Task ID],TasksTable[Start Date],"")),"◆",""))</x:f>
      </x:c>
      <x:c r="AN18" s="90" t="str">
        <x:f>IF($A18="","",IF(AND($G18="Yes",AN$2=XLOOKUP($A18,TasksTable[Task ID],TasksTable[Start Date],"")),"◆",""))</x:f>
      </x:c>
      <x:c r="AO18" s="90" t="str">
        <x:f>IF($A18="","",IF(AND($G18="Yes",AO$2=XLOOKUP($A18,TasksTable[Task ID],TasksTable[Start Date],"")),"◆",""))</x:f>
      </x:c>
    </x:row>
    <x:row r="19">
      <x:c r="A19" s="10" t="str">
        <x:f>IFERROR(INDEX(TasksTable[Task ID],ROWS($A$4:A19)),"")</x:f>
        <x:v>T14</x:v>
      </x:c>
      <x:c r="B19" s="10" t="str">
        <x:f>IF($A19="","",IFERROR(XLOOKUP($A19,TasksTable[Task ID],TasksTable[Phase],""),""))</x:f>
        <x:v>M3 · Sandbox Isolation &amp; Specialist Sub-Agent Readiness</x:v>
      </x:c>
      <x:c r="C19" s="10" t="str">
        <x:f>IF($A19="","",IFERROR(XLOOKUP($A19,TasksTable[Task ID],TasksTable[Task Name],""),""))</x:f>
        <x:v>Instantiate specialist sub-agent micro-tools (S_CODE to S_ATTR) in sandbox</x:v>
      </x:c>
      <x:c r="D19" s="10" t="str">
        <x:f>IF($A19="","",IFERROR(XLOOKUP($A19,TasksTable[Task ID],TasksTable[Status],""),""))</x:f>
        <x:v>Not Started</x:v>
      </x:c>
      <x:c r="E19" s="86" t="n">
        <x:f>IF($A19="","",IFERROR(XLOOKUP($A19,TasksTable[Task ID],TasksTable[Progress %],0),0))</x:f>
        <x:v>0</x:v>
      </x:c>
      <x:c r="F19" s="10" t="str">
        <x:f>IF($A19="","",IFERROR(XLOOKUP($A19,TasksTable[Task ID],TasksTable[Schedule Health],""),""))</x:f>
        <x:v>On Track</x:v>
      </x:c>
      <x:c r="G19" s="10" t="str">
        <x:f>IF($A19="","",IFERROR(XLOOKUP($A19,TasksTable[Task ID],TasksTable[Milestone],""),""))</x:f>
        <x:v>No</x:v>
      </x:c>
      <x:c r="H19" s="90" t="str">
        <x:f>IF($A19="","",IF(AND($G19="Yes",H$2=XLOOKUP($A19,TasksTable[Task ID],TasksTable[Start Date],"")),"◆",""))</x:f>
      </x:c>
      <x:c r="I19" s="90" t="str">
        <x:f>IF($A19="","",IF(AND($G19="Yes",I$2=XLOOKUP($A19,TasksTable[Task ID],TasksTable[Start Date],"")),"◆",""))</x:f>
      </x:c>
      <x:c r="J19" s="90" t="str">
        <x:f>IF($A19="","",IF(AND($G19="Yes",J$2=XLOOKUP($A19,TasksTable[Task ID],TasksTable[Start Date],"")),"◆",""))</x:f>
      </x:c>
      <x:c r="K19" s="90" t="str">
        <x:f>IF($A19="","",IF(AND($G19="Yes",K$2=XLOOKUP($A19,TasksTable[Task ID],TasksTable[Start Date],"")),"◆",""))</x:f>
      </x:c>
      <x:c r="L19" s="90" t="str">
        <x:f>IF($A19="","",IF(AND($G19="Yes",L$2=XLOOKUP($A19,TasksTable[Task ID],TasksTable[Start Date],"")),"◆",""))</x:f>
      </x:c>
      <x:c r="M19" s="90" t="str">
        <x:f>IF($A19="","",IF(AND($G19="Yes",M$2=XLOOKUP($A19,TasksTable[Task ID],TasksTable[Start Date],"")),"◆",""))</x:f>
      </x:c>
      <x:c r="N19" s="90" t="str">
        <x:f>IF($A19="","",IF(AND($G19="Yes",N$2=XLOOKUP($A19,TasksTable[Task ID],TasksTable[Start Date],"")),"◆",""))</x:f>
      </x:c>
      <x:c r="O19" s="90" t="str">
        <x:f>IF($A19="","",IF(AND($G19="Yes",O$2=XLOOKUP($A19,TasksTable[Task ID],TasksTable[Start Date],"")),"◆",""))</x:f>
      </x:c>
      <x:c r="P19" s="90" t="str">
        <x:f>IF($A19="","",IF(AND($G19="Yes",P$2=XLOOKUP($A19,TasksTable[Task ID],TasksTable[Start Date],"")),"◆",""))</x:f>
      </x:c>
      <x:c r="Q19" s="90" t="str">
        <x:f>IF($A19="","",IF(AND($G19="Yes",Q$2=XLOOKUP($A19,TasksTable[Task ID],TasksTable[Start Date],"")),"◆",""))</x:f>
      </x:c>
      <x:c r="R19" s="90" t="str">
        <x:f>IF($A19="","",IF(AND($G19="Yes",R$2=XLOOKUP($A19,TasksTable[Task ID],TasksTable[Start Date],"")),"◆",""))</x:f>
      </x:c>
      <x:c r="S19" s="90" t="str">
        <x:f>IF($A19="","",IF(AND($G19="Yes",S$2=XLOOKUP($A19,TasksTable[Task ID],TasksTable[Start Date],"")),"◆",""))</x:f>
      </x:c>
      <x:c r="T19" s="90" t="str">
        <x:f>IF($A19="","",IF(AND($G19="Yes",T$2=XLOOKUP($A19,TasksTable[Task ID],TasksTable[Start Date],"")),"◆",""))</x:f>
      </x:c>
      <x:c r="U19" s="90" t="str">
        <x:f>IF($A19="","",IF(AND($G19="Yes",U$2=XLOOKUP($A19,TasksTable[Task ID],TasksTable[Start Date],"")),"◆",""))</x:f>
      </x:c>
      <x:c r="V19" s="90" t="str">
        <x:f>IF($A19="","",IF(AND($G19="Yes",V$2=XLOOKUP($A19,TasksTable[Task ID],TasksTable[Start Date],"")),"◆",""))</x:f>
      </x:c>
      <x:c r="W19" s="90" t="str">
        <x:f>IF($A19="","",IF(AND($G19="Yes",W$2=XLOOKUP($A19,TasksTable[Task ID],TasksTable[Start Date],"")),"◆",""))</x:f>
      </x:c>
      <x:c r="X19" s="90" t="str">
        <x:f>IF($A19="","",IF(AND($G19="Yes",X$2=XLOOKUP($A19,TasksTable[Task ID],TasksTable[Start Date],"")),"◆",""))</x:f>
      </x:c>
      <x:c r="Y19" s="90" t="str">
        <x:f>IF($A19="","",IF(AND($G19="Yes",Y$2=XLOOKUP($A19,TasksTable[Task ID],TasksTable[Start Date],"")),"◆",""))</x:f>
      </x:c>
      <x:c r="Z19" s="90" t="str">
        <x:f>IF($A19="","",IF(AND($G19="Yes",Z$2=XLOOKUP($A19,TasksTable[Task ID],TasksTable[Start Date],"")),"◆",""))</x:f>
      </x:c>
      <x:c r="AA19" s="90" t="str">
        <x:f>IF($A19="","",IF(AND($G19="Yes",AA$2=XLOOKUP($A19,TasksTable[Task ID],TasksTable[Start Date],"")),"◆",""))</x:f>
      </x:c>
      <x:c r="AB19" s="90" t="str">
        <x:f>IF($A19="","",IF(AND($G19="Yes",AB$2=XLOOKUP($A19,TasksTable[Task ID],TasksTable[Start Date],"")),"◆",""))</x:f>
      </x:c>
      <x:c r="AC19" s="90" t="str">
        <x:f>IF($A19="","",IF(AND($G19="Yes",AC$2=XLOOKUP($A19,TasksTable[Task ID],TasksTable[Start Date],"")),"◆",""))</x:f>
      </x:c>
      <x:c r="AD19" s="90" t="str">
        <x:f>IF($A19="","",IF(AND($G19="Yes",AD$2=XLOOKUP($A19,TasksTable[Task ID],TasksTable[Start Date],"")),"◆",""))</x:f>
      </x:c>
      <x:c r="AE19" s="90" t="str">
        <x:f>IF($A19="","",IF(AND($G19="Yes",AE$2=XLOOKUP($A19,TasksTable[Task ID],TasksTable[Start Date],"")),"◆",""))</x:f>
      </x:c>
      <x:c r="AF19" s="90" t="str">
        <x:f>IF($A19="","",IF(AND($G19="Yes",AF$2=XLOOKUP($A19,TasksTable[Task ID],TasksTable[Start Date],"")),"◆",""))</x:f>
      </x:c>
      <x:c r="AG19" s="90" t="str">
        <x:f>IF($A19="","",IF(AND($G19="Yes",AG$2=XLOOKUP($A19,TasksTable[Task ID],TasksTable[Start Date],"")),"◆",""))</x:f>
      </x:c>
      <x:c r="AH19" s="90" t="str">
        <x:f>IF($A19="","",IF(AND($G19="Yes",AH$2=XLOOKUP($A19,TasksTable[Task ID],TasksTable[Start Date],"")),"◆",""))</x:f>
      </x:c>
      <x:c r="AI19" s="90" t="str">
        <x:f>IF($A19="","",IF(AND($G19="Yes",AI$2=XLOOKUP($A19,TasksTable[Task ID],TasksTable[Start Date],"")),"◆",""))</x:f>
      </x:c>
      <x:c r="AJ19" s="90" t="str">
        <x:f>IF($A19="","",IF(AND($G19="Yes",AJ$2=XLOOKUP($A19,TasksTable[Task ID],TasksTable[Start Date],"")),"◆",""))</x:f>
      </x:c>
      <x:c r="AK19" s="90" t="str">
        <x:f>IF($A19="","",IF(AND($G19="Yes",AK$2=XLOOKUP($A19,TasksTable[Task ID],TasksTable[Start Date],"")),"◆",""))</x:f>
      </x:c>
      <x:c r="AL19" s="90" t="str">
        <x:f>IF($A19="","",IF(AND($G19="Yes",AL$2=XLOOKUP($A19,TasksTable[Task ID],TasksTable[Start Date],"")),"◆",""))</x:f>
      </x:c>
      <x:c r="AM19" s="90" t="str">
        <x:f>IF($A19="","",IF(AND($G19="Yes",AM$2=XLOOKUP($A19,TasksTable[Task ID],TasksTable[Start Date],"")),"◆",""))</x:f>
      </x:c>
      <x:c r="AN19" s="90" t="str">
        <x:f>IF($A19="","",IF(AND($G19="Yes",AN$2=XLOOKUP($A19,TasksTable[Task ID],TasksTable[Start Date],"")),"◆",""))</x:f>
      </x:c>
      <x:c r="AO19" s="90" t="str">
        <x:f>IF($A19="","",IF(AND($G19="Yes",AO$2=XLOOKUP($A19,TasksTable[Task ID],TasksTable[Start Date],"")),"◆",""))</x:f>
      </x:c>
    </x:row>
    <x:row r="20">
      <x:c r="A20" s="10" t="str">
        <x:f>IFERROR(INDEX(TasksTable[Task ID],ROWS($A$4:A20)),"")</x:f>
        <x:v>M3</x:v>
      </x:c>
      <x:c r="B20" s="10" t="str">
        <x:f>IF($A20="","",IFERROR(XLOOKUP($A20,TasksTable[Task ID],TasksTable[Phase],""),""))</x:f>
        <x:v>M3 · Sandbox Isolation &amp; Specialist Sub-Agent Readiness</x:v>
      </x:c>
      <x:c r="C20" s="10" t="str">
        <x:f>IF($A20="","",IFERROR(XLOOKUP($A20,TasksTable[Task ID],TasksTable[Task Name],""),""))</x:f>
        <x:v>Sandbox Isolation &amp; Specialist Sub-Agent Readiness</x:v>
      </x:c>
      <x:c r="D20" s="10" t="str">
        <x:f>IF($A20="","",IFERROR(XLOOKUP($A20,TasksTable[Task ID],TasksTable[Status],""),""))</x:f>
        <x:v>Not Started</x:v>
      </x:c>
      <x:c r="E20" s="86" t="n">
        <x:f>IF($A20="","",IFERROR(XLOOKUP($A20,TasksTable[Task ID],TasksTable[Progress %],0),0))</x:f>
        <x:v>0</x:v>
      </x:c>
      <x:c r="F20" s="10" t="str">
        <x:f>IF($A20="","",IFERROR(XLOOKUP($A20,TasksTable[Task ID],TasksTable[Schedule Health],""),""))</x:f>
        <x:v>On Track</x:v>
      </x:c>
      <x:c r="G20" s="10" t="str">
        <x:f>IF($A20="","",IFERROR(XLOOKUP($A20,TasksTable[Task ID],TasksTable[Milestone],""),""))</x:f>
        <x:v>Yes</x:v>
      </x:c>
      <x:c r="H20" s="90" t="str">
        <x:f>IF($A20="","",IF(AND($G20="Yes",H$2=XLOOKUP($A20,TasksTable[Task ID],TasksTable[Start Date],"")),"◆",""))</x:f>
      </x:c>
      <x:c r="I20" s="90" t="str">
        <x:f>IF($A20="","",IF(AND($G20="Yes",I$2=XLOOKUP($A20,TasksTable[Task ID],TasksTable[Start Date],"")),"◆",""))</x:f>
      </x:c>
      <x:c r="J20" s="90" t="str">
        <x:f>IF($A20="","",IF(AND($G20="Yes",J$2=XLOOKUP($A20,TasksTable[Task ID],TasksTable[Start Date],"")),"◆",""))</x:f>
      </x:c>
      <x:c r="K20" s="90" t="str">
        <x:f>IF($A20="","",IF(AND($G20="Yes",K$2=XLOOKUP($A20,TasksTable[Task ID],TasksTable[Start Date],"")),"◆",""))</x:f>
      </x:c>
      <x:c r="L20" s="90" t="str">
        <x:f>IF($A20="","",IF(AND($G20="Yes",L$2=XLOOKUP($A20,TasksTable[Task ID],TasksTable[Start Date],"")),"◆",""))</x:f>
      </x:c>
      <x:c r="M20" s="90" t="str">
        <x:f>IF($A20="","",IF(AND($G20="Yes",M$2=XLOOKUP($A20,TasksTable[Task ID],TasksTable[Start Date],"")),"◆",""))</x:f>
      </x:c>
      <x:c r="N20" s="90" t="str">
        <x:f>IF($A20="","",IF(AND($G20="Yes",N$2=XLOOKUP($A20,TasksTable[Task ID],TasksTable[Start Date],"")),"◆",""))</x:f>
      </x:c>
      <x:c r="O20" s="90" t="str">
        <x:f>IF($A20="","",IF(AND($G20="Yes",O$2=XLOOKUP($A20,TasksTable[Task ID],TasksTable[Start Date],"")),"◆",""))</x:f>
      </x:c>
      <x:c r="P20" s="90" t="str">
        <x:f>IF($A20="","",IF(AND($G20="Yes",P$2=XLOOKUP($A20,TasksTable[Task ID],TasksTable[Start Date],"")),"◆",""))</x:f>
      </x:c>
      <x:c r="Q20" s="90" t="str">
        <x:f>IF($A20="","",IF(AND($G20="Yes",Q$2=XLOOKUP($A20,TasksTable[Task ID],TasksTable[Start Date],"")),"◆",""))</x:f>
      </x:c>
      <x:c r="R20" s="90" t="str">
        <x:f>IF($A20="","",IF(AND($G20="Yes",R$2=XLOOKUP($A20,TasksTable[Task ID],TasksTable[Start Date],"")),"◆",""))</x:f>
      </x:c>
      <x:c r="S20" s="90" t="str">
        <x:f>IF($A20="","",IF(AND($G20="Yes",S$2=XLOOKUP($A20,TasksTable[Task ID],TasksTable[Start Date],"")),"◆",""))</x:f>
      </x:c>
      <x:c r="T20" s="90" t="str">
        <x:f>IF($A20="","",IF(AND($G20="Yes",T$2=XLOOKUP($A20,TasksTable[Task ID],TasksTable[Start Date],"")),"◆",""))</x:f>
        <x:v>◆</x:v>
      </x:c>
      <x:c r="U20" s="90" t="str">
        <x:f>IF($A20="","",IF(AND($G20="Yes",U$2=XLOOKUP($A20,TasksTable[Task ID],TasksTable[Start Date],"")),"◆",""))</x:f>
      </x:c>
      <x:c r="V20" s="90" t="str">
        <x:f>IF($A20="","",IF(AND($G20="Yes",V$2=XLOOKUP($A20,TasksTable[Task ID],TasksTable[Start Date],"")),"◆",""))</x:f>
      </x:c>
      <x:c r="W20" s="90" t="str">
        <x:f>IF($A20="","",IF(AND($G20="Yes",W$2=XLOOKUP($A20,TasksTable[Task ID],TasksTable[Start Date],"")),"◆",""))</x:f>
      </x:c>
      <x:c r="X20" s="90" t="str">
        <x:f>IF($A20="","",IF(AND($G20="Yes",X$2=XLOOKUP($A20,TasksTable[Task ID],TasksTable[Start Date],"")),"◆",""))</x:f>
      </x:c>
      <x:c r="Y20" s="90" t="str">
        <x:f>IF($A20="","",IF(AND($G20="Yes",Y$2=XLOOKUP($A20,TasksTable[Task ID],TasksTable[Start Date],"")),"◆",""))</x:f>
      </x:c>
      <x:c r="Z20" s="90" t="str">
        <x:f>IF($A20="","",IF(AND($G20="Yes",Z$2=XLOOKUP($A20,TasksTable[Task ID],TasksTable[Start Date],"")),"◆",""))</x:f>
      </x:c>
      <x:c r="AA20" s="90" t="str">
        <x:f>IF($A20="","",IF(AND($G20="Yes",AA$2=XLOOKUP($A20,TasksTable[Task ID],TasksTable[Start Date],"")),"◆",""))</x:f>
      </x:c>
      <x:c r="AB20" s="90" t="str">
        <x:f>IF($A20="","",IF(AND($G20="Yes",AB$2=XLOOKUP($A20,TasksTable[Task ID],TasksTable[Start Date],"")),"◆",""))</x:f>
      </x:c>
      <x:c r="AC20" s="90" t="str">
        <x:f>IF($A20="","",IF(AND($G20="Yes",AC$2=XLOOKUP($A20,TasksTable[Task ID],TasksTable[Start Date],"")),"◆",""))</x:f>
      </x:c>
      <x:c r="AD20" s="90" t="str">
        <x:f>IF($A20="","",IF(AND($G20="Yes",AD$2=XLOOKUP($A20,TasksTable[Task ID],TasksTable[Start Date],"")),"◆",""))</x:f>
      </x:c>
      <x:c r="AE20" s="90" t="str">
        <x:f>IF($A20="","",IF(AND($G20="Yes",AE$2=XLOOKUP($A20,TasksTable[Task ID],TasksTable[Start Date],"")),"◆",""))</x:f>
      </x:c>
      <x:c r="AF20" s="90" t="str">
        <x:f>IF($A20="","",IF(AND($G20="Yes",AF$2=XLOOKUP($A20,TasksTable[Task ID],TasksTable[Start Date],"")),"◆",""))</x:f>
      </x:c>
      <x:c r="AG20" s="90" t="str">
        <x:f>IF($A20="","",IF(AND($G20="Yes",AG$2=XLOOKUP($A20,TasksTable[Task ID],TasksTable[Start Date],"")),"◆",""))</x:f>
      </x:c>
      <x:c r="AH20" s="90" t="str">
        <x:f>IF($A20="","",IF(AND($G20="Yes",AH$2=XLOOKUP($A20,TasksTable[Task ID],TasksTable[Start Date],"")),"◆",""))</x:f>
      </x:c>
      <x:c r="AI20" s="90" t="str">
        <x:f>IF($A20="","",IF(AND($G20="Yes",AI$2=XLOOKUP($A20,TasksTable[Task ID],TasksTable[Start Date],"")),"◆",""))</x:f>
      </x:c>
      <x:c r="AJ20" s="90" t="str">
        <x:f>IF($A20="","",IF(AND($G20="Yes",AJ$2=XLOOKUP($A20,TasksTable[Task ID],TasksTable[Start Date],"")),"◆",""))</x:f>
      </x:c>
      <x:c r="AK20" s="90" t="str">
        <x:f>IF($A20="","",IF(AND($G20="Yes",AK$2=XLOOKUP($A20,TasksTable[Task ID],TasksTable[Start Date],"")),"◆",""))</x:f>
      </x:c>
      <x:c r="AL20" s="90" t="str">
        <x:f>IF($A20="","",IF(AND($G20="Yes",AL$2=XLOOKUP($A20,TasksTable[Task ID],TasksTable[Start Date],"")),"◆",""))</x:f>
      </x:c>
      <x:c r="AM20" s="90" t="str">
        <x:f>IF($A20="","",IF(AND($G20="Yes",AM$2=XLOOKUP($A20,TasksTable[Task ID],TasksTable[Start Date],"")),"◆",""))</x:f>
      </x:c>
      <x:c r="AN20" s="90" t="str">
        <x:f>IF($A20="","",IF(AND($G20="Yes",AN$2=XLOOKUP($A20,TasksTable[Task ID],TasksTable[Start Date],"")),"◆",""))</x:f>
      </x:c>
      <x:c r="AO20" s="90" t="str">
        <x:f>IF($A20="","",IF(AND($G20="Yes",AO$2=XLOOKUP($A20,TasksTable[Task ID],TasksTable[Start Date],"")),"◆",""))</x:f>
      </x:c>
    </x:row>
    <x:row r="21">
      <x:c r="A21" s="10" t="str">
        <x:f>IFERROR(INDEX(TasksTable[Task ID],ROWS($A$4:A21)),"")</x:f>
        <x:v>T15</x:v>
      </x:c>
      <x:c r="B21" s="10" t="str">
        <x:f>IF($A21="","",IFERROR(XLOOKUP($A21,TasksTable[Task ID],TasksTable[Phase],""),""))</x:f>
        <x:v>M4 · Domain Intelligence Ingestion &amp; Asset Synthesis Complete</x:v>
      </x:c>
      <x:c r="C21" s="10" t="str">
        <x:f>IF($A21="","",IFERROR(XLOOKUP($A21,TasksTable[Task ID],TasksTable[Task Name],""),""))</x:f>
        <x:v>Configure Intelligence Engine context assembly &amp; brand persona layer</x:v>
      </x:c>
      <x:c r="D21" s="10" t="str">
        <x:f>IF($A21="","",IFERROR(XLOOKUP($A21,TasksTable[Task ID],TasksTable[Status],""),""))</x:f>
        <x:v>Not Started</x:v>
      </x:c>
      <x:c r="E21" s="86" t="n">
        <x:f>IF($A21="","",IFERROR(XLOOKUP($A21,TasksTable[Task ID],TasksTable[Progress %],0),0))</x:f>
        <x:v>0</x:v>
      </x:c>
      <x:c r="F21" s="10" t="str">
        <x:f>IF($A21="","",IFERROR(XLOOKUP($A21,TasksTable[Task ID],TasksTable[Schedule Health],""),""))</x:f>
        <x:v>On Track</x:v>
      </x:c>
      <x:c r="G21" s="10" t="str">
        <x:f>IF($A21="","",IFERROR(XLOOKUP($A21,TasksTable[Task ID],TasksTable[Milestone],""),""))</x:f>
        <x:v>No</x:v>
      </x:c>
      <x:c r="H21" s="90" t="str">
        <x:f>IF($A21="","",IF(AND($G21="Yes",H$2=XLOOKUP($A21,TasksTable[Task ID],TasksTable[Start Date],"")),"◆",""))</x:f>
      </x:c>
      <x:c r="I21" s="90" t="str">
        <x:f>IF($A21="","",IF(AND($G21="Yes",I$2=XLOOKUP($A21,TasksTable[Task ID],TasksTable[Start Date],"")),"◆",""))</x:f>
      </x:c>
      <x:c r="J21" s="90" t="str">
        <x:f>IF($A21="","",IF(AND($G21="Yes",J$2=XLOOKUP($A21,TasksTable[Task ID],TasksTable[Start Date],"")),"◆",""))</x:f>
      </x:c>
      <x:c r="K21" s="90" t="str">
        <x:f>IF($A21="","",IF(AND($G21="Yes",K$2=XLOOKUP($A21,TasksTable[Task ID],TasksTable[Start Date],"")),"◆",""))</x:f>
      </x:c>
      <x:c r="L21" s="90" t="str">
        <x:f>IF($A21="","",IF(AND($G21="Yes",L$2=XLOOKUP($A21,TasksTable[Task ID],TasksTable[Start Date],"")),"◆",""))</x:f>
      </x:c>
      <x:c r="M21" s="90" t="str">
        <x:f>IF($A21="","",IF(AND($G21="Yes",M$2=XLOOKUP($A21,TasksTable[Task ID],TasksTable[Start Date],"")),"◆",""))</x:f>
      </x:c>
      <x:c r="N21" s="90" t="str">
        <x:f>IF($A21="","",IF(AND($G21="Yes",N$2=XLOOKUP($A21,TasksTable[Task ID],TasksTable[Start Date],"")),"◆",""))</x:f>
      </x:c>
      <x:c r="O21" s="90" t="str">
        <x:f>IF($A21="","",IF(AND($G21="Yes",O$2=XLOOKUP($A21,TasksTable[Task ID],TasksTable[Start Date],"")),"◆",""))</x:f>
      </x:c>
      <x:c r="P21" s="90" t="str">
        <x:f>IF($A21="","",IF(AND($G21="Yes",P$2=XLOOKUP($A21,TasksTable[Task ID],TasksTable[Start Date],"")),"◆",""))</x:f>
      </x:c>
      <x:c r="Q21" s="90" t="str">
        <x:f>IF($A21="","",IF(AND($G21="Yes",Q$2=XLOOKUP($A21,TasksTable[Task ID],TasksTable[Start Date],"")),"◆",""))</x:f>
      </x:c>
      <x:c r="R21" s="90" t="str">
        <x:f>IF($A21="","",IF(AND($G21="Yes",R$2=XLOOKUP($A21,TasksTable[Task ID],TasksTable[Start Date],"")),"◆",""))</x:f>
      </x:c>
      <x:c r="S21" s="90" t="str">
        <x:f>IF($A21="","",IF(AND($G21="Yes",S$2=XLOOKUP($A21,TasksTable[Task ID],TasksTable[Start Date],"")),"◆",""))</x:f>
      </x:c>
      <x:c r="T21" s="90" t="str">
        <x:f>IF($A21="","",IF(AND($G21="Yes",T$2=XLOOKUP($A21,TasksTable[Task ID],TasksTable[Start Date],"")),"◆",""))</x:f>
      </x:c>
      <x:c r="U21" s="90" t="str">
        <x:f>IF($A21="","",IF(AND($G21="Yes",U$2=XLOOKUP($A21,TasksTable[Task ID],TasksTable[Start Date],"")),"◆",""))</x:f>
      </x:c>
      <x:c r="V21" s="90" t="str">
        <x:f>IF($A21="","",IF(AND($G21="Yes",V$2=XLOOKUP($A21,TasksTable[Task ID],TasksTable[Start Date],"")),"◆",""))</x:f>
      </x:c>
      <x:c r="W21" s="90" t="str">
        <x:f>IF($A21="","",IF(AND($G21="Yes",W$2=XLOOKUP($A21,TasksTable[Task ID],TasksTable[Start Date],"")),"◆",""))</x:f>
      </x:c>
      <x:c r="X21" s="90" t="str">
        <x:f>IF($A21="","",IF(AND($G21="Yes",X$2=XLOOKUP($A21,TasksTable[Task ID],TasksTable[Start Date],"")),"◆",""))</x:f>
      </x:c>
      <x:c r="Y21" s="90" t="str">
        <x:f>IF($A21="","",IF(AND($G21="Yes",Y$2=XLOOKUP($A21,TasksTable[Task ID],TasksTable[Start Date],"")),"◆",""))</x:f>
      </x:c>
      <x:c r="Z21" s="90" t="str">
        <x:f>IF($A21="","",IF(AND($G21="Yes",Z$2=XLOOKUP($A21,TasksTable[Task ID],TasksTable[Start Date],"")),"◆",""))</x:f>
      </x:c>
      <x:c r="AA21" s="90" t="str">
        <x:f>IF($A21="","",IF(AND($G21="Yes",AA$2=XLOOKUP($A21,TasksTable[Task ID],TasksTable[Start Date],"")),"◆",""))</x:f>
      </x:c>
      <x:c r="AB21" s="90" t="str">
        <x:f>IF($A21="","",IF(AND($G21="Yes",AB$2=XLOOKUP($A21,TasksTable[Task ID],TasksTable[Start Date],"")),"◆",""))</x:f>
      </x:c>
      <x:c r="AC21" s="90" t="str">
        <x:f>IF($A21="","",IF(AND($G21="Yes",AC$2=XLOOKUP($A21,TasksTable[Task ID],TasksTable[Start Date],"")),"◆",""))</x:f>
      </x:c>
      <x:c r="AD21" s="90" t="str">
        <x:f>IF($A21="","",IF(AND($G21="Yes",AD$2=XLOOKUP($A21,TasksTable[Task ID],TasksTable[Start Date],"")),"◆",""))</x:f>
      </x:c>
      <x:c r="AE21" s="90" t="str">
        <x:f>IF($A21="","",IF(AND($G21="Yes",AE$2=XLOOKUP($A21,TasksTable[Task ID],TasksTable[Start Date],"")),"◆",""))</x:f>
      </x:c>
      <x:c r="AF21" s="90" t="str">
        <x:f>IF($A21="","",IF(AND($G21="Yes",AF$2=XLOOKUP($A21,TasksTable[Task ID],TasksTable[Start Date],"")),"◆",""))</x:f>
      </x:c>
      <x:c r="AG21" s="90" t="str">
        <x:f>IF($A21="","",IF(AND($G21="Yes",AG$2=XLOOKUP($A21,TasksTable[Task ID],TasksTable[Start Date],"")),"◆",""))</x:f>
      </x:c>
      <x:c r="AH21" s="90" t="str">
        <x:f>IF($A21="","",IF(AND($G21="Yes",AH$2=XLOOKUP($A21,TasksTable[Task ID],TasksTable[Start Date],"")),"◆",""))</x:f>
      </x:c>
      <x:c r="AI21" s="90" t="str">
        <x:f>IF($A21="","",IF(AND($G21="Yes",AI$2=XLOOKUP($A21,TasksTable[Task ID],TasksTable[Start Date],"")),"◆",""))</x:f>
      </x:c>
      <x:c r="AJ21" s="90" t="str">
        <x:f>IF($A21="","",IF(AND($G21="Yes",AJ$2=XLOOKUP($A21,TasksTable[Task ID],TasksTable[Start Date],"")),"◆",""))</x:f>
      </x:c>
      <x:c r="AK21" s="90" t="str">
        <x:f>IF($A21="","",IF(AND($G21="Yes",AK$2=XLOOKUP($A21,TasksTable[Task ID],TasksTable[Start Date],"")),"◆",""))</x:f>
      </x:c>
      <x:c r="AL21" s="90" t="str">
        <x:f>IF($A21="","",IF(AND($G21="Yes",AL$2=XLOOKUP($A21,TasksTable[Task ID],TasksTable[Start Date],"")),"◆",""))</x:f>
      </x:c>
      <x:c r="AM21" s="90" t="str">
        <x:f>IF($A21="","",IF(AND($G21="Yes",AM$2=XLOOKUP($A21,TasksTable[Task ID],TasksTable[Start Date],"")),"◆",""))</x:f>
      </x:c>
      <x:c r="AN21" s="90" t="str">
        <x:f>IF($A21="","",IF(AND($G21="Yes",AN$2=XLOOKUP($A21,TasksTable[Task ID],TasksTable[Start Date],"")),"◆",""))</x:f>
      </x:c>
      <x:c r="AO21" s="90" t="str">
        <x:f>IF($A21="","",IF(AND($G21="Yes",AO$2=XLOOKUP($A21,TasksTable[Task ID],TasksTable[Start Date],"")),"◆",""))</x:f>
      </x:c>
    </x:row>
    <x:row r="22">
      <x:c r="A22" s="10" t="str">
        <x:f>IFERROR(INDEX(TasksTable[Task ID],ROWS($A$4:A22)),"")</x:f>
        <x:v>T16</x:v>
      </x:c>
      <x:c r="B22" s="10" t="str">
        <x:f>IF($A22="","",IFERROR(XLOOKUP($A22,TasksTable[Task ID],TasksTable[Phase],""),""))</x:f>
        <x:v>M4 · Domain Intelligence Ingestion &amp; Asset Synthesis Complete</x:v>
      </x:c>
      <x:c r="C22" s="10" t="str">
        <x:f>IF($A22="","",IFERROR(XLOOKUP($A22,TasksTable[Task ID],TasksTable[Task Name],""),""))</x:f>
        <x:v>Ingest &amp; verify product formulations and compliance dossiers (W_PROD)</x:v>
      </x:c>
      <x:c r="D22" s="10" t="str">
        <x:f>IF($A22="","",IFERROR(XLOOKUP($A22,TasksTable[Task ID],TasksTable[Status],""),""))</x:f>
        <x:v>Not Started</x:v>
      </x:c>
      <x:c r="E22" s="86" t="n">
        <x:f>IF($A22="","",IFERROR(XLOOKUP($A22,TasksTable[Task ID],TasksTable[Progress %],0),0))</x:f>
        <x:v>0</x:v>
      </x:c>
      <x:c r="F22" s="10" t="str">
        <x:f>IF($A22="","",IFERROR(XLOOKUP($A22,TasksTable[Task ID],TasksTable[Schedule Health],""),""))</x:f>
        <x:v>On Track</x:v>
      </x:c>
      <x:c r="G22" s="10" t="str">
        <x:f>IF($A22="","",IFERROR(XLOOKUP($A22,TasksTable[Task ID],TasksTable[Milestone],""),""))</x:f>
        <x:v>No</x:v>
      </x:c>
      <x:c r="H22" s="90" t="str">
        <x:f>IF($A22="","",IF(AND($G22="Yes",H$2=XLOOKUP($A22,TasksTable[Task ID],TasksTable[Start Date],"")),"◆",""))</x:f>
      </x:c>
      <x:c r="I22" s="90" t="str">
        <x:f>IF($A22="","",IF(AND($G22="Yes",I$2=XLOOKUP($A22,TasksTable[Task ID],TasksTable[Start Date],"")),"◆",""))</x:f>
      </x:c>
      <x:c r="J22" s="90" t="str">
        <x:f>IF($A22="","",IF(AND($G22="Yes",J$2=XLOOKUP($A22,TasksTable[Task ID],TasksTable[Start Date],"")),"◆",""))</x:f>
      </x:c>
      <x:c r="K22" s="90" t="str">
        <x:f>IF($A22="","",IF(AND($G22="Yes",K$2=XLOOKUP($A22,TasksTable[Task ID],TasksTable[Start Date],"")),"◆",""))</x:f>
      </x:c>
      <x:c r="L22" s="90" t="str">
        <x:f>IF($A22="","",IF(AND($G22="Yes",L$2=XLOOKUP($A22,TasksTable[Task ID],TasksTable[Start Date],"")),"◆",""))</x:f>
      </x:c>
      <x:c r="M22" s="90" t="str">
        <x:f>IF($A22="","",IF(AND($G22="Yes",M$2=XLOOKUP($A22,TasksTable[Task ID],TasksTable[Start Date],"")),"◆",""))</x:f>
      </x:c>
      <x:c r="N22" s="90" t="str">
        <x:f>IF($A22="","",IF(AND($G22="Yes",N$2=XLOOKUP($A22,TasksTable[Task ID],TasksTable[Start Date],"")),"◆",""))</x:f>
      </x:c>
      <x:c r="O22" s="90" t="str">
        <x:f>IF($A22="","",IF(AND($G22="Yes",O$2=XLOOKUP($A22,TasksTable[Task ID],TasksTable[Start Date],"")),"◆",""))</x:f>
      </x:c>
      <x:c r="P22" s="90" t="str">
        <x:f>IF($A22="","",IF(AND($G22="Yes",P$2=XLOOKUP($A22,TasksTable[Task ID],TasksTable[Start Date],"")),"◆",""))</x:f>
      </x:c>
      <x:c r="Q22" s="90" t="str">
        <x:f>IF($A22="","",IF(AND($G22="Yes",Q$2=XLOOKUP($A22,TasksTable[Task ID],TasksTable[Start Date],"")),"◆",""))</x:f>
      </x:c>
      <x:c r="R22" s="90" t="str">
        <x:f>IF($A22="","",IF(AND($G22="Yes",R$2=XLOOKUP($A22,TasksTable[Task ID],TasksTable[Start Date],"")),"◆",""))</x:f>
      </x:c>
      <x:c r="S22" s="90" t="str">
        <x:f>IF($A22="","",IF(AND($G22="Yes",S$2=XLOOKUP($A22,TasksTable[Task ID],TasksTable[Start Date],"")),"◆",""))</x:f>
      </x:c>
      <x:c r="T22" s="90" t="str">
        <x:f>IF($A22="","",IF(AND($G22="Yes",T$2=XLOOKUP($A22,TasksTable[Task ID],TasksTable[Start Date],"")),"◆",""))</x:f>
      </x:c>
      <x:c r="U22" s="90" t="str">
        <x:f>IF($A22="","",IF(AND($G22="Yes",U$2=XLOOKUP($A22,TasksTable[Task ID],TasksTable[Start Date],"")),"◆",""))</x:f>
      </x:c>
      <x:c r="V22" s="90" t="str">
        <x:f>IF($A22="","",IF(AND($G22="Yes",V$2=XLOOKUP($A22,TasksTable[Task ID],TasksTable[Start Date],"")),"◆",""))</x:f>
      </x:c>
      <x:c r="W22" s="90" t="str">
        <x:f>IF($A22="","",IF(AND($G22="Yes",W$2=XLOOKUP($A22,TasksTable[Task ID],TasksTable[Start Date],"")),"◆",""))</x:f>
      </x:c>
      <x:c r="X22" s="90" t="str">
        <x:f>IF($A22="","",IF(AND($G22="Yes",X$2=XLOOKUP($A22,TasksTable[Task ID],TasksTable[Start Date],"")),"◆",""))</x:f>
      </x:c>
      <x:c r="Y22" s="90" t="str">
        <x:f>IF($A22="","",IF(AND($G22="Yes",Y$2=XLOOKUP($A22,TasksTable[Task ID],TasksTable[Start Date],"")),"◆",""))</x:f>
      </x:c>
      <x:c r="Z22" s="90" t="str">
        <x:f>IF($A22="","",IF(AND($G22="Yes",Z$2=XLOOKUP($A22,TasksTable[Task ID],TasksTable[Start Date],"")),"◆",""))</x:f>
      </x:c>
      <x:c r="AA22" s="90" t="str">
        <x:f>IF($A22="","",IF(AND($G22="Yes",AA$2=XLOOKUP($A22,TasksTable[Task ID],TasksTable[Start Date],"")),"◆",""))</x:f>
      </x:c>
      <x:c r="AB22" s="90" t="str">
        <x:f>IF($A22="","",IF(AND($G22="Yes",AB$2=XLOOKUP($A22,TasksTable[Task ID],TasksTable[Start Date],"")),"◆",""))</x:f>
      </x:c>
      <x:c r="AC22" s="90" t="str">
        <x:f>IF($A22="","",IF(AND($G22="Yes",AC$2=XLOOKUP($A22,TasksTable[Task ID],TasksTable[Start Date],"")),"◆",""))</x:f>
      </x:c>
      <x:c r="AD22" s="90" t="str">
        <x:f>IF($A22="","",IF(AND($G22="Yes",AD$2=XLOOKUP($A22,TasksTable[Task ID],TasksTable[Start Date],"")),"◆",""))</x:f>
      </x:c>
      <x:c r="AE22" s="90" t="str">
        <x:f>IF($A22="","",IF(AND($G22="Yes",AE$2=XLOOKUP($A22,TasksTable[Task ID],TasksTable[Start Date],"")),"◆",""))</x:f>
      </x:c>
      <x:c r="AF22" s="90" t="str">
        <x:f>IF($A22="","",IF(AND($G22="Yes",AF$2=XLOOKUP($A22,TasksTable[Task ID],TasksTable[Start Date],"")),"◆",""))</x:f>
      </x:c>
      <x:c r="AG22" s="90" t="str">
        <x:f>IF($A22="","",IF(AND($G22="Yes",AG$2=XLOOKUP($A22,TasksTable[Task ID],TasksTable[Start Date],"")),"◆",""))</x:f>
      </x:c>
      <x:c r="AH22" s="90" t="str">
        <x:f>IF($A22="","",IF(AND($G22="Yes",AH$2=XLOOKUP($A22,TasksTable[Task ID],TasksTable[Start Date],"")),"◆",""))</x:f>
      </x:c>
      <x:c r="AI22" s="90" t="str">
        <x:f>IF($A22="","",IF(AND($G22="Yes",AI$2=XLOOKUP($A22,TasksTable[Task ID],TasksTable[Start Date],"")),"◆",""))</x:f>
      </x:c>
      <x:c r="AJ22" s="90" t="str">
        <x:f>IF($A22="","",IF(AND($G22="Yes",AJ$2=XLOOKUP($A22,TasksTable[Task ID],TasksTable[Start Date],"")),"◆",""))</x:f>
      </x:c>
      <x:c r="AK22" s="90" t="str">
        <x:f>IF($A22="","",IF(AND($G22="Yes",AK$2=XLOOKUP($A22,TasksTable[Task ID],TasksTable[Start Date],"")),"◆",""))</x:f>
      </x:c>
      <x:c r="AL22" s="90" t="str">
        <x:f>IF($A22="","",IF(AND($G22="Yes",AL$2=XLOOKUP($A22,TasksTable[Task ID],TasksTable[Start Date],"")),"◆",""))</x:f>
      </x:c>
      <x:c r="AM22" s="90" t="str">
        <x:f>IF($A22="","",IF(AND($G22="Yes",AM$2=XLOOKUP($A22,TasksTable[Task ID],TasksTable[Start Date],"")),"◆",""))</x:f>
      </x:c>
      <x:c r="AN22" s="90" t="str">
        <x:f>IF($A22="","",IF(AND($G22="Yes",AN$2=XLOOKUP($A22,TasksTable[Task ID],TasksTable[Start Date],"")),"◆",""))</x:f>
      </x:c>
      <x:c r="AO22" s="90" t="str">
        <x:f>IF($A22="","",IF(AND($G22="Yes",AO$2=XLOOKUP($A22,TasksTable[Task ID],TasksTable[Start Date],"")),"◆",""))</x:f>
      </x:c>
    </x:row>
    <x:row r="23">
      <x:c r="A23" s="10" t="str">
        <x:f>IFERROR(INDEX(TasksTable[Task ID],ROWS($A$4:A23)),"")</x:f>
        <x:v>T17</x:v>
      </x:c>
      <x:c r="B23" s="10" t="str">
        <x:f>IF($A23="","",IFERROR(XLOOKUP($A23,TasksTable[Task ID],TasksTable[Phase],""),""))</x:f>
        <x:v>M4 · Domain Intelligence Ingestion &amp; Asset Synthesis Complete</x:v>
      </x:c>
      <x:c r="C23" s="10" t="str">
        <x:f>IF($A23="","",IFERROR(XLOOKUP($A23,TasksTable[Task ID],TasksTable[Task Name],""),""))</x:f>
        <x:v>Ingest &amp; parse customer support tickets and review sentiment (W_VOICE)</x:v>
      </x:c>
      <x:c r="D23" s="10" t="str">
        <x:f>IF($A23="","",IFERROR(XLOOKUP($A23,TasksTable[Task ID],TasksTable[Status],""),""))</x:f>
        <x:v>Not Started</x:v>
      </x:c>
      <x:c r="E23" s="86" t="n">
        <x:f>IF($A23="","",IFERROR(XLOOKUP($A23,TasksTable[Task ID],TasksTable[Progress %],0),0))</x:f>
        <x:v>0</x:v>
      </x:c>
      <x:c r="F23" s="10" t="str">
        <x:f>IF($A23="","",IFERROR(XLOOKUP($A23,TasksTable[Task ID],TasksTable[Schedule Health],""),""))</x:f>
        <x:v>On Track</x:v>
      </x:c>
      <x:c r="G23" s="10" t="str">
        <x:f>IF($A23="","",IFERROR(XLOOKUP($A23,TasksTable[Task ID],TasksTable[Milestone],""),""))</x:f>
        <x:v>No</x:v>
      </x:c>
      <x:c r="H23" s="90" t="str">
        <x:f>IF($A23="","",IF(AND($G23="Yes",H$2=XLOOKUP($A23,TasksTable[Task ID],TasksTable[Start Date],"")),"◆",""))</x:f>
      </x:c>
      <x:c r="I23" s="90" t="str">
        <x:f>IF($A23="","",IF(AND($G23="Yes",I$2=XLOOKUP($A23,TasksTable[Task ID],TasksTable[Start Date],"")),"◆",""))</x:f>
      </x:c>
      <x:c r="J23" s="90" t="str">
        <x:f>IF($A23="","",IF(AND($G23="Yes",J$2=XLOOKUP($A23,TasksTable[Task ID],TasksTable[Start Date],"")),"◆",""))</x:f>
      </x:c>
      <x:c r="K23" s="90" t="str">
        <x:f>IF($A23="","",IF(AND($G23="Yes",K$2=XLOOKUP($A23,TasksTable[Task ID],TasksTable[Start Date],"")),"◆",""))</x:f>
      </x:c>
      <x:c r="L23" s="90" t="str">
        <x:f>IF($A23="","",IF(AND($G23="Yes",L$2=XLOOKUP($A23,TasksTable[Task ID],TasksTable[Start Date],"")),"◆",""))</x:f>
      </x:c>
      <x:c r="M23" s="90" t="str">
        <x:f>IF($A23="","",IF(AND($G23="Yes",M$2=XLOOKUP($A23,TasksTable[Task ID],TasksTable[Start Date],"")),"◆",""))</x:f>
      </x:c>
      <x:c r="N23" s="90" t="str">
        <x:f>IF($A23="","",IF(AND($G23="Yes",N$2=XLOOKUP($A23,TasksTable[Task ID],TasksTable[Start Date],"")),"◆",""))</x:f>
      </x:c>
      <x:c r="O23" s="90" t="str">
        <x:f>IF($A23="","",IF(AND($G23="Yes",O$2=XLOOKUP($A23,TasksTable[Task ID],TasksTable[Start Date],"")),"◆",""))</x:f>
      </x:c>
      <x:c r="P23" s="90" t="str">
        <x:f>IF($A23="","",IF(AND($G23="Yes",P$2=XLOOKUP($A23,TasksTable[Task ID],TasksTable[Start Date],"")),"◆",""))</x:f>
      </x:c>
      <x:c r="Q23" s="90" t="str">
        <x:f>IF($A23="","",IF(AND($G23="Yes",Q$2=XLOOKUP($A23,TasksTable[Task ID],TasksTable[Start Date],"")),"◆",""))</x:f>
      </x:c>
      <x:c r="R23" s="90" t="str">
        <x:f>IF($A23="","",IF(AND($G23="Yes",R$2=XLOOKUP($A23,TasksTable[Task ID],TasksTable[Start Date],"")),"◆",""))</x:f>
      </x:c>
      <x:c r="S23" s="90" t="str">
        <x:f>IF($A23="","",IF(AND($G23="Yes",S$2=XLOOKUP($A23,TasksTable[Task ID],TasksTable[Start Date],"")),"◆",""))</x:f>
      </x:c>
      <x:c r="T23" s="90" t="str">
        <x:f>IF($A23="","",IF(AND($G23="Yes",T$2=XLOOKUP($A23,TasksTable[Task ID],TasksTable[Start Date],"")),"◆",""))</x:f>
      </x:c>
      <x:c r="U23" s="90" t="str">
        <x:f>IF($A23="","",IF(AND($G23="Yes",U$2=XLOOKUP($A23,TasksTable[Task ID],TasksTable[Start Date],"")),"◆",""))</x:f>
      </x:c>
      <x:c r="V23" s="90" t="str">
        <x:f>IF($A23="","",IF(AND($G23="Yes",V$2=XLOOKUP($A23,TasksTable[Task ID],TasksTable[Start Date],"")),"◆",""))</x:f>
      </x:c>
      <x:c r="W23" s="90" t="str">
        <x:f>IF($A23="","",IF(AND($G23="Yes",W$2=XLOOKUP($A23,TasksTable[Task ID],TasksTable[Start Date],"")),"◆",""))</x:f>
      </x:c>
      <x:c r="X23" s="90" t="str">
        <x:f>IF($A23="","",IF(AND($G23="Yes",X$2=XLOOKUP($A23,TasksTable[Task ID],TasksTable[Start Date],"")),"◆",""))</x:f>
      </x:c>
      <x:c r="Y23" s="90" t="str">
        <x:f>IF($A23="","",IF(AND($G23="Yes",Y$2=XLOOKUP($A23,TasksTable[Task ID],TasksTable[Start Date],"")),"◆",""))</x:f>
      </x:c>
      <x:c r="Z23" s="90" t="str">
        <x:f>IF($A23="","",IF(AND($G23="Yes",Z$2=XLOOKUP($A23,TasksTable[Task ID],TasksTable[Start Date],"")),"◆",""))</x:f>
      </x:c>
      <x:c r="AA23" s="90" t="str">
        <x:f>IF($A23="","",IF(AND($G23="Yes",AA$2=XLOOKUP($A23,TasksTable[Task ID],TasksTable[Start Date],"")),"◆",""))</x:f>
      </x:c>
      <x:c r="AB23" s="90" t="str">
        <x:f>IF($A23="","",IF(AND($G23="Yes",AB$2=XLOOKUP($A23,TasksTable[Task ID],TasksTable[Start Date],"")),"◆",""))</x:f>
      </x:c>
      <x:c r="AC23" s="90" t="str">
        <x:f>IF($A23="","",IF(AND($G23="Yes",AC$2=XLOOKUP($A23,TasksTable[Task ID],TasksTable[Start Date],"")),"◆",""))</x:f>
      </x:c>
      <x:c r="AD23" s="90" t="str">
        <x:f>IF($A23="","",IF(AND($G23="Yes",AD$2=XLOOKUP($A23,TasksTable[Task ID],TasksTable[Start Date],"")),"◆",""))</x:f>
      </x:c>
      <x:c r="AE23" s="90" t="str">
        <x:f>IF($A23="","",IF(AND($G23="Yes",AE$2=XLOOKUP($A23,TasksTable[Task ID],TasksTable[Start Date],"")),"◆",""))</x:f>
      </x:c>
      <x:c r="AF23" s="90" t="str">
        <x:f>IF($A23="","",IF(AND($G23="Yes",AF$2=XLOOKUP($A23,TasksTable[Task ID],TasksTable[Start Date],"")),"◆",""))</x:f>
      </x:c>
      <x:c r="AG23" s="90" t="str">
        <x:f>IF($A23="","",IF(AND($G23="Yes",AG$2=XLOOKUP($A23,TasksTable[Task ID],TasksTable[Start Date],"")),"◆",""))</x:f>
      </x:c>
      <x:c r="AH23" s="90" t="str">
        <x:f>IF($A23="","",IF(AND($G23="Yes",AH$2=XLOOKUP($A23,TasksTable[Task ID],TasksTable[Start Date],"")),"◆",""))</x:f>
      </x:c>
      <x:c r="AI23" s="90" t="str">
        <x:f>IF($A23="","",IF(AND($G23="Yes",AI$2=XLOOKUP($A23,TasksTable[Task ID],TasksTable[Start Date],"")),"◆",""))</x:f>
      </x:c>
      <x:c r="AJ23" s="90" t="str">
        <x:f>IF($A23="","",IF(AND($G23="Yes",AJ$2=XLOOKUP($A23,TasksTable[Task ID],TasksTable[Start Date],"")),"◆",""))</x:f>
      </x:c>
      <x:c r="AK23" s="90" t="str">
        <x:f>IF($A23="","",IF(AND($G23="Yes",AK$2=XLOOKUP($A23,TasksTable[Task ID],TasksTable[Start Date],"")),"◆",""))</x:f>
      </x:c>
      <x:c r="AL23" s="90" t="str">
        <x:f>IF($A23="","",IF(AND($G23="Yes",AL$2=XLOOKUP($A23,TasksTable[Task ID],TasksTable[Start Date],"")),"◆",""))</x:f>
      </x:c>
      <x:c r="AM23" s="90" t="str">
        <x:f>IF($A23="","",IF(AND($G23="Yes",AM$2=XLOOKUP($A23,TasksTable[Task ID],TasksTable[Start Date],"")),"◆",""))</x:f>
      </x:c>
      <x:c r="AN23" s="90" t="str">
        <x:f>IF($A23="","",IF(AND($G23="Yes",AN$2=XLOOKUP($A23,TasksTable[Task ID],TasksTable[Start Date],"")),"◆",""))</x:f>
      </x:c>
      <x:c r="AO23" s="90" t="str">
        <x:f>IF($A23="","",IF(AND($G23="Yes",AO$2=XLOOKUP($A23,TasksTable[Task ID],TasksTable[Start Date],"")),"◆",""))</x:f>
      </x:c>
    </x:row>
    <x:row r="24">
      <x:c r="A24" s="10" t="str">
        <x:f>IFERROR(INDEX(TasksTable[Task ID],ROWS($A$4:A24)),"")</x:f>
        <x:v>T18</x:v>
      </x:c>
      <x:c r="B24" s="10" t="str">
        <x:f>IF($A24="","",IFERROR(XLOOKUP($A24,TasksTable[Task ID],TasksTable[Phase],""),""))</x:f>
        <x:v>M4 · Domain Intelligence Ingestion &amp; Asset Synthesis Complete</x:v>
      </x:c>
      <x:c r="C24" s="10" t="str">
        <x:f>IF($A24="","",IFERROR(XLOOKUP($A24,TasksTable[Task ID],TasksTable[Task Name],""),""))</x:f>
        <x:v>Scrape competitor ad libraries, pricing, and market positioning (W_COMP)</x:v>
      </x:c>
      <x:c r="D24" s="10" t="str">
        <x:f>IF($A24="","",IFERROR(XLOOKUP($A24,TasksTable[Task ID],TasksTable[Status],""),""))</x:f>
        <x:v>Not Started</x:v>
      </x:c>
      <x:c r="E24" s="86" t="n">
        <x:f>IF($A24="","",IFERROR(XLOOKUP($A24,TasksTable[Task ID],TasksTable[Progress %],0),0))</x:f>
        <x:v>0</x:v>
      </x:c>
      <x:c r="F24" s="10" t="str">
        <x:f>IF($A24="","",IFERROR(XLOOKUP($A24,TasksTable[Task ID],TasksTable[Schedule Health],""),""))</x:f>
        <x:v>On Track</x:v>
      </x:c>
      <x:c r="G24" s="10" t="str">
        <x:f>IF($A24="","",IFERROR(XLOOKUP($A24,TasksTable[Task ID],TasksTable[Milestone],""),""))</x:f>
        <x:v>No</x:v>
      </x:c>
      <x:c r="H24" s="90" t="str">
        <x:f>IF($A24="","",IF(AND($G24="Yes",H$2=XLOOKUP($A24,TasksTable[Task ID],TasksTable[Start Date],"")),"◆",""))</x:f>
      </x:c>
      <x:c r="I24" s="90" t="str">
        <x:f>IF($A24="","",IF(AND($G24="Yes",I$2=XLOOKUP($A24,TasksTable[Task ID],TasksTable[Start Date],"")),"◆",""))</x:f>
      </x:c>
      <x:c r="J24" s="90" t="str">
        <x:f>IF($A24="","",IF(AND($G24="Yes",J$2=XLOOKUP($A24,TasksTable[Task ID],TasksTable[Start Date],"")),"◆",""))</x:f>
      </x:c>
      <x:c r="K24" s="90" t="str">
        <x:f>IF($A24="","",IF(AND($G24="Yes",K$2=XLOOKUP($A24,TasksTable[Task ID],TasksTable[Start Date],"")),"◆",""))</x:f>
      </x:c>
      <x:c r="L24" s="90" t="str">
        <x:f>IF($A24="","",IF(AND($G24="Yes",L$2=XLOOKUP($A24,TasksTable[Task ID],TasksTable[Start Date],"")),"◆",""))</x:f>
      </x:c>
      <x:c r="M24" s="90" t="str">
        <x:f>IF($A24="","",IF(AND($G24="Yes",M$2=XLOOKUP($A24,TasksTable[Task ID],TasksTable[Start Date],"")),"◆",""))</x:f>
      </x:c>
      <x:c r="N24" s="90" t="str">
        <x:f>IF($A24="","",IF(AND($G24="Yes",N$2=XLOOKUP($A24,TasksTable[Task ID],TasksTable[Start Date],"")),"◆",""))</x:f>
      </x:c>
      <x:c r="O24" s="90" t="str">
        <x:f>IF($A24="","",IF(AND($G24="Yes",O$2=XLOOKUP($A24,TasksTable[Task ID],TasksTable[Start Date],"")),"◆",""))</x:f>
      </x:c>
      <x:c r="P24" s="90" t="str">
        <x:f>IF($A24="","",IF(AND($G24="Yes",P$2=XLOOKUP($A24,TasksTable[Task ID],TasksTable[Start Date],"")),"◆",""))</x:f>
      </x:c>
      <x:c r="Q24" s="90" t="str">
        <x:f>IF($A24="","",IF(AND($G24="Yes",Q$2=XLOOKUP($A24,TasksTable[Task ID],TasksTable[Start Date],"")),"◆",""))</x:f>
      </x:c>
      <x:c r="R24" s="90" t="str">
        <x:f>IF($A24="","",IF(AND($G24="Yes",R$2=XLOOKUP($A24,TasksTable[Task ID],TasksTable[Start Date],"")),"◆",""))</x:f>
      </x:c>
      <x:c r="S24" s="90" t="str">
        <x:f>IF($A24="","",IF(AND($G24="Yes",S$2=XLOOKUP($A24,TasksTable[Task ID],TasksTable[Start Date],"")),"◆",""))</x:f>
      </x:c>
      <x:c r="T24" s="90" t="str">
        <x:f>IF($A24="","",IF(AND($G24="Yes",T$2=XLOOKUP($A24,TasksTable[Task ID],TasksTable[Start Date],"")),"◆",""))</x:f>
      </x:c>
      <x:c r="U24" s="90" t="str">
        <x:f>IF($A24="","",IF(AND($G24="Yes",U$2=XLOOKUP($A24,TasksTable[Task ID],TasksTable[Start Date],"")),"◆",""))</x:f>
      </x:c>
      <x:c r="V24" s="90" t="str">
        <x:f>IF($A24="","",IF(AND($G24="Yes",V$2=XLOOKUP($A24,TasksTable[Task ID],TasksTable[Start Date],"")),"◆",""))</x:f>
      </x:c>
      <x:c r="W24" s="90" t="str">
        <x:f>IF($A24="","",IF(AND($G24="Yes",W$2=XLOOKUP($A24,TasksTable[Task ID],TasksTable[Start Date],"")),"◆",""))</x:f>
      </x:c>
      <x:c r="X24" s="90" t="str">
        <x:f>IF($A24="","",IF(AND($G24="Yes",X$2=XLOOKUP($A24,TasksTable[Task ID],TasksTable[Start Date],"")),"◆",""))</x:f>
      </x:c>
      <x:c r="Y24" s="90" t="str">
        <x:f>IF($A24="","",IF(AND($G24="Yes",Y$2=XLOOKUP($A24,TasksTable[Task ID],TasksTable[Start Date],"")),"◆",""))</x:f>
      </x:c>
      <x:c r="Z24" s="90" t="str">
        <x:f>IF($A24="","",IF(AND($G24="Yes",Z$2=XLOOKUP($A24,TasksTable[Task ID],TasksTable[Start Date],"")),"◆",""))</x:f>
      </x:c>
      <x:c r="AA24" s="90" t="str">
        <x:f>IF($A24="","",IF(AND($G24="Yes",AA$2=XLOOKUP($A24,TasksTable[Task ID],TasksTable[Start Date],"")),"◆",""))</x:f>
      </x:c>
      <x:c r="AB24" s="90" t="str">
        <x:f>IF($A24="","",IF(AND($G24="Yes",AB$2=XLOOKUP($A24,TasksTable[Task ID],TasksTable[Start Date],"")),"◆",""))</x:f>
      </x:c>
      <x:c r="AC24" s="90" t="str">
        <x:f>IF($A24="","",IF(AND($G24="Yes",AC$2=XLOOKUP($A24,TasksTable[Task ID],TasksTable[Start Date],"")),"◆",""))</x:f>
      </x:c>
      <x:c r="AD24" s="90" t="str">
        <x:f>IF($A24="","",IF(AND($G24="Yes",AD$2=XLOOKUP($A24,TasksTable[Task ID],TasksTable[Start Date],"")),"◆",""))</x:f>
      </x:c>
      <x:c r="AE24" s="90" t="str">
        <x:f>IF($A24="","",IF(AND($G24="Yes",AE$2=XLOOKUP($A24,TasksTable[Task ID],TasksTable[Start Date],"")),"◆",""))</x:f>
      </x:c>
      <x:c r="AF24" s="90" t="str">
        <x:f>IF($A24="","",IF(AND($G24="Yes",AF$2=XLOOKUP($A24,TasksTable[Task ID],TasksTable[Start Date],"")),"◆",""))</x:f>
      </x:c>
      <x:c r="AG24" s="90" t="str">
        <x:f>IF($A24="","",IF(AND($G24="Yes",AG$2=XLOOKUP($A24,TasksTable[Task ID],TasksTable[Start Date],"")),"◆",""))</x:f>
      </x:c>
      <x:c r="AH24" s="90" t="str">
        <x:f>IF($A24="","",IF(AND($G24="Yes",AH$2=XLOOKUP($A24,TasksTable[Task ID],TasksTable[Start Date],"")),"◆",""))</x:f>
      </x:c>
      <x:c r="AI24" s="90" t="str">
        <x:f>IF($A24="","",IF(AND($G24="Yes",AI$2=XLOOKUP($A24,TasksTable[Task ID],TasksTable[Start Date],"")),"◆",""))</x:f>
      </x:c>
      <x:c r="AJ24" s="90" t="str">
        <x:f>IF($A24="","",IF(AND($G24="Yes",AJ$2=XLOOKUP($A24,TasksTable[Task ID],TasksTable[Start Date],"")),"◆",""))</x:f>
      </x:c>
      <x:c r="AK24" s="90" t="str">
        <x:f>IF($A24="","",IF(AND($G24="Yes",AK$2=XLOOKUP($A24,TasksTable[Task ID],TasksTable[Start Date],"")),"◆",""))</x:f>
      </x:c>
      <x:c r="AL24" s="90" t="str">
        <x:f>IF($A24="","",IF(AND($G24="Yes",AL$2=XLOOKUP($A24,TasksTable[Task ID],TasksTable[Start Date],"")),"◆",""))</x:f>
      </x:c>
      <x:c r="AM24" s="90" t="str">
        <x:f>IF($A24="","",IF(AND($G24="Yes",AM$2=XLOOKUP($A24,TasksTable[Task ID],TasksTable[Start Date],"")),"◆",""))</x:f>
      </x:c>
      <x:c r="AN24" s="90" t="str">
        <x:f>IF($A24="","",IF(AND($G24="Yes",AN$2=XLOOKUP($A24,TasksTable[Task ID],TasksTable[Start Date],"")),"◆",""))</x:f>
      </x:c>
      <x:c r="AO24" s="90" t="str">
        <x:f>IF($A24="","",IF(AND($G24="Yes",AO$2=XLOOKUP($A24,TasksTable[Task ID],TasksTable[Start Date],"")),"◆",""))</x:f>
      </x:c>
    </x:row>
    <x:row r="25">
      <x:c r="A25" s="10" t="str">
        <x:f>IFERROR(INDEX(TasksTable[Task ID],ROWS($A$4:A25)),"")</x:f>
        <x:v>T19</x:v>
      </x:c>
      <x:c r="B25" s="10" t="str">
        <x:f>IF($A25="","",IFERROR(XLOOKUP($A25,TasksTable[Task ID],TasksTable[Phase],""),""))</x:f>
        <x:v>M4 · Domain Intelligence Ingestion &amp; Asset Synthesis Complete</x:v>
      </x:c>
      <x:c r="C25" s="10" t="str">
        <x:f>IF($A25="","",IFERROR(XLOOKUP($A25,TasksTable[Task ID],TasksTable[Task Name],""),""))</x:f>
        <x:v>Develop omnichannel marketing roadmaps &amp; budget allocations (W_STRAT)</x:v>
      </x:c>
      <x:c r="D25" s="10" t="str">
        <x:f>IF($A25="","",IFERROR(XLOOKUP($A25,TasksTable[Task ID],TasksTable[Status],""),""))</x:f>
        <x:v>Not Started</x:v>
      </x:c>
      <x:c r="E25" s="86" t="n">
        <x:f>IF($A25="","",IFERROR(XLOOKUP($A25,TasksTable[Task ID],TasksTable[Progress %],0),0))</x:f>
        <x:v>0</x:v>
      </x:c>
      <x:c r="F25" s="10" t="str">
        <x:f>IF($A25="","",IFERROR(XLOOKUP($A25,TasksTable[Task ID],TasksTable[Schedule Health],""),""))</x:f>
        <x:v>On Track</x:v>
      </x:c>
      <x:c r="G25" s="10" t="str">
        <x:f>IF($A25="","",IFERROR(XLOOKUP($A25,TasksTable[Task ID],TasksTable[Milestone],""),""))</x:f>
        <x:v>No</x:v>
      </x:c>
      <x:c r="H25" s="90" t="str">
        <x:f>IF($A25="","",IF(AND($G25="Yes",H$2=XLOOKUP($A25,TasksTable[Task ID],TasksTable[Start Date],"")),"◆",""))</x:f>
      </x:c>
      <x:c r="I25" s="90" t="str">
        <x:f>IF($A25="","",IF(AND($G25="Yes",I$2=XLOOKUP($A25,TasksTable[Task ID],TasksTable[Start Date],"")),"◆",""))</x:f>
      </x:c>
      <x:c r="J25" s="90" t="str">
        <x:f>IF($A25="","",IF(AND($G25="Yes",J$2=XLOOKUP($A25,TasksTable[Task ID],TasksTable[Start Date],"")),"◆",""))</x:f>
      </x:c>
      <x:c r="K25" s="90" t="str">
        <x:f>IF($A25="","",IF(AND($G25="Yes",K$2=XLOOKUP($A25,TasksTable[Task ID],TasksTable[Start Date],"")),"◆",""))</x:f>
      </x:c>
      <x:c r="L25" s="90" t="str">
        <x:f>IF($A25="","",IF(AND($G25="Yes",L$2=XLOOKUP($A25,TasksTable[Task ID],TasksTable[Start Date],"")),"◆",""))</x:f>
      </x:c>
      <x:c r="M25" s="90" t="str">
        <x:f>IF($A25="","",IF(AND($G25="Yes",M$2=XLOOKUP($A25,TasksTable[Task ID],TasksTable[Start Date],"")),"◆",""))</x:f>
      </x:c>
      <x:c r="N25" s="90" t="str">
        <x:f>IF($A25="","",IF(AND($G25="Yes",N$2=XLOOKUP($A25,TasksTable[Task ID],TasksTable[Start Date],"")),"◆",""))</x:f>
      </x:c>
      <x:c r="O25" s="90" t="str">
        <x:f>IF($A25="","",IF(AND($G25="Yes",O$2=XLOOKUP($A25,TasksTable[Task ID],TasksTable[Start Date],"")),"◆",""))</x:f>
      </x:c>
      <x:c r="P25" s="90" t="str">
        <x:f>IF($A25="","",IF(AND($G25="Yes",P$2=XLOOKUP($A25,TasksTable[Task ID],TasksTable[Start Date],"")),"◆",""))</x:f>
      </x:c>
      <x:c r="Q25" s="90" t="str">
        <x:f>IF($A25="","",IF(AND($G25="Yes",Q$2=XLOOKUP($A25,TasksTable[Task ID],TasksTable[Start Date],"")),"◆",""))</x:f>
      </x:c>
      <x:c r="R25" s="90" t="str">
        <x:f>IF($A25="","",IF(AND($G25="Yes",R$2=XLOOKUP($A25,TasksTable[Task ID],TasksTable[Start Date],"")),"◆",""))</x:f>
      </x:c>
      <x:c r="S25" s="90" t="str">
        <x:f>IF($A25="","",IF(AND($G25="Yes",S$2=XLOOKUP($A25,TasksTable[Task ID],TasksTable[Start Date],"")),"◆",""))</x:f>
      </x:c>
      <x:c r="T25" s="90" t="str">
        <x:f>IF($A25="","",IF(AND($G25="Yes",T$2=XLOOKUP($A25,TasksTable[Task ID],TasksTable[Start Date],"")),"◆",""))</x:f>
      </x:c>
      <x:c r="U25" s="90" t="str">
        <x:f>IF($A25="","",IF(AND($G25="Yes",U$2=XLOOKUP($A25,TasksTable[Task ID],TasksTable[Start Date],"")),"◆",""))</x:f>
      </x:c>
      <x:c r="V25" s="90" t="str">
        <x:f>IF($A25="","",IF(AND($G25="Yes",V$2=XLOOKUP($A25,TasksTable[Task ID],TasksTable[Start Date],"")),"◆",""))</x:f>
      </x:c>
      <x:c r="W25" s="90" t="str">
        <x:f>IF($A25="","",IF(AND($G25="Yes",W$2=XLOOKUP($A25,TasksTable[Task ID],TasksTable[Start Date],"")),"◆",""))</x:f>
      </x:c>
      <x:c r="X25" s="90" t="str">
        <x:f>IF($A25="","",IF(AND($G25="Yes",X$2=XLOOKUP($A25,TasksTable[Task ID],TasksTable[Start Date],"")),"◆",""))</x:f>
      </x:c>
      <x:c r="Y25" s="90" t="str">
        <x:f>IF($A25="","",IF(AND($G25="Yes",Y$2=XLOOKUP($A25,TasksTable[Task ID],TasksTable[Start Date],"")),"◆",""))</x:f>
      </x:c>
      <x:c r="Z25" s="90" t="str">
        <x:f>IF($A25="","",IF(AND($G25="Yes",Z$2=XLOOKUP($A25,TasksTable[Task ID],TasksTable[Start Date],"")),"◆",""))</x:f>
      </x:c>
      <x:c r="AA25" s="90" t="str">
        <x:f>IF($A25="","",IF(AND($G25="Yes",AA$2=XLOOKUP($A25,TasksTable[Task ID],TasksTable[Start Date],"")),"◆",""))</x:f>
      </x:c>
      <x:c r="AB25" s="90" t="str">
        <x:f>IF($A25="","",IF(AND($G25="Yes",AB$2=XLOOKUP($A25,TasksTable[Task ID],TasksTable[Start Date],"")),"◆",""))</x:f>
      </x:c>
      <x:c r="AC25" s="90" t="str">
        <x:f>IF($A25="","",IF(AND($G25="Yes",AC$2=XLOOKUP($A25,TasksTable[Task ID],TasksTable[Start Date],"")),"◆",""))</x:f>
      </x:c>
      <x:c r="AD25" s="90" t="str">
        <x:f>IF($A25="","",IF(AND($G25="Yes",AD$2=XLOOKUP($A25,TasksTable[Task ID],TasksTable[Start Date],"")),"◆",""))</x:f>
      </x:c>
      <x:c r="AE25" s="90" t="str">
        <x:f>IF($A25="","",IF(AND($G25="Yes",AE$2=XLOOKUP($A25,TasksTable[Task ID],TasksTable[Start Date],"")),"◆",""))</x:f>
      </x:c>
      <x:c r="AF25" s="90" t="str">
        <x:f>IF($A25="","",IF(AND($G25="Yes",AF$2=XLOOKUP($A25,TasksTable[Task ID],TasksTable[Start Date],"")),"◆",""))</x:f>
      </x:c>
      <x:c r="AG25" s="90" t="str">
        <x:f>IF($A25="","",IF(AND($G25="Yes",AG$2=XLOOKUP($A25,TasksTable[Task ID],TasksTable[Start Date],"")),"◆",""))</x:f>
      </x:c>
      <x:c r="AH25" s="90" t="str">
        <x:f>IF($A25="","",IF(AND($G25="Yes",AH$2=XLOOKUP($A25,TasksTable[Task ID],TasksTable[Start Date],"")),"◆",""))</x:f>
      </x:c>
      <x:c r="AI25" s="90" t="str">
        <x:f>IF($A25="","",IF(AND($G25="Yes",AI$2=XLOOKUP($A25,TasksTable[Task ID],TasksTable[Start Date],"")),"◆",""))</x:f>
      </x:c>
      <x:c r="AJ25" s="90" t="str">
        <x:f>IF($A25="","",IF(AND($G25="Yes",AJ$2=XLOOKUP($A25,TasksTable[Task ID],TasksTable[Start Date],"")),"◆",""))</x:f>
      </x:c>
      <x:c r="AK25" s="90" t="str">
        <x:f>IF($A25="","",IF(AND($G25="Yes",AK$2=XLOOKUP($A25,TasksTable[Task ID],TasksTable[Start Date],"")),"◆",""))</x:f>
      </x:c>
      <x:c r="AL25" s="90" t="str">
        <x:f>IF($A25="","",IF(AND($G25="Yes",AL$2=XLOOKUP($A25,TasksTable[Task ID],TasksTable[Start Date],"")),"◆",""))</x:f>
      </x:c>
      <x:c r="AM25" s="90" t="str">
        <x:f>IF($A25="","",IF(AND($G25="Yes",AM$2=XLOOKUP($A25,TasksTable[Task ID],TasksTable[Start Date],"")),"◆",""))</x:f>
      </x:c>
      <x:c r="AN25" s="90" t="str">
        <x:f>IF($A25="","",IF(AND($G25="Yes",AN$2=XLOOKUP($A25,TasksTable[Task ID],TasksTable[Start Date],"")),"◆",""))</x:f>
      </x:c>
      <x:c r="AO25" s="90" t="str">
        <x:f>IF($A25="","",IF(AND($G25="Yes",AO$2=XLOOKUP($A25,TasksTable[Task ID],TasksTable[Start Date],"")),"◆",""))</x:f>
      </x:c>
    </x:row>
    <x:row r="26">
      <x:c r="A26" s="10" t="str">
        <x:f>IFERROR(INDEX(TasksTable[Task ID],ROWS($A$4:A26)),"")</x:f>
        <x:v>T20</x:v>
      </x:c>
      <x:c r="B26" s="10" t="str">
        <x:f>IF($A26="","",IFERROR(XLOOKUP($A26,TasksTable[Task ID],TasksTable[Phase],""),""))</x:f>
        <x:v>M4 · Domain Intelligence Ingestion &amp; Asset Synthesis Complete</x:v>
      </x:c>
      <x:c r="C26" s="10" t="str">
        <x:f>IF($A26="","",IFERROR(XLOOKUP($A26,TasksTable[Task ID],TasksTable[Task Name],""),""))</x:f>
        <x:v>Generate creative ad copy variants, hooks, visual briefs &amp; posts (W_CREAT)</x:v>
      </x:c>
      <x:c r="D26" s="10" t="str">
        <x:f>IF($A26="","",IFERROR(XLOOKUP($A26,TasksTable[Task ID],TasksTable[Status],""),""))</x:f>
        <x:v>Not Started</x:v>
      </x:c>
      <x:c r="E26" s="86" t="n">
        <x:f>IF($A26="","",IFERROR(XLOOKUP($A26,TasksTable[Task ID],TasksTable[Progress %],0),0))</x:f>
        <x:v>0</x:v>
      </x:c>
      <x:c r="F26" s="10" t="str">
        <x:f>IF($A26="","",IFERROR(XLOOKUP($A26,TasksTable[Task ID],TasksTable[Schedule Health],""),""))</x:f>
        <x:v>On Track</x:v>
      </x:c>
      <x:c r="G26" s="10" t="str">
        <x:f>IF($A26="","",IFERROR(XLOOKUP($A26,TasksTable[Task ID],TasksTable[Milestone],""),""))</x:f>
        <x:v>No</x:v>
      </x:c>
      <x:c r="H26" s="90" t="str">
        <x:f>IF($A26="","",IF(AND($G26="Yes",H$2=XLOOKUP($A26,TasksTable[Task ID],TasksTable[Start Date],"")),"◆",""))</x:f>
      </x:c>
      <x:c r="I26" s="90" t="str">
        <x:f>IF($A26="","",IF(AND($G26="Yes",I$2=XLOOKUP($A26,TasksTable[Task ID],TasksTable[Start Date],"")),"◆",""))</x:f>
      </x:c>
      <x:c r="J26" s="90" t="str">
        <x:f>IF($A26="","",IF(AND($G26="Yes",J$2=XLOOKUP($A26,TasksTable[Task ID],TasksTable[Start Date],"")),"◆",""))</x:f>
      </x:c>
      <x:c r="K26" s="90" t="str">
        <x:f>IF($A26="","",IF(AND($G26="Yes",K$2=XLOOKUP($A26,TasksTable[Task ID],TasksTable[Start Date],"")),"◆",""))</x:f>
      </x:c>
      <x:c r="L26" s="90" t="str">
        <x:f>IF($A26="","",IF(AND($G26="Yes",L$2=XLOOKUP($A26,TasksTable[Task ID],TasksTable[Start Date],"")),"◆",""))</x:f>
      </x:c>
      <x:c r="M26" s="90" t="str">
        <x:f>IF($A26="","",IF(AND($G26="Yes",M$2=XLOOKUP($A26,TasksTable[Task ID],TasksTable[Start Date],"")),"◆",""))</x:f>
      </x:c>
      <x:c r="N26" s="90" t="str">
        <x:f>IF($A26="","",IF(AND($G26="Yes",N$2=XLOOKUP($A26,TasksTable[Task ID],TasksTable[Start Date],"")),"◆",""))</x:f>
      </x:c>
      <x:c r="O26" s="90" t="str">
        <x:f>IF($A26="","",IF(AND($G26="Yes",O$2=XLOOKUP($A26,TasksTable[Task ID],TasksTable[Start Date],"")),"◆",""))</x:f>
      </x:c>
      <x:c r="P26" s="90" t="str">
        <x:f>IF($A26="","",IF(AND($G26="Yes",P$2=XLOOKUP($A26,TasksTable[Task ID],TasksTable[Start Date],"")),"◆",""))</x:f>
      </x:c>
      <x:c r="Q26" s="90" t="str">
        <x:f>IF($A26="","",IF(AND($G26="Yes",Q$2=XLOOKUP($A26,TasksTable[Task ID],TasksTable[Start Date],"")),"◆",""))</x:f>
      </x:c>
      <x:c r="R26" s="90" t="str">
        <x:f>IF($A26="","",IF(AND($G26="Yes",R$2=XLOOKUP($A26,TasksTable[Task ID],TasksTable[Start Date],"")),"◆",""))</x:f>
      </x:c>
      <x:c r="S26" s="90" t="str">
        <x:f>IF($A26="","",IF(AND($G26="Yes",S$2=XLOOKUP($A26,TasksTable[Task ID],TasksTable[Start Date],"")),"◆",""))</x:f>
      </x:c>
      <x:c r="T26" s="90" t="str">
        <x:f>IF($A26="","",IF(AND($G26="Yes",T$2=XLOOKUP($A26,TasksTable[Task ID],TasksTable[Start Date],"")),"◆",""))</x:f>
      </x:c>
      <x:c r="U26" s="90" t="str">
        <x:f>IF($A26="","",IF(AND($G26="Yes",U$2=XLOOKUP($A26,TasksTable[Task ID],TasksTable[Start Date],"")),"◆",""))</x:f>
      </x:c>
      <x:c r="V26" s="90" t="str">
        <x:f>IF($A26="","",IF(AND($G26="Yes",V$2=XLOOKUP($A26,TasksTable[Task ID],TasksTable[Start Date],"")),"◆",""))</x:f>
      </x:c>
      <x:c r="W26" s="90" t="str">
        <x:f>IF($A26="","",IF(AND($G26="Yes",W$2=XLOOKUP($A26,TasksTable[Task ID],TasksTable[Start Date],"")),"◆",""))</x:f>
      </x:c>
      <x:c r="X26" s="90" t="str">
        <x:f>IF($A26="","",IF(AND($G26="Yes",X$2=XLOOKUP($A26,TasksTable[Task ID],TasksTable[Start Date],"")),"◆",""))</x:f>
      </x:c>
      <x:c r="Y26" s="90" t="str">
        <x:f>IF($A26="","",IF(AND($G26="Yes",Y$2=XLOOKUP($A26,TasksTable[Task ID],TasksTable[Start Date],"")),"◆",""))</x:f>
      </x:c>
      <x:c r="Z26" s="90" t="str">
        <x:f>IF($A26="","",IF(AND($G26="Yes",Z$2=XLOOKUP($A26,TasksTable[Task ID],TasksTable[Start Date],"")),"◆",""))</x:f>
      </x:c>
      <x:c r="AA26" s="90" t="str">
        <x:f>IF($A26="","",IF(AND($G26="Yes",AA$2=XLOOKUP($A26,TasksTable[Task ID],TasksTable[Start Date],"")),"◆",""))</x:f>
      </x:c>
      <x:c r="AB26" s="90" t="str">
        <x:f>IF($A26="","",IF(AND($G26="Yes",AB$2=XLOOKUP($A26,TasksTable[Task ID],TasksTable[Start Date],"")),"◆",""))</x:f>
      </x:c>
      <x:c r="AC26" s="90" t="str">
        <x:f>IF($A26="","",IF(AND($G26="Yes",AC$2=XLOOKUP($A26,TasksTable[Task ID],TasksTable[Start Date],"")),"◆",""))</x:f>
      </x:c>
      <x:c r="AD26" s="90" t="str">
        <x:f>IF($A26="","",IF(AND($G26="Yes",AD$2=XLOOKUP($A26,TasksTable[Task ID],TasksTable[Start Date],"")),"◆",""))</x:f>
      </x:c>
      <x:c r="AE26" s="90" t="str">
        <x:f>IF($A26="","",IF(AND($G26="Yes",AE$2=XLOOKUP($A26,TasksTable[Task ID],TasksTable[Start Date],"")),"◆",""))</x:f>
      </x:c>
      <x:c r="AF26" s="90" t="str">
        <x:f>IF($A26="","",IF(AND($G26="Yes",AF$2=XLOOKUP($A26,TasksTable[Task ID],TasksTable[Start Date],"")),"◆",""))</x:f>
      </x:c>
      <x:c r="AG26" s="90" t="str">
        <x:f>IF($A26="","",IF(AND($G26="Yes",AG$2=XLOOKUP($A26,TasksTable[Task ID],TasksTable[Start Date],"")),"◆",""))</x:f>
      </x:c>
      <x:c r="AH26" s="90" t="str">
        <x:f>IF($A26="","",IF(AND($G26="Yes",AH$2=XLOOKUP($A26,TasksTable[Task ID],TasksTable[Start Date],"")),"◆",""))</x:f>
      </x:c>
      <x:c r="AI26" s="90" t="str">
        <x:f>IF($A26="","",IF(AND($G26="Yes",AI$2=XLOOKUP($A26,TasksTable[Task ID],TasksTable[Start Date],"")),"◆",""))</x:f>
      </x:c>
      <x:c r="AJ26" s="90" t="str">
        <x:f>IF($A26="","",IF(AND($G26="Yes",AJ$2=XLOOKUP($A26,TasksTable[Task ID],TasksTable[Start Date],"")),"◆",""))</x:f>
      </x:c>
      <x:c r="AK26" s="90" t="str">
        <x:f>IF($A26="","",IF(AND($G26="Yes",AK$2=XLOOKUP($A26,TasksTable[Task ID],TasksTable[Start Date],"")),"◆",""))</x:f>
      </x:c>
      <x:c r="AL26" s="90" t="str">
        <x:f>IF($A26="","",IF(AND($G26="Yes",AL$2=XLOOKUP($A26,TasksTable[Task ID],TasksTable[Start Date],"")),"◆",""))</x:f>
      </x:c>
      <x:c r="AM26" s="90" t="str">
        <x:f>IF($A26="","",IF(AND($G26="Yes",AM$2=XLOOKUP($A26,TasksTable[Task ID],TasksTable[Start Date],"")),"◆",""))</x:f>
      </x:c>
      <x:c r="AN26" s="90" t="str">
        <x:f>IF($A26="","",IF(AND($G26="Yes",AN$2=XLOOKUP($A26,TasksTable[Task ID],TasksTable[Start Date],"")),"◆",""))</x:f>
      </x:c>
      <x:c r="AO26" s="90" t="str">
        <x:f>IF($A26="","",IF(AND($G26="Yes",AO$2=XLOOKUP($A26,TasksTable[Task ID],TasksTable[Start Date],"")),"◆",""))</x:f>
      </x:c>
    </x:row>
    <x:row r="27">
      <x:c r="A27" s="10" t="str">
        <x:f>IFERROR(INDEX(TasksTable[Task ID],ROWS($A$4:A27)),"")</x:f>
        <x:v>T21</x:v>
      </x:c>
      <x:c r="B27" s="10" t="str">
        <x:f>IF($A27="","",IFERROR(XLOOKUP($A27,TasksTable[Task ID],TasksTable[Phase],""),""))</x:f>
        <x:v>M4 · Domain Intelligence Ingestion &amp; Asset Synthesis Complete</x:v>
      </x:c>
      <x:c r="C27" s="10" t="str">
        <x:f>IF($A27="","",IFERROR(XLOOKUP($A27,TasksTable[Task ID],TasksTable[Task Name],""),""))</x:f>
        <x:v>Engineer responsive UI templates, CMS schemas &amp; code diffs (W_DEV)</x:v>
      </x:c>
      <x:c r="D27" s="10" t="str">
        <x:f>IF($A27="","",IFERROR(XLOOKUP($A27,TasksTable[Task ID],TasksTable[Status],""),""))</x:f>
        <x:v>Not Started</x:v>
      </x:c>
      <x:c r="E27" s="86" t="n">
        <x:f>IF($A27="","",IFERROR(XLOOKUP($A27,TasksTable[Task ID],TasksTable[Progress %],0),0))</x:f>
        <x:v>0</x:v>
      </x:c>
      <x:c r="F27" s="10" t="str">
        <x:f>IF($A27="","",IFERROR(XLOOKUP($A27,TasksTable[Task ID],TasksTable[Schedule Health],""),""))</x:f>
        <x:v>On Track</x:v>
      </x:c>
      <x:c r="G27" s="10" t="str">
        <x:f>IF($A27="","",IFERROR(XLOOKUP($A27,TasksTable[Task ID],TasksTable[Milestone],""),""))</x:f>
        <x:v>No</x:v>
      </x:c>
      <x:c r="H27" s="90" t="str">
        <x:f>IF($A27="","",IF(AND($G27="Yes",H$2=XLOOKUP($A27,TasksTable[Task ID],TasksTable[Start Date],"")),"◆",""))</x:f>
      </x:c>
      <x:c r="I27" s="90" t="str">
        <x:f>IF($A27="","",IF(AND($G27="Yes",I$2=XLOOKUP($A27,TasksTable[Task ID],TasksTable[Start Date],"")),"◆",""))</x:f>
      </x:c>
      <x:c r="J27" s="90" t="str">
        <x:f>IF($A27="","",IF(AND($G27="Yes",J$2=XLOOKUP($A27,TasksTable[Task ID],TasksTable[Start Date],"")),"◆",""))</x:f>
      </x:c>
      <x:c r="K27" s="90" t="str">
        <x:f>IF($A27="","",IF(AND($G27="Yes",K$2=XLOOKUP($A27,TasksTable[Task ID],TasksTable[Start Date],"")),"◆",""))</x:f>
      </x:c>
      <x:c r="L27" s="90" t="str">
        <x:f>IF($A27="","",IF(AND($G27="Yes",L$2=XLOOKUP($A27,TasksTable[Task ID],TasksTable[Start Date],"")),"◆",""))</x:f>
      </x:c>
      <x:c r="M27" s="90" t="str">
        <x:f>IF($A27="","",IF(AND($G27="Yes",M$2=XLOOKUP($A27,TasksTable[Task ID],TasksTable[Start Date],"")),"◆",""))</x:f>
      </x:c>
      <x:c r="N27" s="90" t="str">
        <x:f>IF($A27="","",IF(AND($G27="Yes",N$2=XLOOKUP($A27,TasksTable[Task ID],TasksTable[Start Date],"")),"◆",""))</x:f>
      </x:c>
      <x:c r="O27" s="90" t="str">
        <x:f>IF($A27="","",IF(AND($G27="Yes",O$2=XLOOKUP($A27,TasksTable[Task ID],TasksTable[Start Date],"")),"◆",""))</x:f>
      </x:c>
      <x:c r="P27" s="90" t="str">
        <x:f>IF($A27="","",IF(AND($G27="Yes",P$2=XLOOKUP($A27,TasksTable[Task ID],TasksTable[Start Date],"")),"◆",""))</x:f>
      </x:c>
      <x:c r="Q27" s="90" t="str">
        <x:f>IF($A27="","",IF(AND($G27="Yes",Q$2=XLOOKUP($A27,TasksTable[Task ID],TasksTable[Start Date],"")),"◆",""))</x:f>
      </x:c>
      <x:c r="R27" s="90" t="str">
        <x:f>IF($A27="","",IF(AND($G27="Yes",R$2=XLOOKUP($A27,TasksTable[Task ID],TasksTable[Start Date],"")),"◆",""))</x:f>
      </x:c>
      <x:c r="S27" s="90" t="str">
        <x:f>IF($A27="","",IF(AND($G27="Yes",S$2=XLOOKUP($A27,TasksTable[Task ID],TasksTable[Start Date],"")),"◆",""))</x:f>
      </x:c>
      <x:c r="T27" s="90" t="str">
        <x:f>IF($A27="","",IF(AND($G27="Yes",T$2=XLOOKUP($A27,TasksTable[Task ID],TasksTable[Start Date],"")),"◆",""))</x:f>
      </x:c>
      <x:c r="U27" s="90" t="str">
        <x:f>IF($A27="","",IF(AND($G27="Yes",U$2=XLOOKUP($A27,TasksTable[Task ID],TasksTable[Start Date],"")),"◆",""))</x:f>
      </x:c>
      <x:c r="V27" s="90" t="str">
        <x:f>IF($A27="","",IF(AND($G27="Yes",V$2=XLOOKUP($A27,TasksTable[Task ID],TasksTable[Start Date],"")),"◆",""))</x:f>
      </x:c>
      <x:c r="W27" s="90" t="str">
        <x:f>IF($A27="","",IF(AND($G27="Yes",W$2=XLOOKUP($A27,TasksTable[Task ID],TasksTable[Start Date],"")),"◆",""))</x:f>
      </x:c>
      <x:c r="X27" s="90" t="str">
        <x:f>IF($A27="","",IF(AND($G27="Yes",X$2=XLOOKUP($A27,TasksTable[Task ID],TasksTable[Start Date],"")),"◆",""))</x:f>
      </x:c>
      <x:c r="Y27" s="90" t="str">
        <x:f>IF($A27="","",IF(AND($G27="Yes",Y$2=XLOOKUP($A27,TasksTable[Task ID],TasksTable[Start Date],"")),"◆",""))</x:f>
      </x:c>
      <x:c r="Z27" s="90" t="str">
        <x:f>IF($A27="","",IF(AND($G27="Yes",Z$2=XLOOKUP($A27,TasksTable[Task ID],TasksTable[Start Date],"")),"◆",""))</x:f>
      </x:c>
      <x:c r="AA27" s="90" t="str">
        <x:f>IF($A27="","",IF(AND($G27="Yes",AA$2=XLOOKUP($A27,TasksTable[Task ID],TasksTable[Start Date],"")),"◆",""))</x:f>
      </x:c>
      <x:c r="AB27" s="90" t="str">
        <x:f>IF($A27="","",IF(AND($G27="Yes",AB$2=XLOOKUP($A27,TasksTable[Task ID],TasksTable[Start Date],"")),"◆",""))</x:f>
      </x:c>
      <x:c r="AC27" s="90" t="str">
        <x:f>IF($A27="","",IF(AND($G27="Yes",AC$2=XLOOKUP($A27,TasksTable[Task ID],TasksTable[Start Date],"")),"◆",""))</x:f>
      </x:c>
      <x:c r="AD27" s="90" t="str">
        <x:f>IF($A27="","",IF(AND($G27="Yes",AD$2=XLOOKUP($A27,TasksTable[Task ID],TasksTable[Start Date],"")),"◆",""))</x:f>
      </x:c>
      <x:c r="AE27" s="90" t="str">
        <x:f>IF($A27="","",IF(AND($G27="Yes",AE$2=XLOOKUP($A27,TasksTable[Task ID],TasksTable[Start Date],"")),"◆",""))</x:f>
      </x:c>
      <x:c r="AF27" s="90" t="str">
        <x:f>IF($A27="","",IF(AND($G27="Yes",AF$2=XLOOKUP($A27,TasksTable[Task ID],TasksTable[Start Date],"")),"◆",""))</x:f>
      </x:c>
      <x:c r="AG27" s="90" t="str">
        <x:f>IF($A27="","",IF(AND($G27="Yes",AG$2=XLOOKUP($A27,TasksTable[Task ID],TasksTable[Start Date],"")),"◆",""))</x:f>
      </x:c>
      <x:c r="AH27" s="90" t="str">
        <x:f>IF($A27="","",IF(AND($G27="Yes",AH$2=XLOOKUP($A27,TasksTable[Task ID],TasksTable[Start Date],"")),"◆",""))</x:f>
      </x:c>
      <x:c r="AI27" s="90" t="str">
        <x:f>IF($A27="","",IF(AND($G27="Yes",AI$2=XLOOKUP($A27,TasksTable[Task ID],TasksTable[Start Date],"")),"◆",""))</x:f>
      </x:c>
      <x:c r="AJ27" s="90" t="str">
        <x:f>IF($A27="","",IF(AND($G27="Yes",AJ$2=XLOOKUP($A27,TasksTable[Task ID],TasksTable[Start Date],"")),"◆",""))</x:f>
      </x:c>
      <x:c r="AK27" s="90" t="str">
        <x:f>IF($A27="","",IF(AND($G27="Yes",AK$2=XLOOKUP($A27,TasksTable[Task ID],TasksTable[Start Date],"")),"◆",""))</x:f>
      </x:c>
      <x:c r="AL27" s="90" t="str">
        <x:f>IF($A27="","",IF(AND($G27="Yes",AL$2=XLOOKUP($A27,TasksTable[Task ID],TasksTable[Start Date],"")),"◆",""))</x:f>
      </x:c>
      <x:c r="AM27" s="90" t="str">
        <x:f>IF($A27="","",IF(AND($G27="Yes",AM$2=XLOOKUP($A27,TasksTable[Task ID],TasksTable[Start Date],"")),"◆",""))</x:f>
      </x:c>
      <x:c r="AN27" s="90" t="str">
        <x:f>IF($A27="","",IF(AND($G27="Yes",AN$2=XLOOKUP($A27,TasksTable[Task ID],TasksTable[Start Date],"")),"◆",""))</x:f>
      </x:c>
      <x:c r="AO27" s="90" t="str">
        <x:f>IF($A27="","",IF(AND($G27="Yes",AO$2=XLOOKUP($A27,TasksTable[Task ID],TasksTable[Start Date],"")),"◆",""))</x:f>
      </x:c>
    </x:row>
    <x:row r="28">
      <x:c r="A28" s="10" t="str">
        <x:f>IFERROR(INDEX(TasksTable[Task ID],ROWS($A$4:A28)),"")</x:f>
        <x:v>M4</x:v>
      </x:c>
      <x:c r="B28" s="10" t="str">
        <x:f>IF($A28="","",IFERROR(XLOOKUP($A28,TasksTable[Task ID],TasksTable[Phase],""),""))</x:f>
        <x:v>M4 · Domain Intelligence Ingestion &amp; Asset Synthesis Complete</x:v>
      </x:c>
      <x:c r="C28" s="10" t="str">
        <x:f>IF($A28="","",IFERROR(XLOOKUP($A28,TasksTable[Task ID],TasksTable[Task Name],""),""))</x:f>
        <x:v>Domain Intelligence Ingestion &amp; Asset Synthesis Complete</x:v>
      </x:c>
      <x:c r="D28" s="10" t="str">
        <x:f>IF($A28="","",IFERROR(XLOOKUP($A28,TasksTable[Task ID],TasksTable[Status],""),""))</x:f>
        <x:v>Not Started</x:v>
      </x:c>
      <x:c r="E28" s="86" t="n">
        <x:f>IF($A28="","",IFERROR(XLOOKUP($A28,TasksTable[Task ID],TasksTable[Progress %],0),0))</x:f>
        <x:v>0</x:v>
      </x:c>
      <x:c r="F28" s="10" t="str">
        <x:f>IF($A28="","",IFERROR(XLOOKUP($A28,TasksTable[Task ID],TasksTable[Schedule Health],""),""))</x:f>
        <x:v>On Track</x:v>
      </x:c>
      <x:c r="G28" s="10" t="str">
        <x:f>IF($A28="","",IFERROR(XLOOKUP($A28,TasksTable[Task ID],TasksTable[Milestone],""),""))</x:f>
        <x:v>Yes</x:v>
      </x:c>
      <x:c r="H28" s="90" t="str">
        <x:f>IF($A28="","",IF(AND($G28="Yes",H$2=XLOOKUP($A28,TasksTable[Task ID],TasksTable[Start Date],"")),"◆",""))</x:f>
      </x:c>
      <x:c r="I28" s="90" t="str">
        <x:f>IF($A28="","",IF(AND($G28="Yes",I$2=XLOOKUP($A28,TasksTable[Task ID],TasksTable[Start Date],"")),"◆",""))</x:f>
      </x:c>
      <x:c r="J28" s="90" t="str">
        <x:f>IF($A28="","",IF(AND($G28="Yes",J$2=XLOOKUP($A28,TasksTable[Task ID],TasksTable[Start Date],"")),"◆",""))</x:f>
      </x:c>
      <x:c r="K28" s="90" t="str">
        <x:f>IF($A28="","",IF(AND($G28="Yes",K$2=XLOOKUP($A28,TasksTable[Task ID],TasksTable[Start Date],"")),"◆",""))</x:f>
      </x:c>
      <x:c r="L28" s="90" t="str">
        <x:f>IF($A28="","",IF(AND($G28="Yes",L$2=XLOOKUP($A28,TasksTable[Task ID],TasksTable[Start Date],"")),"◆",""))</x:f>
      </x:c>
      <x:c r="M28" s="90" t="str">
        <x:f>IF($A28="","",IF(AND($G28="Yes",M$2=XLOOKUP($A28,TasksTable[Task ID],TasksTable[Start Date],"")),"◆",""))</x:f>
      </x:c>
      <x:c r="N28" s="90" t="str">
        <x:f>IF($A28="","",IF(AND($G28="Yes",N$2=XLOOKUP($A28,TasksTable[Task ID],TasksTable[Start Date],"")),"◆",""))</x:f>
      </x:c>
      <x:c r="O28" s="90" t="str">
        <x:f>IF($A28="","",IF(AND($G28="Yes",O$2=XLOOKUP($A28,TasksTable[Task ID],TasksTable[Start Date],"")),"◆",""))</x:f>
      </x:c>
      <x:c r="P28" s="90" t="str">
        <x:f>IF($A28="","",IF(AND($G28="Yes",P$2=XLOOKUP($A28,TasksTable[Task ID],TasksTable[Start Date],"")),"◆",""))</x:f>
      </x:c>
      <x:c r="Q28" s="90" t="str">
        <x:f>IF($A28="","",IF(AND($G28="Yes",Q$2=XLOOKUP($A28,TasksTable[Task ID],TasksTable[Start Date],"")),"◆",""))</x:f>
      </x:c>
      <x:c r="R28" s="90" t="str">
        <x:f>IF($A28="","",IF(AND($G28="Yes",R$2=XLOOKUP($A28,TasksTable[Task ID],TasksTable[Start Date],"")),"◆",""))</x:f>
      </x:c>
      <x:c r="S28" s="90" t="str">
        <x:f>IF($A28="","",IF(AND($G28="Yes",S$2=XLOOKUP($A28,TasksTable[Task ID],TasksTable[Start Date],"")),"◆",""))</x:f>
      </x:c>
      <x:c r="T28" s="90" t="str">
        <x:f>IF($A28="","",IF(AND($G28="Yes",T$2=XLOOKUP($A28,TasksTable[Task ID],TasksTable[Start Date],"")),"◆",""))</x:f>
      </x:c>
      <x:c r="U28" s="90" t="str">
        <x:f>IF($A28="","",IF(AND($G28="Yes",U$2=XLOOKUP($A28,TasksTable[Task ID],TasksTable[Start Date],"")),"◆",""))</x:f>
      </x:c>
      <x:c r="V28" s="90" t="str">
        <x:f>IF($A28="","",IF(AND($G28="Yes",V$2=XLOOKUP($A28,TasksTable[Task ID],TasksTable[Start Date],"")),"◆",""))</x:f>
      </x:c>
      <x:c r="W28" s="90" t="str">
        <x:f>IF($A28="","",IF(AND($G28="Yes",W$2=XLOOKUP($A28,TasksTable[Task ID],TasksTable[Start Date],"")),"◆",""))</x:f>
      </x:c>
      <x:c r="X28" s="90" t="str">
        <x:f>IF($A28="","",IF(AND($G28="Yes",X$2=XLOOKUP($A28,TasksTable[Task ID],TasksTable[Start Date],"")),"◆",""))</x:f>
      </x:c>
      <x:c r="Y28" s="90" t="str">
        <x:f>IF($A28="","",IF(AND($G28="Yes",Y$2=XLOOKUP($A28,TasksTable[Task ID],TasksTable[Start Date],"")),"◆",""))</x:f>
      </x:c>
      <x:c r="Z28" s="90" t="str">
        <x:f>IF($A28="","",IF(AND($G28="Yes",Z$2=XLOOKUP($A28,TasksTable[Task ID],TasksTable[Start Date],"")),"◆",""))</x:f>
      </x:c>
      <x:c r="AA28" s="90" t="str">
        <x:f>IF($A28="","",IF(AND($G28="Yes",AA$2=XLOOKUP($A28,TasksTable[Task ID],TasksTable[Start Date],"")),"◆",""))</x:f>
      </x:c>
      <x:c r="AB28" s="90" t="str">
        <x:f>IF($A28="","",IF(AND($G28="Yes",AB$2=XLOOKUP($A28,TasksTable[Task ID],TasksTable[Start Date],"")),"◆",""))</x:f>
      </x:c>
      <x:c r="AC28" s="90" t="str">
        <x:f>IF($A28="","",IF(AND($G28="Yes",AC$2=XLOOKUP($A28,TasksTable[Task ID],TasksTable[Start Date],"")),"◆",""))</x:f>
        <x:v>◆</x:v>
      </x:c>
      <x:c r="AD28" s="90" t="str">
        <x:f>IF($A28="","",IF(AND($G28="Yes",AD$2=XLOOKUP($A28,TasksTable[Task ID],TasksTable[Start Date],"")),"◆",""))</x:f>
      </x:c>
      <x:c r="AE28" s="90" t="str">
        <x:f>IF($A28="","",IF(AND($G28="Yes",AE$2=XLOOKUP($A28,TasksTable[Task ID],TasksTable[Start Date],"")),"◆",""))</x:f>
      </x:c>
      <x:c r="AF28" s="90" t="str">
        <x:f>IF($A28="","",IF(AND($G28="Yes",AF$2=XLOOKUP($A28,TasksTable[Task ID],TasksTable[Start Date],"")),"◆",""))</x:f>
      </x:c>
      <x:c r="AG28" s="90" t="str">
        <x:f>IF($A28="","",IF(AND($G28="Yes",AG$2=XLOOKUP($A28,TasksTable[Task ID],TasksTable[Start Date],"")),"◆",""))</x:f>
      </x:c>
      <x:c r="AH28" s="90" t="str">
        <x:f>IF($A28="","",IF(AND($G28="Yes",AH$2=XLOOKUP($A28,TasksTable[Task ID],TasksTable[Start Date],"")),"◆",""))</x:f>
      </x:c>
      <x:c r="AI28" s="90" t="str">
        <x:f>IF($A28="","",IF(AND($G28="Yes",AI$2=XLOOKUP($A28,TasksTable[Task ID],TasksTable[Start Date],"")),"◆",""))</x:f>
      </x:c>
      <x:c r="AJ28" s="90" t="str">
        <x:f>IF($A28="","",IF(AND($G28="Yes",AJ$2=XLOOKUP($A28,TasksTable[Task ID],TasksTable[Start Date],"")),"◆",""))</x:f>
      </x:c>
      <x:c r="AK28" s="90" t="str">
        <x:f>IF($A28="","",IF(AND($G28="Yes",AK$2=XLOOKUP($A28,TasksTable[Task ID],TasksTable[Start Date],"")),"◆",""))</x:f>
      </x:c>
      <x:c r="AL28" s="90" t="str">
        <x:f>IF($A28="","",IF(AND($G28="Yes",AL$2=XLOOKUP($A28,TasksTable[Task ID],TasksTable[Start Date],"")),"◆",""))</x:f>
      </x:c>
      <x:c r="AM28" s="90" t="str">
        <x:f>IF($A28="","",IF(AND($G28="Yes",AM$2=XLOOKUP($A28,TasksTable[Task ID],TasksTable[Start Date],"")),"◆",""))</x:f>
      </x:c>
      <x:c r="AN28" s="90" t="str">
        <x:f>IF($A28="","",IF(AND($G28="Yes",AN$2=XLOOKUP($A28,TasksTable[Task ID],TasksTable[Start Date],"")),"◆",""))</x:f>
      </x:c>
      <x:c r="AO28" s="90" t="str">
        <x:f>IF($A28="","",IF(AND($G28="Yes",AO$2=XLOOKUP($A28,TasksTable[Task ID],TasksTable[Start Date],"")),"◆",""))</x:f>
      </x:c>
    </x:row>
    <x:row r="29">
      <x:c r="A29" s="10" t="str">
        <x:f>IFERROR(INDEX(TasksTable[Task ID],ROWS($A$4:A29)),"")</x:f>
        <x:v>T22</x:v>
      </x:c>
      <x:c r="B29" s="10" t="str">
        <x:f>IF($A29="","",IFERROR(XLOOKUP($A29,TasksTable[Task ID],TasksTable[Phase],""),""))</x:f>
        <x:v>M5 · HITL Gateway Clearance &amp; Cryptographic Authorization</x:v>
      </x:c>
      <x:c r="C29" s="10" t="str">
        <x:f>IF($A29="","",IFERROR(XLOOKUP($A29,TasksTable[Task ID],TasksTable[Task Name],""),""))</x:f>
        <x:v>Consolidate worker evidence envelopes &amp; verify confidence intervals</x:v>
      </x:c>
      <x:c r="D29" s="10" t="str">
        <x:f>IF($A29="","",IFERROR(XLOOKUP($A29,TasksTable[Task ID],TasksTable[Status],""),""))</x:f>
        <x:v>Not Started</x:v>
      </x:c>
      <x:c r="E29" s="86" t="n">
        <x:f>IF($A29="","",IFERROR(XLOOKUP($A29,TasksTable[Task ID],TasksTable[Progress %],0),0))</x:f>
        <x:v>0</x:v>
      </x:c>
      <x:c r="F29" s="10" t="str">
        <x:f>IF($A29="","",IFERROR(XLOOKUP($A29,TasksTable[Task ID],TasksTable[Schedule Health],""),""))</x:f>
        <x:v>On Track</x:v>
      </x:c>
      <x:c r="G29" s="10" t="str">
        <x:f>IF($A29="","",IFERROR(XLOOKUP($A29,TasksTable[Task ID],TasksTable[Milestone],""),""))</x:f>
        <x:v>No</x:v>
      </x:c>
      <x:c r="H29" s="90" t="str">
        <x:f>IF($A29="","",IF(AND($G29="Yes",H$2=XLOOKUP($A29,TasksTable[Task ID],TasksTable[Start Date],"")),"◆",""))</x:f>
      </x:c>
      <x:c r="I29" s="90" t="str">
        <x:f>IF($A29="","",IF(AND($G29="Yes",I$2=XLOOKUP($A29,TasksTable[Task ID],TasksTable[Start Date],"")),"◆",""))</x:f>
      </x:c>
      <x:c r="J29" s="90" t="str">
        <x:f>IF($A29="","",IF(AND($G29="Yes",J$2=XLOOKUP($A29,TasksTable[Task ID],TasksTable[Start Date],"")),"◆",""))</x:f>
      </x:c>
      <x:c r="K29" s="90" t="str">
        <x:f>IF($A29="","",IF(AND($G29="Yes",K$2=XLOOKUP($A29,TasksTable[Task ID],TasksTable[Start Date],"")),"◆",""))</x:f>
      </x:c>
      <x:c r="L29" s="90" t="str">
        <x:f>IF($A29="","",IF(AND($G29="Yes",L$2=XLOOKUP($A29,TasksTable[Task ID],TasksTable[Start Date],"")),"◆",""))</x:f>
      </x:c>
      <x:c r="M29" s="90" t="str">
        <x:f>IF($A29="","",IF(AND($G29="Yes",M$2=XLOOKUP($A29,TasksTable[Task ID],TasksTable[Start Date],"")),"◆",""))</x:f>
      </x:c>
      <x:c r="N29" s="90" t="str">
        <x:f>IF($A29="","",IF(AND($G29="Yes",N$2=XLOOKUP($A29,TasksTable[Task ID],TasksTable[Start Date],"")),"◆",""))</x:f>
      </x:c>
      <x:c r="O29" s="90" t="str">
        <x:f>IF($A29="","",IF(AND($G29="Yes",O$2=XLOOKUP($A29,TasksTable[Task ID],TasksTable[Start Date],"")),"◆",""))</x:f>
      </x:c>
      <x:c r="P29" s="90" t="str">
        <x:f>IF($A29="","",IF(AND($G29="Yes",P$2=XLOOKUP($A29,TasksTable[Task ID],TasksTable[Start Date],"")),"◆",""))</x:f>
      </x:c>
      <x:c r="Q29" s="90" t="str">
        <x:f>IF($A29="","",IF(AND($G29="Yes",Q$2=XLOOKUP($A29,TasksTable[Task ID],TasksTable[Start Date],"")),"◆",""))</x:f>
      </x:c>
      <x:c r="R29" s="90" t="str">
        <x:f>IF($A29="","",IF(AND($G29="Yes",R$2=XLOOKUP($A29,TasksTable[Task ID],TasksTable[Start Date],"")),"◆",""))</x:f>
      </x:c>
      <x:c r="S29" s="90" t="str">
        <x:f>IF($A29="","",IF(AND($G29="Yes",S$2=XLOOKUP($A29,TasksTable[Task ID],TasksTable[Start Date],"")),"◆",""))</x:f>
      </x:c>
      <x:c r="T29" s="90" t="str">
        <x:f>IF($A29="","",IF(AND($G29="Yes",T$2=XLOOKUP($A29,TasksTable[Task ID],TasksTable[Start Date],"")),"◆",""))</x:f>
      </x:c>
      <x:c r="U29" s="90" t="str">
        <x:f>IF($A29="","",IF(AND($G29="Yes",U$2=XLOOKUP($A29,TasksTable[Task ID],TasksTable[Start Date],"")),"◆",""))</x:f>
      </x:c>
      <x:c r="V29" s="90" t="str">
        <x:f>IF($A29="","",IF(AND($G29="Yes",V$2=XLOOKUP($A29,TasksTable[Task ID],TasksTable[Start Date],"")),"◆",""))</x:f>
      </x:c>
      <x:c r="W29" s="90" t="str">
        <x:f>IF($A29="","",IF(AND($G29="Yes",W$2=XLOOKUP($A29,TasksTable[Task ID],TasksTable[Start Date],"")),"◆",""))</x:f>
      </x:c>
      <x:c r="X29" s="90" t="str">
        <x:f>IF($A29="","",IF(AND($G29="Yes",X$2=XLOOKUP($A29,TasksTable[Task ID],TasksTable[Start Date],"")),"◆",""))</x:f>
      </x:c>
      <x:c r="Y29" s="90" t="str">
        <x:f>IF($A29="","",IF(AND($G29="Yes",Y$2=XLOOKUP($A29,TasksTable[Task ID],TasksTable[Start Date],"")),"◆",""))</x:f>
      </x:c>
      <x:c r="Z29" s="90" t="str">
        <x:f>IF($A29="","",IF(AND($G29="Yes",Z$2=XLOOKUP($A29,TasksTable[Task ID],TasksTable[Start Date],"")),"◆",""))</x:f>
      </x:c>
      <x:c r="AA29" s="90" t="str">
        <x:f>IF($A29="","",IF(AND($G29="Yes",AA$2=XLOOKUP($A29,TasksTable[Task ID],TasksTable[Start Date],"")),"◆",""))</x:f>
      </x:c>
      <x:c r="AB29" s="90" t="str">
        <x:f>IF($A29="","",IF(AND($G29="Yes",AB$2=XLOOKUP($A29,TasksTable[Task ID],TasksTable[Start Date],"")),"◆",""))</x:f>
      </x:c>
      <x:c r="AC29" s="90" t="str">
        <x:f>IF($A29="","",IF(AND($G29="Yes",AC$2=XLOOKUP($A29,TasksTable[Task ID],TasksTable[Start Date],"")),"◆",""))</x:f>
      </x:c>
      <x:c r="AD29" s="90" t="str">
        <x:f>IF($A29="","",IF(AND($G29="Yes",AD$2=XLOOKUP($A29,TasksTable[Task ID],TasksTable[Start Date],"")),"◆",""))</x:f>
      </x:c>
      <x:c r="AE29" s="90" t="str">
        <x:f>IF($A29="","",IF(AND($G29="Yes",AE$2=XLOOKUP($A29,TasksTable[Task ID],TasksTable[Start Date],"")),"◆",""))</x:f>
      </x:c>
      <x:c r="AF29" s="90" t="str">
        <x:f>IF($A29="","",IF(AND($G29="Yes",AF$2=XLOOKUP($A29,TasksTable[Task ID],TasksTable[Start Date],"")),"◆",""))</x:f>
      </x:c>
      <x:c r="AG29" s="90" t="str">
        <x:f>IF($A29="","",IF(AND($G29="Yes",AG$2=XLOOKUP($A29,TasksTable[Task ID],TasksTable[Start Date],"")),"◆",""))</x:f>
      </x:c>
      <x:c r="AH29" s="90" t="str">
        <x:f>IF($A29="","",IF(AND($G29="Yes",AH$2=XLOOKUP($A29,TasksTable[Task ID],TasksTable[Start Date],"")),"◆",""))</x:f>
      </x:c>
      <x:c r="AI29" s="90" t="str">
        <x:f>IF($A29="","",IF(AND($G29="Yes",AI$2=XLOOKUP($A29,TasksTable[Task ID],TasksTable[Start Date],"")),"◆",""))</x:f>
      </x:c>
      <x:c r="AJ29" s="90" t="str">
        <x:f>IF($A29="","",IF(AND($G29="Yes",AJ$2=XLOOKUP($A29,TasksTable[Task ID],TasksTable[Start Date],"")),"◆",""))</x:f>
      </x:c>
      <x:c r="AK29" s="90" t="str">
        <x:f>IF($A29="","",IF(AND($G29="Yes",AK$2=XLOOKUP($A29,TasksTable[Task ID],TasksTable[Start Date],"")),"◆",""))</x:f>
      </x:c>
      <x:c r="AL29" s="90" t="str">
        <x:f>IF($A29="","",IF(AND($G29="Yes",AL$2=XLOOKUP($A29,TasksTable[Task ID],TasksTable[Start Date],"")),"◆",""))</x:f>
      </x:c>
      <x:c r="AM29" s="90" t="str">
        <x:f>IF($A29="","",IF(AND($G29="Yes",AM$2=XLOOKUP($A29,TasksTable[Task ID],TasksTable[Start Date],"")),"◆",""))</x:f>
      </x:c>
      <x:c r="AN29" s="90" t="str">
        <x:f>IF($A29="","",IF(AND($G29="Yes",AN$2=XLOOKUP($A29,TasksTable[Task ID],TasksTable[Start Date],"")),"◆",""))</x:f>
      </x:c>
      <x:c r="AO29" s="90" t="str">
        <x:f>IF($A29="","",IF(AND($G29="Yes",AO$2=XLOOKUP($A29,TasksTable[Task ID],TasksTable[Start Date],"")),"◆",""))</x:f>
      </x:c>
    </x:row>
    <x:row r="30">
      <x:c r="A30" s="10" t="str">
        <x:f>IFERROR(INDEX(TasksTable[Task ID],ROWS($A$4:A30)),"")</x:f>
        <x:v>T23</x:v>
      </x:c>
      <x:c r="B30" s="10" t="str">
        <x:f>IF($A30="","",IFERROR(XLOOKUP($A30,TasksTable[Task ID],TasksTable[Phase],""),""))</x:f>
        <x:v>M5 · HITL Gateway Clearance &amp; Cryptographic Authorization</x:v>
      </x:c>
      <x:c r="C30" s="10" t="str">
        <x:f>IF($A30="","",IFERROR(XLOOKUP($A30,TasksTable[Task ID],TasksTable[Task Name],""),""))</x:f>
        <x:v>Generate structured action previews (spend, code diffs, claims, copy)</x:v>
      </x:c>
      <x:c r="D30" s="10" t="str">
        <x:f>IF($A30="","",IFERROR(XLOOKUP($A30,TasksTable[Task ID],TasksTable[Status],""),""))</x:f>
        <x:v>Not Started</x:v>
      </x:c>
      <x:c r="E30" s="86" t="n">
        <x:f>IF($A30="","",IFERROR(XLOOKUP($A30,TasksTable[Task ID],TasksTable[Progress %],0),0))</x:f>
        <x:v>0</x:v>
      </x:c>
      <x:c r="F30" s="10" t="str">
        <x:f>IF($A30="","",IFERROR(XLOOKUP($A30,TasksTable[Task ID],TasksTable[Schedule Health],""),""))</x:f>
        <x:v>On Track</x:v>
      </x:c>
      <x:c r="G30" s="10" t="str">
        <x:f>IF($A30="","",IFERROR(XLOOKUP($A30,TasksTable[Task ID],TasksTable[Milestone],""),""))</x:f>
        <x:v>No</x:v>
      </x:c>
      <x:c r="H30" s="90" t="str">
        <x:f>IF($A30="","",IF(AND($G30="Yes",H$2=XLOOKUP($A30,TasksTable[Task ID],TasksTable[Start Date],"")),"◆",""))</x:f>
      </x:c>
      <x:c r="I30" s="90" t="str">
        <x:f>IF($A30="","",IF(AND($G30="Yes",I$2=XLOOKUP($A30,TasksTable[Task ID],TasksTable[Start Date],"")),"◆",""))</x:f>
      </x:c>
      <x:c r="J30" s="90" t="str">
        <x:f>IF($A30="","",IF(AND($G30="Yes",J$2=XLOOKUP($A30,TasksTable[Task ID],TasksTable[Start Date],"")),"◆",""))</x:f>
      </x:c>
      <x:c r="K30" s="90" t="str">
        <x:f>IF($A30="","",IF(AND($G30="Yes",K$2=XLOOKUP($A30,TasksTable[Task ID],TasksTable[Start Date],"")),"◆",""))</x:f>
      </x:c>
      <x:c r="L30" s="90" t="str">
        <x:f>IF($A30="","",IF(AND($G30="Yes",L$2=XLOOKUP($A30,TasksTable[Task ID],TasksTable[Start Date],"")),"◆",""))</x:f>
      </x:c>
      <x:c r="M30" s="90" t="str">
        <x:f>IF($A30="","",IF(AND($G30="Yes",M$2=XLOOKUP($A30,TasksTable[Task ID],TasksTable[Start Date],"")),"◆",""))</x:f>
      </x:c>
      <x:c r="N30" s="90" t="str">
        <x:f>IF($A30="","",IF(AND($G30="Yes",N$2=XLOOKUP($A30,TasksTable[Task ID],TasksTable[Start Date],"")),"◆",""))</x:f>
      </x:c>
      <x:c r="O30" s="90" t="str">
        <x:f>IF($A30="","",IF(AND($G30="Yes",O$2=XLOOKUP($A30,TasksTable[Task ID],TasksTable[Start Date],"")),"◆",""))</x:f>
      </x:c>
      <x:c r="P30" s="90" t="str">
        <x:f>IF($A30="","",IF(AND($G30="Yes",P$2=XLOOKUP($A30,TasksTable[Task ID],TasksTable[Start Date],"")),"◆",""))</x:f>
      </x:c>
      <x:c r="Q30" s="90" t="str">
        <x:f>IF($A30="","",IF(AND($G30="Yes",Q$2=XLOOKUP($A30,TasksTable[Task ID],TasksTable[Start Date],"")),"◆",""))</x:f>
      </x:c>
      <x:c r="R30" s="90" t="str">
        <x:f>IF($A30="","",IF(AND($G30="Yes",R$2=XLOOKUP($A30,TasksTable[Task ID],TasksTable[Start Date],"")),"◆",""))</x:f>
      </x:c>
      <x:c r="S30" s="90" t="str">
        <x:f>IF($A30="","",IF(AND($G30="Yes",S$2=XLOOKUP($A30,TasksTable[Task ID],TasksTable[Start Date],"")),"◆",""))</x:f>
      </x:c>
      <x:c r="T30" s="90" t="str">
        <x:f>IF($A30="","",IF(AND($G30="Yes",T$2=XLOOKUP($A30,TasksTable[Task ID],TasksTable[Start Date],"")),"◆",""))</x:f>
      </x:c>
      <x:c r="U30" s="90" t="str">
        <x:f>IF($A30="","",IF(AND($G30="Yes",U$2=XLOOKUP($A30,TasksTable[Task ID],TasksTable[Start Date],"")),"◆",""))</x:f>
      </x:c>
      <x:c r="V30" s="90" t="str">
        <x:f>IF($A30="","",IF(AND($G30="Yes",V$2=XLOOKUP($A30,TasksTable[Task ID],TasksTable[Start Date],"")),"◆",""))</x:f>
      </x:c>
      <x:c r="W30" s="90" t="str">
        <x:f>IF($A30="","",IF(AND($G30="Yes",W$2=XLOOKUP($A30,TasksTable[Task ID],TasksTable[Start Date],"")),"◆",""))</x:f>
      </x:c>
      <x:c r="X30" s="90" t="str">
        <x:f>IF($A30="","",IF(AND($G30="Yes",X$2=XLOOKUP($A30,TasksTable[Task ID],TasksTable[Start Date],"")),"◆",""))</x:f>
      </x:c>
      <x:c r="Y30" s="90" t="str">
        <x:f>IF($A30="","",IF(AND($G30="Yes",Y$2=XLOOKUP($A30,TasksTable[Task ID],TasksTable[Start Date],"")),"◆",""))</x:f>
      </x:c>
      <x:c r="Z30" s="90" t="str">
        <x:f>IF($A30="","",IF(AND($G30="Yes",Z$2=XLOOKUP($A30,TasksTable[Task ID],TasksTable[Start Date],"")),"◆",""))</x:f>
      </x:c>
      <x:c r="AA30" s="90" t="str">
        <x:f>IF($A30="","",IF(AND($G30="Yes",AA$2=XLOOKUP($A30,TasksTable[Task ID],TasksTable[Start Date],"")),"◆",""))</x:f>
      </x:c>
      <x:c r="AB30" s="90" t="str">
        <x:f>IF($A30="","",IF(AND($G30="Yes",AB$2=XLOOKUP($A30,TasksTable[Task ID],TasksTable[Start Date],"")),"◆",""))</x:f>
      </x:c>
      <x:c r="AC30" s="90" t="str">
        <x:f>IF($A30="","",IF(AND($G30="Yes",AC$2=XLOOKUP($A30,TasksTable[Task ID],TasksTable[Start Date],"")),"◆",""))</x:f>
      </x:c>
      <x:c r="AD30" s="90" t="str">
        <x:f>IF($A30="","",IF(AND($G30="Yes",AD$2=XLOOKUP($A30,TasksTable[Task ID],TasksTable[Start Date],"")),"◆",""))</x:f>
      </x:c>
      <x:c r="AE30" s="90" t="str">
        <x:f>IF($A30="","",IF(AND($G30="Yes",AE$2=XLOOKUP($A30,TasksTable[Task ID],TasksTable[Start Date],"")),"◆",""))</x:f>
      </x:c>
      <x:c r="AF30" s="90" t="str">
        <x:f>IF($A30="","",IF(AND($G30="Yes",AF$2=XLOOKUP($A30,TasksTable[Task ID],TasksTable[Start Date],"")),"◆",""))</x:f>
      </x:c>
      <x:c r="AG30" s="90" t="str">
        <x:f>IF($A30="","",IF(AND($G30="Yes",AG$2=XLOOKUP($A30,TasksTable[Task ID],TasksTable[Start Date],"")),"◆",""))</x:f>
      </x:c>
      <x:c r="AH30" s="90" t="str">
        <x:f>IF($A30="","",IF(AND($G30="Yes",AH$2=XLOOKUP($A30,TasksTable[Task ID],TasksTable[Start Date],"")),"◆",""))</x:f>
      </x:c>
      <x:c r="AI30" s="90" t="str">
        <x:f>IF($A30="","",IF(AND($G30="Yes",AI$2=XLOOKUP($A30,TasksTable[Task ID],TasksTable[Start Date],"")),"◆",""))</x:f>
      </x:c>
      <x:c r="AJ30" s="90" t="str">
        <x:f>IF($A30="","",IF(AND($G30="Yes",AJ$2=XLOOKUP($A30,TasksTable[Task ID],TasksTable[Start Date],"")),"◆",""))</x:f>
      </x:c>
      <x:c r="AK30" s="90" t="str">
        <x:f>IF($A30="","",IF(AND($G30="Yes",AK$2=XLOOKUP($A30,TasksTable[Task ID],TasksTable[Start Date],"")),"◆",""))</x:f>
      </x:c>
      <x:c r="AL30" s="90" t="str">
        <x:f>IF($A30="","",IF(AND($G30="Yes",AL$2=XLOOKUP($A30,TasksTable[Task ID],TasksTable[Start Date],"")),"◆",""))</x:f>
      </x:c>
      <x:c r="AM30" s="90" t="str">
        <x:f>IF($A30="","",IF(AND($G30="Yes",AM$2=XLOOKUP($A30,TasksTable[Task ID],TasksTable[Start Date],"")),"◆",""))</x:f>
      </x:c>
      <x:c r="AN30" s="90" t="str">
        <x:f>IF($A30="","",IF(AND($G30="Yes",AN$2=XLOOKUP($A30,TasksTable[Task ID],TasksTable[Start Date],"")),"◆",""))</x:f>
      </x:c>
      <x:c r="AO30" s="90" t="str">
        <x:f>IF($A30="","",IF(AND($G30="Yes",AO$2=XLOOKUP($A30,TasksTable[Task ID],TasksTable[Start Date],"")),"◆",""))</x:f>
      </x:c>
    </x:row>
    <x:row r="31">
      <x:c r="A31" s="10" t="str">
        <x:f>IFERROR(INDEX(TasksTable[Task ID],ROWS($A$4:A31)),"")</x:f>
        <x:v>T24</x:v>
      </x:c>
      <x:c r="B31" s="10" t="str">
        <x:f>IF($A31="","",IFERROR(XLOOKUP($A31,TasksTable[Task ID],TasksTable[Phase],""),""))</x:f>
        <x:v>M5 · HITL Gateway Clearance &amp; Cryptographic Authorization</x:v>
      </x:c>
      <x:c r="C31" s="10" t="str">
        <x:f>IF($A31="","",IFERROR(XLOOKUP($A31,TasksTable[Task ID],TasksTable[Task Name],""),""))</x:f>
        <x:v>Execute Human-in-the-Loop (HITL) quality, legal, and deploy sign-off</x:v>
      </x:c>
      <x:c r="D31" s="10" t="str">
        <x:f>IF($A31="","",IFERROR(XLOOKUP($A31,TasksTable[Task ID],TasksTable[Status],""),""))</x:f>
        <x:v>Not Started</x:v>
      </x:c>
      <x:c r="E31" s="86" t="n">
        <x:f>IF($A31="","",IFERROR(XLOOKUP($A31,TasksTable[Task ID],TasksTable[Progress %],0),0))</x:f>
        <x:v>0</x:v>
      </x:c>
      <x:c r="F31" s="10" t="str">
        <x:f>IF($A31="","",IFERROR(XLOOKUP($A31,TasksTable[Task ID],TasksTable[Schedule Health],""),""))</x:f>
        <x:v>On Track</x:v>
      </x:c>
      <x:c r="G31" s="10" t="str">
        <x:f>IF($A31="","",IFERROR(XLOOKUP($A31,TasksTable[Task ID],TasksTable[Milestone],""),""))</x:f>
        <x:v>No</x:v>
      </x:c>
      <x:c r="H31" s="90" t="str">
        <x:f>IF($A31="","",IF(AND($G31="Yes",H$2=XLOOKUP($A31,TasksTable[Task ID],TasksTable[Start Date],"")),"◆",""))</x:f>
      </x:c>
      <x:c r="I31" s="90" t="str">
        <x:f>IF($A31="","",IF(AND($G31="Yes",I$2=XLOOKUP($A31,TasksTable[Task ID],TasksTable[Start Date],"")),"◆",""))</x:f>
      </x:c>
      <x:c r="J31" s="90" t="str">
        <x:f>IF($A31="","",IF(AND($G31="Yes",J$2=XLOOKUP($A31,TasksTable[Task ID],TasksTable[Start Date],"")),"◆",""))</x:f>
      </x:c>
      <x:c r="K31" s="90" t="str">
        <x:f>IF($A31="","",IF(AND($G31="Yes",K$2=XLOOKUP($A31,TasksTable[Task ID],TasksTable[Start Date],"")),"◆",""))</x:f>
      </x:c>
      <x:c r="L31" s="90" t="str">
        <x:f>IF($A31="","",IF(AND($G31="Yes",L$2=XLOOKUP($A31,TasksTable[Task ID],TasksTable[Start Date],"")),"◆",""))</x:f>
      </x:c>
      <x:c r="M31" s="90" t="str">
        <x:f>IF($A31="","",IF(AND($G31="Yes",M$2=XLOOKUP($A31,TasksTable[Task ID],TasksTable[Start Date],"")),"◆",""))</x:f>
      </x:c>
      <x:c r="N31" s="90" t="str">
        <x:f>IF($A31="","",IF(AND($G31="Yes",N$2=XLOOKUP($A31,TasksTable[Task ID],TasksTable[Start Date],"")),"◆",""))</x:f>
      </x:c>
      <x:c r="O31" s="90" t="str">
        <x:f>IF($A31="","",IF(AND($G31="Yes",O$2=XLOOKUP($A31,TasksTable[Task ID],TasksTable[Start Date],"")),"◆",""))</x:f>
      </x:c>
      <x:c r="P31" s="90" t="str">
        <x:f>IF($A31="","",IF(AND($G31="Yes",P$2=XLOOKUP($A31,TasksTable[Task ID],TasksTable[Start Date],"")),"◆",""))</x:f>
      </x:c>
      <x:c r="Q31" s="90" t="str">
        <x:f>IF($A31="","",IF(AND($G31="Yes",Q$2=XLOOKUP($A31,TasksTable[Task ID],TasksTable[Start Date],"")),"◆",""))</x:f>
      </x:c>
      <x:c r="R31" s="90" t="str">
        <x:f>IF($A31="","",IF(AND($G31="Yes",R$2=XLOOKUP($A31,TasksTable[Task ID],TasksTable[Start Date],"")),"◆",""))</x:f>
      </x:c>
      <x:c r="S31" s="90" t="str">
        <x:f>IF($A31="","",IF(AND($G31="Yes",S$2=XLOOKUP($A31,TasksTable[Task ID],TasksTable[Start Date],"")),"◆",""))</x:f>
      </x:c>
      <x:c r="T31" s="90" t="str">
        <x:f>IF($A31="","",IF(AND($G31="Yes",T$2=XLOOKUP($A31,TasksTable[Task ID],TasksTable[Start Date],"")),"◆",""))</x:f>
      </x:c>
      <x:c r="U31" s="90" t="str">
        <x:f>IF($A31="","",IF(AND($G31="Yes",U$2=XLOOKUP($A31,TasksTable[Task ID],TasksTable[Start Date],"")),"◆",""))</x:f>
      </x:c>
      <x:c r="V31" s="90" t="str">
        <x:f>IF($A31="","",IF(AND($G31="Yes",V$2=XLOOKUP($A31,TasksTable[Task ID],TasksTable[Start Date],"")),"◆",""))</x:f>
      </x:c>
      <x:c r="W31" s="90" t="str">
        <x:f>IF($A31="","",IF(AND($G31="Yes",W$2=XLOOKUP($A31,TasksTable[Task ID],TasksTable[Start Date],"")),"◆",""))</x:f>
      </x:c>
      <x:c r="X31" s="90" t="str">
        <x:f>IF($A31="","",IF(AND($G31="Yes",X$2=XLOOKUP($A31,TasksTable[Task ID],TasksTable[Start Date],"")),"◆",""))</x:f>
      </x:c>
      <x:c r="Y31" s="90" t="str">
        <x:f>IF($A31="","",IF(AND($G31="Yes",Y$2=XLOOKUP($A31,TasksTable[Task ID],TasksTable[Start Date],"")),"◆",""))</x:f>
      </x:c>
      <x:c r="Z31" s="90" t="str">
        <x:f>IF($A31="","",IF(AND($G31="Yes",Z$2=XLOOKUP($A31,TasksTable[Task ID],TasksTable[Start Date],"")),"◆",""))</x:f>
      </x:c>
      <x:c r="AA31" s="90" t="str">
        <x:f>IF($A31="","",IF(AND($G31="Yes",AA$2=XLOOKUP($A31,TasksTable[Task ID],TasksTable[Start Date],"")),"◆",""))</x:f>
      </x:c>
      <x:c r="AB31" s="90" t="str">
        <x:f>IF($A31="","",IF(AND($G31="Yes",AB$2=XLOOKUP($A31,TasksTable[Task ID],TasksTable[Start Date],"")),"◆",""))</x:f>
      </x:c>
      <x:c r="AC31" s="90" t="str">
        <x:f>IF($A31="","",IF(AND($G31="Yes",AC$2=XLOOKUP($A31,TasksTable[Task ID],TasksTable[Start Date],"")),"◆",""))</x:f>
      </x:c>
      <x:c r="AD31" s="90" t="str">
        <x:f>IF($A31="","",IF(AND($G31="Yes",AD$2=XLOOKUP($A31,TasksTable[Task ID],TasksTable[Start Date],"")),"◆",""))</x:f>
      </x:c>
      <x:c r="AE31" s="90" t="str">
        <x:f>IF($A31="","",IF(AND($G31="Yes",AE$2=XLOOKUP($A31,TasksTable[Task ID],TasksTable[Start Date],"")),"◆",""))</x:f>
      </x:c>
      <x:c r="AF31" s="90" t="str">
        <x:f>IF($A31="","",IF(AND($G31="Yes",AF$2=XLOOKUP($A31,TasksTable[Task ID],TasksTable[Start Date],"")),"◆",""))</x:f>
      </x:c>
      <x:c r="AG31" s="90" t="str">
        <x:f>IF($A31="","",IF(AND($G31="Yes",AG$2=XLOOKUP($A31,TasksTable[Task ID],TasksTable[Start Date],"")),"◆",""))</x:f>
      </x:c>
      <x:c r="AH31" s="90" t="str">
        <x:f>IF($A31="","",IF(AND($G31="Yes",AH$2=XLOOKUP($A31,TasksTable[Task ID],TasksTable[Start Date],"")),"◆",""))</x:f>
      </x:c>
      <x:c r="AI31" s="90" t="str">
        <x:f>IF($A31="","",IF(AND($G31="Yes",AI$2=XLOOKUP($A31,TasksTable[Task ID],TasksTable[Start Date],"")),"◆",""))</x:f>
      </x:c>
      <x:c r="AJ31" s="90" t="str">
        <x:f>IF($A31="","",IF(AND($G31="Yes",AJ$2=XLOOKUP($A31,TasksTable[Task ID],TasksTable[Start Date],"")),"◆",""))</x:f>
      </x:c>
      <x:c r="AK31" s="90" t="str">
        <x:f>IF($A31="","",IF(AND($G31="Yes",AK$2=XLOOKUP($A31,TasksTable[Task ID],TasksTable[Start Date],"")),"◆",""))</x:f>
      </x:c>
      <x:c r="AL31" s="90" t="str">
        <x:f>IF($A31="","",IF(AND($G31="Yes",AL$2=XLOOKUP($A31,TasksTable[Task ID],TasksTable[Start Date],"")),"◆",""))</x:f>
      </x:c>
      <x:c r="AM31" s="90" t="str">
        <x:f>IF($A31="","",IF(AND($G31="Yes",AM$2=XLOOKUP($A31,TasksTable[Task ID],TasksTable[Start Date],"")),"◆",""))</x:f>
      </x:c>
      <x:c r="AN31" s="90" t="str">
        <x:f>IF($A31="","",IF(AND($G31="Yes",AN$2=XLOOKUP($A31,TasksTable[Task ID],TasksTable[Start Date],"")),"◆",""))</x:f>
      </x:c>
      <x:c r="AO31" s="90" t="str">
        <x:f>IF($A31="","",IF(AND($G31="Yes",AO$2=XLOOKUP($A31,TasksTable[Task ID],TasksTable[Start Date],"")),"◆",""))</x:f>
      </x:c>
    </x:row>
    <x:row r="32">
      <x:c r="A32" s="10" t="str">
        <x:f>IFERROR(INDEX(TasksTable[Task ID],ROWS($A$4:A32)),"")</x:f>
        <x:v>M5</x:v>
      </x:c>
      <x:c r="B32" s="10" t="str">
        <x:f>IF($A32="","",IFERROR(XLOOKUP($A32,TasksTable[Task ID],TasksTable[Phase],""),""))</x:f>
        <x:v>M5 · HITL Gateway Clearance &amp; Cryptographic Authorization</x:v>
      </x:c>
      <x:c r="C32" s="10" t="str">
        <x:f>IF($A32="","",IFERROR(XLOOKUP($A32,TasksTable[Task ID],TasksTable[Task Name],""),""))</x:f>
        <x:v>HITL Gateway Clearance &amp; Cryptographic Authorization</x:v>
      </x:c>
      <x:c r="D32" s="10" t="str">
        <x:f>IF($A32="","",IFERROR(XLOOKUP($A32,TasksTable[Task ID],TasksTable[Status],""),""))</x:f>
        <x:v>Not Started</x:v>
      </x:c>
      <x:c r="E32" s="86" t="n">
        <x:f>IF($A32="","",IFERROR(XLOOKUP($A32,TasksTable[Task ID],TasksTable[Progress %],0),0))</x:f>
        <x:v>0</x:v>
      </x:c>
      <x:c r="F32" s="10" t="str">
        <x:f>IF($A32="","",IFERROR(XLOOKUP($A32,TasksTable[Task ID],TasksTable[Schedule Health],""),""))</x:f>
        <x:v>On Track</x:v>
      </x:c>
      <x:c r="G32" s="10" t="str">
        <x:f>IF($A32="","",IFERROR(XLOOKUP($A32,TasksTable[Task ID],TasksTable[Milestone],""),""))</x:f>
        <x:v>Yes</x:v>
      </x:c>
      <x:c r="H32" s="90" t="str">
        <x:f>IF($A32="","",IF(AND($G32="Yes",H$2=XLOOKUP($A32,TasksTable[Task ID],TasksTable[Start Date],"")),"◆",""))</x:f>
      </x:c>
      <x:c r="I32" s="90" t="str">
        <x:f>IF($A32="","",IF(AND($G32="Yes",I$2=XLOOKUP($A32,TasksTable[Task ID],TasksTable[Start Date],"")),"◆",""))</x:f>
      </x:c>
      <x:c r="J32" s="90" t="str">
        <x:f>IF($A32="","",IF(AND($G32="Yes",J$2=XLOOKUP($A32,TasksTable[Task ID],TasksTable[Start Date],"")),"◆",""))</x:f>
      </x:c>
      <x:c r="K32" s="90" t="str">
        <x:f>IF($A32="","",IF(AND($G32="Yes",K$2=XLOOKUP($A32,TasksTable[Task ID],TasksTable[Start Date],"")),"◆",""))</x:f>
      </x:c>
      <x:c r="L32" s="90" t="str">
        <x:f>IF($A32="","",IF(AND($G32="Yes",L$2=XLOOKUP($A32,TasksTable[Task ID],TasksTable[Start Date],"")),"◆",""))</x:f>
      </x:c>
      <x:c r="M32" s="90" t="str">
        <x:f>IF($A32="","",IF(AND($G32="Yes",M$2=XLOOKUP($A32,TasksTable[Task ID],TasksTable[Start Date],"")),"◆",""))</x:f>
      </x:c>
      <x:c r="N32" s="90" t="str">
        <x:f>IF($A32="","",IF(AND($G32="Yes",N$2=XLOOKUP($A32,TasksTable[Task ID],TasksTable[Start Date],"")),"◆",""))</x:f>
      </x:c>
      <x:c r="O32" s="90" t="str">
        <x:f>IF($A32="","",IF(AND($G32="Yes",O$2=XLOOKUP($A32,TasksTable[Task ID],TasksTable[Start Date],"")),"◆",""))</x:f>
      </x:c>
      <x:c r="P32" s="90" t="str">
        <x:f>IF($A32="","",IF(AND($G32="Yes",P$2=XLOOKUP($A32,TasksTable[Task ID],TasksTable[Start Date],"")),"◆",""))</x:f>
      </x:c>
      <x:c r="Q32" s="90" t="str">
        <x:f>IF($A32="","",IF(AND($G32="Yes",Q$2=XLOOKUP($A32,TasksTable[Task ID],TasksTable[Start Date],"")),"◆",""))</x:f>
      </x:c>
      <x:c r="R32" s="90" t="str">
        <x:f>IF($A32="","",IF(AND($G32="Yes",R$2=XLOOKUP($A32,TasksTable[Task ID],TasksTable[Start Date],"")),"◆",""))</x:f>
      </x:c>
      <x:c r="S32" s="90" t="str">
        <x:f>IF($A32="","",IF(AND($G32="Yes",S$2=XLOOKUP($A32,TasksTable[Task ID],TasksTable[Start Date],"")),"◆",""))</x:f>
      </x:c>
      <x:c r="T32" s="90" t="str">
        <x:f>IF($A32="","",IF(AND($G32="Yes",T$2=XLOOKUP($A32,TasksTable[Task ID],TasksTable[Start Date],"")),"◆",""))</x:f>
      </x:c>
      <x:c r="U32" s="90" t="str">
        <x:f>IF($A32="","",IF(AND($G32="Yes",U$2=XLOOKUP($A32,TasksTable[Task ID],TasksTable[Start Date],"")),"◆",""))</x:f>
      </x:c>
      <x:c r="V32" s="90" t="str">
        <x:f>IF($A32="","",IF(AND($G32="Yes",V$2=XLOOKUP($A32,TasksTable[Task ID],TasksTable[Start Date],"")),"◆",""))</x:f>
      </x:c>
      <x:c r="W32" s="90" t="str">
        <x:f>IF($A32="","",IF(AND($G32="Yes",W$2=XLOOKUP($A32,TasksTable[Task ID],TasksTable[Start Date],"")),"◆",""))</x:f>
      </x:c>
      <x:c r="X32" s="90" t="str">
        <x:f>IF($A32="","",IF(AND($G32="Yes",X$2=XLOOKUP($A32,TasksTable[Task ID],TasksTable[Start Date],"")),"◆",""))</x:f>
      </x:c>
      <x:c r="Y32" s="90" t="str">
        <x:f>IF($A32="","",IF(AND($G32="Yes",Y$2=XLOOKUP($A32,TasksTable[Task ID],TasksTable[Start Date],"")),"◆",""))</x:f>
      </x:c>
      <x:c r="Z32" s="90" t="str">
        <x:f>IF($A32="","",IF(AND($G32="Yes",Z$2=XLOOKUP($A32,TasksTable[Task ID],TasksTable[Start Date],"")),"◆",""))</x:f>
      </x:c>
      <x:c r="AA32" s="90" t="str">
        <x:f>IF($A32="","",IF(AND($G32="Yes",AA$2=XLOOKUP($A32,TasksTable[Task ID],TasksTable[Start Date],"")),"◆",""))</x:f>
      </x:c>
      <x:c r="AB32" s="90" t="str">
        <x:f>IF($A32="","",IF(AND($G32="Yes",AB$2=XLOOKUP($A32,TasksTable[Task ID],TasksTable[Start Date],"")),"◆",""))</x:f>
      </x:c>
      <x:c r="AC32" s="90" t="str">
        <x:f>IF($A32="","",IF(AND($G32="Yes",AC$2=XLOOKUP($A32,TasksTable[Task ID],TasksTable[Start Date],"")),"◆",""))</x:f>
      </x:c>
      <x:c r="AD32" s="90" t="str">
        <x:f>IF($A32="","",IF(AND($G32="Yes",AD$2=XLOOKUP($A32,TasksTable[Task ID],TasksTable[Start Date],"")),"◆",""))</x:f>
      </x:c>
      <x:c r="AE32" s="90" t="str">
        <x:f>IF($A32="","",IF(AND($G32="Yes",AE$2=XLOOKUP($A32,TasksTable[Task ID],TasksTable[Start Date],"")),"◆",""))</x:f>
      </x:c>
      <x:c r="AF32" s="90" t="str">
        <x:f>IF($A32="","",IF(AND($G32="Yes",AF$2=XLOOKUP($A32,TasksTable[Task ID],TasksTable[Start Date],"")),"◆",""))</x:f>
      </x:c>
      <x:c r="AG32" s="90" t="str">
        <x:f>IF($A32="","",IF(AND($G32="Yes",AG$2=XLOOKUP($A32,TasksTable[Task ID],TasksTable[Start Date],"")),"◆",""))</x:f>
        <x:v>◆</x:v>
      </x:c>
      <x:c r="AH32" s="90" t="str">
        <x:f>IF($A32="","",IF(AND($G32="Yes",AH$2=XLOOKUP($A32,TasksTable[Task ID],TasksTable[Start Date],"")),"◆",""))</x:f>
      </x:c>
      <x:c r="AI32" s="90" t="str">
        <x:f>IF($A32="","",IF(AND($G32="Yes",AI$2=XLOOKUP($A32,TasksTable[Task ID],TasksTable[Start Date],"")),"◆",""))</x:f>
      </x:c>
      <x:c r="AJ32" s="90" t="str">
        <x:f>IF($A32="","",IF(AND($G32="Yes",AJ$2=XLOOKUP($A32,TasksTable[Task ID],TasksTable[Start Date],"")),"◆",""))</x:f>
      </x:c>
      <x:c r="AK32" s="90" t="str">
        <x:f>IF($A32="","",IF(AND($G32="Yes",AK$2=XLOOKUP($A32,TasksTable[Task ID],TasksTable[Start Date],"")),"◆",""))</x:f>
      </x:c>
      <x:c r="AL32" s="90" t="str">
        <x:f>IF($A32="","",IF(AND($G32="Yes",AL$2=XLOOKUP($A32,TasksTable[Task ID],TasksTable[Start Date],"")),"◆",""))</x:f>
      </x:c>
      <x:c r="AM32" s="90" t="str">
        <x:f>IF($A32="","",IF(AND($G32="Yes",AM$2=XLOOKUP($A32,TasksTable[Task ID],TasksTable[Start Date],"")),"◆",""))</x:f>
      </x:c>
      <x:c r="AN32" s="90" t="str">
        <x:f>IF($A32="","",IF(AND($G32="Yes",AN$2=XLOOKUP($A32,TasksTable[Task ID],TasksTable[Start Date],"")),"◆",""))</x:f>
      </x:c>
      <x:c r="AO32" s="90" t="str">
        <x:f>IF($A32="","",IF(AND($G32="Yes",AO$2=XLOOKUP($A32,TasksTable[Task ID],TasksTable[Start Date],"")),"◆",""))</x:f>
      </x:c>
    </x:row>
    <x:row r="33">
      <x:c r="A33" s="10" t="str">
        <x:f>IFERROR(INDEX(TasksTable[Task ID],ROWS($A$4:A33)),"")</x:f>
        <x:v>T25</x:v>
      </x:c>
      <x:c r="B33" s="10" t="str">
        <x:f>IF($A33="","",IFERROR(XLOOKUP($A33,TasksTable[Task ID],TasksTable[Phase],""),""))</x:f>
        <x:v>M6 · Outbound Actuation, Telemetry &amp; Omnichannel Go-Live</x:v>
      </x:c>
      <x:c r="C33" s="10" t="str">
        <x:f>IF($A33="","",IFERROR(XLOOKUP($A33,TasksTable[Task ID],TasksTable[Task Name],""),""))</x:f>
        <x:v>Initialize Outbound Actuation MCP Boundary with audience tokens</x:v>
      </x:c>
      <x:c r="D33" s="10" t="str">
        <x:f>IF($A33="","",IFERROR(XLOOKUP($A33,TasksTable[Task ID],TasksTable[Status],""),""))</x:f>
        <x:v>Not Started</x:v>
      </x:c>
      <x:c r="E33" s="86" t="n">
        <x:f>IF($A33="","",IFERROR(XLOOKUP($A33,TasksTable[Task ID],TasksTable[Progress %],0),0))</x:f>
        <x:v>0</x:v>
      </x:c>
      <x:c r="F33" s="10" t="str">
        <x:f>IF($A33="","",IFERROR(XLOOKUP($A33,TasksTable[Task ID],TasksTable[Schedule Health],""),""))</x:f>
        <x:v>On Track</x:v>
      </x:c>
      <x:c r="G33" s="10" t="str">
        <x:f>IF($A33="","",IFERROR(XLOOKUP($A33,TasksTable[Task ID],TasksTable[Milestone],""),""))</x:f>
        <x:v>No</x:v>
      </x:c>
      <x:c r="H33" s="90" t="str">
        <x:f>IF($A33="","",IF(AND($G33="Yes",H$2=XLOOKUP($A33,TasksTable[Task ID],TasksTable[Start Date],"")),"◆",""))</x:f>
      </x:c>
      <x:c r="I33" s="90" t="str">
        <x:f>IF($A33="","",IF(AND($G33="Yes",I$2=XLOOKUP($A33,TasksTable[Task ID],TasksTable[Start Date],"")),"◆",""))</x:f>
      </x:c>
      <x:c r="J33" s="90" t="str">
        <x:f>IF($A33="","",IF(AND($G33="Yes",J$2=XLOOKUP($A33,TasksTable[Task ID],TasksTable[Start Date],"")),"◆",""))</x:f>
      </x:c>
      <x:c r="K33" s="90" t="str">
        <x:f>IF($A33="","",IF(AND($G33="Yes",K$2=XLOOKUP($A33,TasksTable[Task ID],TasksTable[Start Date],"")),"◆",""))</x:f>
      </x:c>
      <x:c r="L33" s="90" t="str">
        <x:f>IF($A33="","",IF(AND($G33="Yes",L$2=XLOOKUP($A33,TasksTable[Task ID],TasksTable[Start Date],"")),"◆",""))</x:f>
      </x:c>
      <x:c r="M33" s="90" t="str">
        <x:f>IF($A33="","",IF(AND($G33="Yes",M$2=XLOOKUP($A33,TasksTable[Task ID],TasksTable[Start Date],"")),"◆",""))</x:f>
      </x:c>
      <x:c r="N33" s="90" t="str">
        <x:f>IF($A33="","",IF(AND($G33="Yes",N$2=XLOOKUP($A33,TasksTable[Task ID],TasksTable[Start Date],"")),"◆",""))</x:f>
      </x:c>
      <x:c r="O33" s="90" t="str">
        <x:f>IF($A33="","",IF(AND($G33="Yes",O$2=XLOOKUP($A33,TasksTable[Task ID],TasksTable[Start Date],"")),"◆",""))</x:f>
      </x:c>
      <x:c r="P33" s="90" t="str">
        <x:f>IF($A33="","",IF(AND($G33="Yes",P$2=XLOOKUP($A33,TasksTable[Task ID],TasksTable[Start Date],"")),"◆",""))</x:f>
      </x:c>
      <x:c r="Q33" s="90" t="str">
        <x:f>IF($A33="","",IF(AND($G33="Yes",Q$2=XLOOKUP($A33,TasksTable[Task ID],TasksTable[Start Date],"")),"◆",""))</x:f>
      </x:c>
      <x:c r="R33" s="90" t="str">
        <x:f>IF($A33="","",IF(AND($G33="Yes",R$2=XLOOKUP($A33,TasksTable[Task ID],TasksTable[Start Date],"")),"◆",""))</x:f>
      </x:c>
      <x:c r="S33" s="90" t="str">
        <x:f>IF($A33="","",IF(AND($G33="Yes",S$2=XLOOKUP($A33,TasksTable[Task ID],TasksTable[Start Date],"")),"◆",""))</x:f>
      </x:c>
      <x:c r="T33" s="90" t="str">
        <x:f>IF($A33="","",IF(AND($G33="Yes",T$2=XLOOKUP($A33,TasksTable[Task ID],TasksTable[Start Date],"")),"◆",""))</x:f>
      </x:c>
      <x:c r="U33" s="90" t="str">
        <x:f>IF($A33="","",IF(AND($G33="Yes",U$2=XLOOKUP($A33,TasksTable[Task ID],TasksTable[Start Date],"")),"◆",""))</x:f>
      </x:c>
      <x:c r="V33" s="90" t="str">
        <x:f>IF($A33="","",IF(AND($G33="Yes",V$2=XLOOKUP($A33,TasksTable[Task ID],TasksTable[Start Date],"")),"◆",""))</x:f>
      </x:c>
      <x:c r="W33" s="90" t="str">
        <x:f>IF($A33="","",IF(AND($G33="Yes",W$2=XLOOKUP($A33,TasksTable[Task ID],TasksTable[Start Date],"")),"◆",""))</x:f>
      </x:c>
      <x:c r="X33" s="90" t="str">
        <x:f>IF($A33="","",IF(AND($G33="Yes",X$2=XLOOKUP($A33,TasksTable[Task ID],TasksTable[Start Date],"")),"◆",""))</x:f>
      </x:c>
      <x:c r="Y33" s="90" t="str">
        <x:f>IF($A33="","",IF(AND($G33="Yes",Y$2=XLOOKUP($A33,TasksTable[Task ID],TasksTable[Start Date],"")),"◆",""))</x:f>
      </x:c>
      <x:c r="Z33" s="90" t="str">
        <x:f>IF($A33="","",IF(AND($G33="Yes",Z$2=XLOOKUP($A33,TasksTable[Task ID],TasksTable[Start Date],"")),"◆",""))</x:f>
      </x:c>
      <x:c r="AA33" s="90" t="str">
        <x:f>IF($A33="","",IF(AND($G33="Yes",AA$2=XLOOKUP($A33,TasksTable[Task ID],TasksTable[Start Date],"")),"◆",""))</x:f>
      </x:c>
      <x:c r="AB33" s="90" t="str">
        <x:f>IF($A33="","",IF(AND($G33="Yes",AB$2=XLOOKUP($A33,TasksTable[Task ID],TasksTable[Start Date],"")),"◆",""))</x:f>
      </x:c>
      <x:c r="AC33" s="90" t="str">
        <x:f>IF($A33="","",IF(AND($G33="Yes",AC$2=XLOOKUP($A33,TasksTable[Task ID],TasksTable[Start Date],"")),"◆",""))</x:f>
      </x:c>
      <x:c r="AD33" s="90" t="str">
        <x:f>IF($A33="","",IF(AND($G33="Yes",AD$2=XLOOKUP($A33,TasksTable[Task ID],TasksTable[Start Date],"")),"◆",""))</x:f>
      </x:c>
      <x:c r="AE33" s="90" t="str">
        <x:f>IF($A33="","",IF(AND($G33="Yes",AE$2=XLOOKUP($A33,TasksTable[Task ID],TasksTable[Start Date],"")),"◆",""))</x:f>
      </x:c>
      <x:c r="AF33" s="90" t="str">
        <x:f>IF($A33="","",IF(AND($G33="Yes",AF$2=XLOOKUP($A33,TasksTable[Task ID],TasksTable[Start Date],"")),"◆",""))</x:f>
      </x:c>
      <x:c r="AG33" s="90" t="str">
        <x:f>IF($A33="","",IF(AND($G33="Yes",AG$2=XLOOKUP($A33,TasksTable[Task ID],TasksTable[Start Date],"")),"◆",""))</x:f>
      </x:c>
      <x:c r="AH33" s="90" t="str">
        <x:f>IF($A33="","",IF(AND($G33="Yes",AH$2=XLOOKUP($A33,TasksTable[Task ID],TasksTable[Start Date],"")),"◆",""))</x:f>
      </x:c>
      <x:c r="AI33" s="90" t="str">
        <x:f>IF($A33="","",IF(AND($G33="Yes",AI$2=XLOOKUP($A33,TasksTable[Task ID],TasksTable[Start Date],"")),"◆",""))</x:f>
      </x:c>
      <x:c r="AJ33" s="90" t="str">
        <x:f>IF($A33="","",IF(AND($G33="Yes",AJ$2=XLOOKUP($A33,TasksTable[Task ID],TasksTable[Start Date],"")),"◆",""))</x:f>
      </x:c>
      <x:c r="AK33" s="90" t="str">
        <x:f>IF($A33="","",IF(AND($G33="Yes",AK$2=XLOOKUP($A33,TasksTable[Task ID],TasksTable[Start Date],"")),"◆",""))</x:f>
      </x:c>
      <x:c r="AL33" s="90" t="str">
        <x:f>IF($A33="","",IF(AND($G33="Yes",AL$2=XLOOKUP($A33,TasksTable[Task ID],TasksTable[Start Date],"")),"◆",""))</x:f>
      </x:c>
      <x:c r="AM33" s="90" t="str">
        <x:f>IF($A33="","",IF(AND($G33="Yes",AM$2=XLOOKUP($A33,TasksTable[Task ID],TasksTable[Start Date],"")),"◆",""))</x:f>
      </x:c>
      <x:c r="AN33" s="90" t="str">
        <x:f>IF($A33="","",IF(AND($G33="Yes",AN$2=XLOOKUP($A33,TasksTable[Task ID],TasksTable[Start Date],"")),"◆",""))</x:f>
      </x:c>
      <x:c r="AO33" s="90" t="str">
        <x:f>IF($A33="","",IF(AND($G33="Yes",AO$2=XLOOKUP($A33,TasksTable[Task ID],TasksTable[Start Date],"")),"◆",""))</x:f>
      </x:c>
    </x:row>
    <x:row r="34">
      <x:c r="A34" s="10" t="str">
        <x:f>IFERROR(INDEX(TasksTable[Task ID],ROWS($A$4:A34)),"")</x:f>
        <x:v>T26</x:v>
      </x:c>
      <x:c r="B34" s="10" t="str">
        <x:f>IF($A34="","",IFERROR(XLOOKUP($A34,TasksTable[Task ID],TasksTable[Phase],""),""))</x:f>
        <x:v>M6 · Outbound Actuation, Telemetry &amp; Omnichannel Go-Live</x:v>
      </x:c>
      <x:c r="C34" s="10" t="str">
        <x:f>IF($A34="","",IFERROR(XLOOKUP($A34,TasksTable[Task ID],TasksTable[Task Name],""),""))</x:f>
        <x:v>Deploy live schemas, catalog updates &amp; layout code to Website &amp; CMS</x:v>
      </x:c>
      <x:c r="D34" s="10" t="str">
        <x:f>IF($A34="","",IFERROR(XLOOKUP($A34,TasksTable[Task ID],TasksTable[Status],""),""))</x:f>
        <x:v>Not Started</x:v>
      </x:c>
      <x:c r="E34" s="86" t="n">
        <x:f>IF($A34="","",IFERROR(XLOOKUP($A34,TasksTable[Task ID],TasksTable[Progress %],0),0))</x:f>
        <x:v>0</x:v>
      </x:c>
      <x:c r="F34" s="10" t="str">
        <x:f>IF($A34="","",IFERROR(XLOOKUP($A34,TasksTable[Task ID],TasksTable[Schedule Health],""),""))</x:f>
        <x:v>On Track</x:v>
      </x:c>
      <x:c r="G34" s="10" t="str">
        <x:f>IF($A34="","",IFERROR(XLOOKUP($A34,TasksTable[Task ID],TasksTable[Milestone],""),""))</x:f>
        <x:v>No</x:v>
      </x:c>
      <x:c r="H34" s="90" t="str">
        <x:f>IF($A34="","",IF(AND($G34="Yes",H$2=XLOOKUP($A34,TasksTable[Task ID],TasksTable[Start Date],"")),"◆",""))</x:f>
      </x:c>
      <x:c r="I34" s="90" t="str">
        <x:f>IF($A34="","",IF(AND($G34="Yes",I$2=XLOOKUP($A34,TasksTable[Task ID],TasksTable[Start Date],"")),"◆",""))</x:f>
      </x:c>
      <x:c r="J34" s="90" t="str">
        <x:f>IF($A34="","",IF(AND($G34="Yes",J$2=XLOOKUP($A34,TasksTable[Task ID],TasksTable[Start Date],"")),"◆",""))</x:f>
      </x:c>
      <x:c r="K34" s="90" t="str">
        <x:f>IF($A34="","",IF(AND($G34="Yes",K$2=XLOOKUP($A34,TasksTable[Task ID],TasksTable[Start Date],"")),"◆",""))</x:f>
      </x:c>
      <x:c r="L34" s="90" t="str">
        <x:f>IF($A34="","",IF(AND($G34="Yes",L$2=XLOOKUP($A34,TasksTable[Task ID],TasksTable[Start Date],"")),"◆",""))</x:f>
      </x:c>
      <x:c r="M34" s="90" t="str">
        <x:f>IF($A34="","",IF(AND($G34="Yes",M$2=XLOOKUP($A34,TasksTable[Task ID],TasksTable[Start Date],"")),"◆",""))</x:f>
      </x:c>
      <x:c r="N34" s="90" t="str">
        <x:f>IF($A34="","",IF(AND($G34="Yes",N$2=XLOOKUP($A34,TasksTable[Task ID],TasksTable[Start Date],"")),"◆",""))</x:f>
      </x:c>
      <x:c r="O34" s="90" t="str">
        <x:f>IF($A34="","",IF(AND($G34="Yes",O$2=XLOOKUP($A34,TasksTable[Task ID],TasksTable[Start Date],"")),"◆",""))</x:f>
      </x:c>
      <x:c r="P34" s="90" t="str">
        <x:f>IF($A34="","",IF(AND($G34="Yes",P$2=XLOOKUP($A34,TasksTable[Task ID],TasksTable[Start Date],"")),"◆",""))</x:f>
      </x:c>
      <x:c r="Q34" s="90" t="str">
        <x:f>IF($A34="","",IF(AND($G34="Yes",Q$2=XLOOKUP($A34,TasksTable[Task ID],TasksTable[Start Date],"")),"◆",""))</x:f>
      </x:c>
      <x:c r="R34" s="90" t="str">
        <x:f>IF($A34="","",IF(AND($G34="Yes",R$2=XLOOKUP($A34,TasksTable[Task ID],TasksTable[Start Date],"")),"◆",""))</x:f>
      </x:c>
      <x:c r="S34" s="90" t="str">
        <x:f>IF($A34="","",IF(AND($G34="Yes",S$2=XLOOKUP($A34,TasksTable[Task ID],TasksTable[Start Date],"")),"◆",""))</x:f>
      </x:c>
      <x:c r="T34" s="90" t="str">
        <x:f>IF($A34="","",IF(AND($G34="Yes",T$2=XLOOKUP($A34,TasksTable[Task ID],TasksTable[Start Date],"")),"◆",""))</x:f>
      </x:c>
      <x:c r="U34" s="90" t="str">
        <x:f>IF($A34="","",IF(AND($G34="Yes",U$2=XLOOKUP($A34,TasksTable[Task ID],TasksTable[Start Date],"")),"◆",""))</x:f>
      </x:c>
      <x:c r="V34" s="90" t="str">
        <x:f>IF($A34="","",IF(AND($G34="Yes",V$2=XLOOKUP($A34,TasksTable[Task ID],TasksTable[Start Date],"")),"◆",""))</x:f>
      </x:c>
      <x:c r="W34" s="90" t="str">
        <x:f>IF($A34="","",IF(AND($G34="Yes",W$2=XLOOKUP($A34,TasksTable[Task ID],TasksTable[Start Date],"")),"◆",""))</x:f>
      </x:c>
      <x:c r="X34" s="90" t="str">
        <x:f>IF($A34="","",IF(AND($G34="Yes",X$2=XLOOKUP($A34,TasksTable[Task ID],TasksTable[Start Date],"")),"◆",""))</x:f>
      </x:c>
      <x:c r="Y34" s="90" t="str">
        <x:f>IF($A34="","",IF(AND($G34="Yes",Y$2=XLOOKUP($A34,TasksTable[Task ID],TasksTable[Start Date],"")),"◆",""))</x:f>
      </x:c>
      <x:c r="Z34" s="90" t="str">
        <x:f>IF($A34="","",IF(AND($G34="Yes",Z$2=XLOOKUP($A34,TasksTable[Task ID],TasksTable[Start Date],"")),"◆",""))</x:f>
      </x:c>
      <x:c r="AA34" s="90" t="str">
        <x:f>IF($A34="","",IF(AND($G34="Yes",AA$2=XLOOKUP($A34,TasksTable[Task ID],TasksTable[Start Date],"")),"◆",""))</x:f>
      </x:c>
      <x:c r="AB34" s="90" t="str">
        <x:f>IF($A34="","",IF(AND($G34="Yes",AB$2=XLOOKUP($A34,TasksTable[Task ID],TasksTable[Start Date],"")),"◆",""))</x:f>
      </x:c>
      <x:c r="AC34" s="90" t="str">
        <x:f>IF($A34="","",IF(AND($G34="Yes",AC$2=XLOOKUP($A34,TasksTable[Task ID],TasksTable[Start Date],"")),"◆",""))</x:f>
      </x:c>
      <x:c r="AD34" s="90" t="str">
        <x:f>IF($A34="","",IF(AND($G34="Yes",AD$2=XLOOKUP($A34,TasksTable[Task ID],TasksTable[Start Date],"")),"◆",""))</x:f>
      </x:c>
      <x:c r="AE34" s="90" t="str">
        <x:f>IF($A34="","",IF(AND($G34="Yes",AE$2=XLOOKUP($A34,TasksTable[Task ID],TasksTable[Start Date],"")),"◆",""))</x:f>
      </x:c>
      <x:c r="AF34" s="90" t="str">
        <x:f>IF($A34="","",IF(AND($G34="Yes",AF$2=XLOOKUP($A34,TasksTable[Task ID],TasksTable[Start Date],"")),"◆",""))</x:f>
      </x:c>
      <x:c r="AG34" s="90" t="str">
        <x:f>IF($A34="","",IF(AND($G34="Yes",AG$2=XLOOKUP($A34,TasksTable[Task ID],TasksTable[Start Date],"")),"◆",""))</x:f>
      </x:c>
      <x:c r="AH34" s="90" t="str">
        <x:f>IF($A34="","",IF(AND($G34="Yes",AH$2=XLOOKUP($A34,TasksTable[Task ID],TasksTable[Start Date],"")),"◆",""))</x:f>
      </x:c>
      <x:c r="AI34" s="90" t="str">
        <x:f>IF($A34="","",IF(AND($G34="Yes",AI$2=XLOOKUP($A34,TasksTable[Task ID],TasksTable[Start Date],"")),"◆",""))</x:f>
      </x:c>
      <x:c r="AJ34" s="90" t="str">
        <x:f>IF($A34="","",IF(AND($G34="Yes",AJ$2=XLOOKUP($A34,TasksTable[Task ID],TasksTable[Start Date],"")),"◆",""))</x:f>
      </x:c>
      <x:c r="AK34" s="90" t="str">
        <x:f>IF($A34="","",IF(AND($G34="Yes",AK$2=XLOOKUP($A34,TasksTable[Task ID],TasksTable[Start Date],"")),"◆",""))</x:f>
      </x:c>
      <x:c r="AL34" s="90" t="str">
        <x:f>IF($A34="","",IF(AND($G34="Yes",AL$2=XLOOKUP($A34,TasksTable[Task ID],TasksTable[Start Date],"")),"◆",""))</x:f>
      </x:c>
      <x:c r="AM34" s="90" t="str">
        <x:f>IF($A34="","",IF(AND($G34="Yes",AM$2=XLOOKUP($A34,TasksTable[Task ID],TasksTable[Start Date],"")),"◆",""))</x:f>
      </x:c>
      <x:c r="AN34" s="90" t="str">
        <x:f>IF($A34="","",IF(AND($G34="Yes",AN$2=XLOOKUP($A34,TasksTable[Task ID],TasksTable[Start Date],"")),"◆",""))</x:f>
      </x:c>
      <x:c r="AO34" s="90" t="str">
        <x:f>IF($A34="","",IF(AND($G34="Yes",AO$2=XLOOKUP($A34,TasksTable[Task ID],TasksTable[Start Date],"")),"◆",""))</x:f>
      </x:c>
    </x:row>
    <x:row r="35">
      <x:c r="A35" s="10" t="str">
        <x:f>IFERROR(INDEX(TasksTable[Task ID],ROWS($A$4:A35)),"")</x:f>
        <x:v>T27</x:v>
      </x:c>
      <x:c r="B35" s="10" t="str">
        <x:f>IF($A35="","",IFERROR(XLOOKUP($A35,TasksTable[Task ID],TasksTable[Phase],""),""))</x:f>
        <x:v>M6 · Outbound Actuation, Telemetry &amp; Omnichannel Go-Live</x:v>
      </x:c>
      <x:c r="C35" s="10" t="str">
        <x:f>IF($A35="","",IFERROR(XLOOKUP($A35,TasksTable[Task ID],TasksTable[Task Name],""),""))</x:f>
        <x:v>Publish ad campaigns and bid targets to Paid Ad Platforms</x:v>
      </x:c>
      <x:c r="D35" s="10" t="str">
        <x:f>IF($A35="","",IFERROR(XLOOKUP($A35,TasksTable[Task ID],TasksTable[Status],""),""))</x:f>
        <x:v>Not Started</x:v>
      </x:c>
      <x:c r="E35" s="86" t="n">
        <x:f>IF($A35="","",IFERROR(XLOOKUP($A35,TasksTable[Task ID],TasksTable[Progress %],0),0))</x:f>
        <x:v>0</x:v>
      </x:c>
      <x:c r="F35" s="10" t="str">
        <x:f>IF($A35="","",IFERROR(XLOOKUP($A35,TasksTable[Task ID],TasksTable[Schedule Health],""),""))</x:f>
        <x:v>On Track</x:v>
      </x:c>
      <x:c r="G35" s="10" t="str">
        <x:f>IF($A35="","",IFERROR(XLOOKUP($A35,TasksTable[Task ID],TasksTable[Milestone],""),""))</x:f>
        <x:v>No</x:v>
      </x:c>
      <x:c r="H35" s="90" t="str">
        <x:f>IF($A35="","",IF(AND($G35="Yes",H$2=XLOOKUP($A35,TasksTable[Task ID],TasksTable[Start Date],"")),"◆",""))</x:f>
      </x:c>
      <x:c r="I35" s="90" t="str">
        <x:f>IF($A35="","",IF(AND($G35="Yes",I$2=XLOOKUP($A35,TasksTable[Task ID],TasksTable[Start Date],"")),"◆",""))</x:f>
      </x:c>
      <x:c r="J35" s="90" t="str">
        <x:f>IF($A35="","",IF(AND($G35="Yes",J$2=XLOOKUP($A35,TasksTable[Task ID],TasksTable[Start Date],"")),"◆",""))</x:f>
      </x:c>
      <x:c r="K35" s="90" t="str">
        <x:f>IF($A35="","",IF(AND($G35="Yes",K$2=XLOOKUP($A35,TasksTable[Task ID],TasksTable[Start Date],"")),"◆",""))</x:f>
      </x:c>
      <x:c r="L35" s="90" t="str">
        <x:f>IF($A35="","",IF(AND($G35="Yes",L$2=XLOOKUP($A35,TasksTable[Task ID],TasksTable[Start Date],"")),"◆",""))</x:f>
      </x:c>
      <x:c r="M35" s="90" t="str">
        <x:f>IF($A35="","",IF(AND($G35="Yes",M$2=XLOOKUP($A35,TasksTable[Task ID],TasksTable[Start Date],"")),"◆",""))</x:f>
      </x:c>
      <x:c r="N35" s="90" t="str">
        <x:f>IF($A35="","",IF(AND($G35="Yes",N$2=XLOOKUP($A35,TasksTable[Task ID],TasksTable[Start Date],"")),"◆",""))</x:f>
      </x:c>
      <x:c r="O35" s="90" t="str">
        <x:f>IF($A35="","",IF(AND($G35="Yes",O$2=XLOOKUP($A35,TasksTable[Task ID],TasksTable[Start Date],"")),"◆",""))</x:f>
      </x:c>
      <x:c r="P35" s="90" t="str">
        <x:f>IF($A35="","",IF(AND($G35="Yes",P$2=XLOOKUP($A35,TasksTable[Task ID],TasksTable[Start Date],"")),"◆",""))</x:f>
      </x:c>
      <x:c r="Q35" s="90" t="str">
        <x:f>IF($A35="","",IF(AND($G35="Yes",Q$2=XLOOKUP($A35,TasksTable[Task ID],TasksTable[Start Date],"")),"◆",""))</x:f>
      </x:c>
      <x:c r="R35" s="90" t="str">
        <x:f>IF($A35="","",IF(AND($G35="Yes",R$2=XLOOKUP($A35,TasksTable[Task ID],TasksTable[Start Date],"")),"◆",""))</x:f>
      </x:c>
      <x:c r="S35" s="90" t="str">
        <x:f>IF($A35="","",IF(AND($G35="Yes",S$2=XLOOKUP($A35,TasksTable[Task ID],TasksTable[Start Date],"")),"◆",""))</x:f>
      </x:c>
      <x:c r="T35" s="90" t="str">
        <x:f>IF($A35="","",IF(AND($G35="Yes",T$2=XLOOKUP($A35,TasksTable[Task ID],TasksTable[Start Date],"")),"◆",""))</x:f>
      </x:c>
      <x:c r="U35" s="90" t="str">
        <x:f>IF($A35="","",IF(AND($G35="Yes",U$2=XLOOKUP($A35,TasksTable[Task ID],TasksTable[Start Date],"")),"◆",""))</x:f>
      </x:c>
      <x:c r="V35" s="90" t="str">
        <x:f>IF($A35="","",IF(AND($G35="Yes",V$2=XLOOKUP($A35,TasksTable[Task ID],TasksTable[Start Date],"")),"◆",""))</x:f>
      </x:c>
      <x:c r="W35" s="90" t="str">
        <x:f>IF($A35="","",IF(AND($G35="Yes",W$2=XLOOKUP($A35,TasksTable[Task ID],TasksTable[Start Date],"")),"◆",""))</x:f>
      </x:c>
      <x:c r="X35" s="90" t="str">
        <x:f>IF($A35="","",IF(AND($G35="Yes",X$2=XLOOKUP($A35,TasksTable[Task ID],TasksTable[Start Date],"")),"◆",""))</x:f>
      </x:c>
      <x:c r="Y35" s="90" t="str">
        <x:f>IF($A35="","",IF(AND($G35="Yes",Y$2=XLOOKUP($A35,TasksTable[Task ID],TasksTable[Start Date],"")),"◆",""))</x:f>
      </x:c>
      <x:c r="Z35" s="90" t="str">
        <x:f>IF($A35="","",IF(AND($G35="Yes",Z$2=XLOOKUP($A35,TasksTable[Task ID],TasksTable[Start Date],"")),"◆",""))</x:f>
      </x:c>
      <x:c r="AA35" s="90" t="str">
        <x:f>IF($A35="","",IF(AND($G35="Yes",AA$2=XLOOKUP($A35,TasksTable[Task ID],TasksTable[Start Date],"")),"◆",""))</x:f>
      </x:c>
      <x:c r="AB35" s="90" t="str">
        <x:f>IF($A35="","",IF(AND($G35="Yes",AB$2=XLOOKUP($A35,TasksTable[Task ID],TasksTable[Start Date],"")),"◆",""))</x:f>
      </x:c>
      <x:c r="AC35" s="90" t="str">
        <x:f>IF($A35="","",IF(AND($G35="Yes",AC$2=XLOOKUP($A35,TasksTable[Task ID],TasksTable[Start Date],"")),"◆",""))</x:f>
      </x:c>
      <x:c r="AD35" s="90" t="str">
        <x:f>IF($A35="","",IF(AND($G35="Yes",AD$2=XLOOKUP($A35,TasksTable[Task ID],TasksTable[Start Date],"")),"◆",""))</x:f>
      </x:c>
      <x:c r="AE35" s="90" t="str">
        <x:f>IF($A35="","",IF(AND($G35="Yes",AE$2=XLOOKUP($A35,TasksTable[Task ID],TasksTable[Start Date],"")),"◆",""))</x:f>
      </x:c>
      <x:c r="AF35" s="90" t="str">
        <x:f>IF($A35="","",IF(AND($G35="Yes",AF$2=XLOOKUP($A35,TasksTable[Task ID],TasksTable[Start Date],"")),"◆",""))</x:f>
      </x:c>
      <x:c r="AG35" s="90" t="str">
        <x:f>IF($A35="","",IF(AND($G35="Yes",AG$2=XLOOKUP($A35,TasksTable[Task ID],TasksTable[Start Date],"")),"◆",""))</x:f>
      </x:c>
      <x:c r="AH35" s="90" t="str">
        <x:f>IF($A35="","",IF(AND($G35="Yes",AH$2=XLOOKUP($A35,TasksTable[Task ID],TasksTable[Start Date],"")),"◆",""))</x:f>
      </x:c>
      <x:c r="AI35" s="90" t="str">
        <x:f>IF($A35="","",IF(AND($G35="Yes",AI$2=XLOOKUP($A35,TasksTable[Task ID],TasksTable[Start Date],"")),"◆",""))</x:f>
      </x:c>
      <x:c r="AJ35" s="90" t="str">
        <x:f>IF($A35="","",IF(AND($G35="Yes",AJ$2=XLOOKUP($A35,TasksTable[Task ID],TasksTable[Start Date],"")),"◆",""))</x:f>
      </x:c>
      <x:c r="AK35" s="90" t="str">
        <x:f>IF($A35="","",IF(AND($G35="Yes",AK$2=XLOOKUP($A35,TasksTable[Task ID],TasksTable[Start Date],"")),"◆",""))</x:f>
      </x:c>
      <x:c r="AL35" s="90" t="str">
        <x:f>IF($A35="","",IF(AND($G35="Yes",AL$2=XLOOKUP($A35,TasksTable[Task ID],TasksTable[Start Date],"")),"◆",""))</x:f>
      </x:c>
      <x:c r="AM35" s="90" t="str">
        <x:f>IF($A35="","",IF(AND($G35="Yes",AM$2=XLOOKUP($A35,TasksTable[Task ID],TasksTable[Start Date],"")),"◆",""))</x:f>
      </x:c>
      <x:c r="AN35" s="90" t="str">
        <x:f>IF($A35="","",IF(AND($G35="Yes",AN$2=XLOOKUP($A35,TasksTable[Task ID],TasksTable[Start Date],"")),"◆",""))</x:f>
      </x:c>
      <x:c r="AO35" s="90" t="str">
        <x:f>IF($A35="","",IF(AND($G35="Yes",AO$2=XLOOKUP($A35,TasksTable[Task ID],TasksTable[Start Date],"")),"◆",""))</x:f>
      </x:c>
    </x:row>
    <x:row r="36">
      <x:c r="A36" s="10" t="str">
        <x:f>IFERROR(INDEX(TasksTable[Task ID],ROWS($A$4:A36)),"")</x:f>
        <x:v>T28</x:v>
      </x:c>
      <x:c r="B36" s="10" t="str">
        <x:f>IF($A36="","",IFERROR(XLOOKUP($A36,TasksTable[Task ID],TasksTable[Phase],""),""))</x:f>
        <x:v>M6 · Outbound Actuation, Telemetry &amp; Omnichannel Go-Live</x:v>
      </x:c>
      <x:c r="C36" s="10" t="str">
        <x:f>IF($A36="","",IFERROR(XLOOKUP($A36,TasksTable[Task ID],TasksTable[Task Name],""),""))</x:f>
        <x:v>Publish scheduled social media posts and assets to Social Channels</x:v>
      </x:c>
      <x:c r="D36" s="10" t="str">
        <x:f>IF($A36="","",IFERROR(XLOOKUP($A36,TasksTable[Task ID],TasksTable[Status],""),""))</x:f>
        <x:v>Not Started</x:v>
      </x:c>
      <x:c r="E36" s="86" t="n">
        <x:f>IF($A36="","",IFERROR(XLOOKUP($A36,TasksTable[Task ID],TasksTable[Progress %],0),0))</x:f>
        <x:v>0</x:v>
      </x:c>
      <x:c r="F36" s="10" t="str">
        <x:f>IF($A36="","",IFERROR(XLOOKUP($A36,TasksTable[Task ID],TasksTable[Schedule Health],""),""))</x:f>
        <x:v>On Track</x:v>
      </x:c>
      <x:c r="G36" s="10" t="str">
        <x:f>IF($A36="","",IFERROR(XLOOKUP($A36,TasksTable[Task ID],TasksTable[Milestone],""),""))</x:f>
        <x:v>No</x:v>
      </x:c>
      <x:c r="H36" s="90" t="str">
        <x:f>IF($A36="","",IF(AND($G36="Yes",H$2=XLOOKUP($A36,TasksTable[Task ID],TasksTable[Start Date],"")),"◆",""))</x:f>
      </x:c>
      <x:c r="I36" s="90" t="str">
        <x:f>IF($A36="","",IF(AND($G36="Yes",I$2=XLOOKUP($A36,TasksTable[Task ID],TasksTable[Start Date],"")),"◆",""))</x:f>
      </x:c>
      <x:c r="J36" s="90" t="str">
        <x:f>IF($A36="","",IF(AND($G36="Yes",J$2=XLOOKUP($A36,TasksTable[Task ID],TasksTable[Start Date],"")),"◆",""))</x:f>
      </x:c>
      <x:c r="K36" s="90" t="str">
        <x:f>IF($A36="","",IF(AND($G36="Yes",K$2=XLOOKUP($A36,TasksTable[Task ID],TasksTable[Start Date],"")),"◆",""))</x:f>
      </x:c>
      <x:c r="L36" s="90" t="str">
        <x:f>IF($A36="","",IF(AND($G36="Yes",L$2=XLOOKUP($A36,TasksTable[Task ID],TasksTable[Start Date],"")),"◆",""))</x:f>
      </x:c>
      <x:c r="M36" s="90" t="str">
        <x:f>IF($A36="","",IF(AND($G36="Yes",M$2=XLOOKUP($A36,TasksTable[Task ID],TasksTable[Start Date],"")),"◆",""))</x:f>
      </x:c>
      <x:c r="N36" s="90" t="str">
        <x:f>IF($A36="","",IF(AND($G36="Yes",N$2=XLOOKUP($A36,TasksTable[Task ID],TasksTable[Start Date],"")),"◆",""))</x:f>
      </x:c>
      <x:c r="O36" s="90" t="str">
        <x:f>IF($A36="","",IF(AND($G36="Yes",O$2=XLOOKUP($A36,TasksTable[Task ID],TasksTable[Start Date],"")),"◆",""))</x:f>
      </x:c>
      <x:c r="P36" s="90" t="str">
        <x:f>IF($A36="","",IF(AND($G36="Yes",P$2=XLOOKUP($A36,TasksTable[Task ID],TasksTable[Start Date],"")),"◆",""))</x:f>
      </x:c>
      <x:c r="Q36" s="90" t="str">
        <x:f>IF($A36="","",IF(AND($G36="Yes",Q$2=XLOOKUP($A36,TasksTable[Task ID],TasksTable[Start Date],"")),"◆",""))</x:f>
      </x:c>
      <x:c r="R36" s="90" t="str">
        <x:f>IF($A36="","",IF(AND($G36="Yes",R$2=XLOOKUP($A36,TasksTable[Task ID],TasksTable[Start Date],"")),"◆",""))</x:f>
      </x:c>
      <x:c r="S36" s="90" t="str">
        <x:f>IF($A36="","",IF(AND($G36="Yes",S$2=XLOOKUP($A36,TasksTable[Task ID],TasksTable[Start Date],"")),"◆",""))</x:f>
      </x:c>
      <x:c r="T36" s="90" t="str">
        <x:f>IF($A36="","",IF(AND($G36="Yes",T$2=XLOOKUP($A36,TasksTable[Task ID],TasksTable[Start Date],"")),"◆",""))</x:f>
      </x:c>
      <x:c r="U36" s="90" t="str">
        <x:f>IF($A36="","",IF(AND($G36="Yes",U$2=XLOOKUP($A36,TasksTable[Task ID],TasksTable[Start Date],"")),"◆",""))</x:f>
      </x:c>
      <x:c r="V36" s="90" t="str">
        <x:f>IF($A36="","",IF(AND($G36="Yes",V$2=XLOOKUP($A36,TasksTable[Task ID],TasksTable[Start Date],"")),"◆",""))</x:f>
      </x:c>
      <x:c r="W36" s="90" t="str">
        <x:f>IF($A36="","",IF(AND($G36="Yes",W$2=XLOOKUP($A36,TasksTable[Task ID],TasksTable[Start Date],"")),"◆",""))</x:f>
      </x:c>
      <x:c r="X36" s="90" t="str">
        <x:f>IF($A36="","",IF(AND($G36="Yes",X$2=XLOOKUP($A36,TasksTable[Task ID],TasksTable[Start Date],"")),"◆",""))</x:f>
      </x:c>
      <x:c r="Y36" s="90" t="str">
        <x:f>IF($A36="","",IF(AND($G36="Yes",Y$2=XLOOKUP($A36,TasksTable[Task ID],TasksTable[Start Date],"")),"◆",""))</x:f>
      </x:c>
      <x:c r="Z36" s="90" t="str">
        <x:f>IF($A36="","",IF(AND($G36="Yes",Z$2=XLOOKUP($A36,TasksTable[Task ID],TasksTable[Start Date],"")),"◆",""))</x:f>
      </x:c>
      <x:c r="AA36" s="90" t="str">
        <x:f>IF($A36="","",IF(AND($G36="Yes",AA$2=XLOOKUP($A36,TasksTable[Task ID],TasksTable[Start Date],"")),"◆",""))</x:f>
      </x:c>
      <x:c r="AB36" s="90" t="str">
        <x:f>IF($A36="","",IF(AND($G36="Yes",AB$2=XLOOKUP($A36,TasksTable[Task ID],TasksTable[Start Date],"")),"◆",""))</x:f>
      </x:c>
      <x:c r="AC36" s="90" t="str">
        <x:f>IF($A36="","",IF(AND($G36="Yes",AC$2=XLOOKUP($A36,TasksTable[Task ID],TasksTable[Start Date],"")),"◆",""))</x:f>
      </x:c>
      <x:c r="AD36" s="90" t="str">
        <x:f>IF($A36="","",IF(AND($G36="Yes",AD$2=XLOOKUP($A36,TasksTable[Task ID],TasksTable[Start Date],"")),"◆",""))</x:f>
      </x:c>
      <x:c r="AE36" s="90" t="str">
        <x:f>IF($A36="","",IF(AND($G36="Yes",AE$2=XLOOKUP($A36,TasksTable[Task ID],TasksTable[Start Date],"")),"◆",""))</x:f>
      </x:c>
      <x:c r="AF36" s="90" t="str">
        <x:f>IF($A36="","",IF(AND($G36="Yes",AF$2=XLOOKUP($A36,TasksTable[Task ID],TasksTable[Start Date],"")),"◆",""))</x:f>
      </x:c>
      <x:c r="AG36" s="90" t="str">
        <x:f>IF($A36="","",IF(AND($G36="Yes",AG$2=XLOOKUP($A36,TasksTable[Task ID],TasksTable[Start Date],"")),"◆",""))</x:f>
      </x:c>
      <x:c r="AH36" s="90" t="str">
        <x:f>IF($A36="","",IF(AND($G36="Yes",AH$2=XLOOKUP($A36,TasksTable[Task ID],TasksTable[Start Date],"")),"◆",""))</x:f>
      </x:c>
      <x:c r="AI36" s="90" t="str">
        <x:f>IF($A36="","",IF(AND($G36="Yes",AI$2=XLOOKUP($A36,TasksTable[Task ID],TasksTable[Start Date],"")),"◆",""))</x:f>
      </x:c>
      <x:c r="AJ36" s="90" t="str">
        <x:f>IF($A36="","",IF(AND($G36="Yes",AJ$2=XLOOKUP($A36,TasksTable[Task ID],TasksTable[Start Date],"")),"◆",""))</x:f>
      </x:c>
      <x:c r="AK36" s="90" t="str">
        <x:f>IF($A36="","",IF(AND($G36="Yes",AK$2=XLOOKUP($A36,TasksTable[Task ID],TasksTable[Start Date],"")),"◆",""))</x:f>
      </x:c>
      <x:c r="AL36" s="90" t="str">
        <x:f>IF($A36="","",IF(AND($G36="Yes",AL$2=XLOOKUP($A36,TasksTable[Task ID],TasksTable[Start Date],"")),"◆",""))</x:f>
      </x:c>
      <x:c r="AM36" s="90" t="str">
        <x:f>IF($A36="","",IF(AND($G36="Yes",AM$2=XLOOKUP($A36,TasksTable[Task ID],TasksTable[Start Date],"")),"◆",""))</x:f>
      </x:c>
      <x:c r="AN36" s="90" t="str">
        <x:f>IF($A36="","",IF(AND($G36="Yes",AN$2=XLOOKUP($A36,TasksTable[Task ID],TasksTable[Start Date],"")),"◆",""))</x:f>
      </x:c>
      <x:c r="AO36" s="90" t="str">
        <x:f>IF($A36="","",IF(AND($G36="Yes",AO$2=XLOOKUP($A36,TasksTable[Task ID],TasksTable[Start Date],"")),"◆",""))</x:f>
      </x:c>
    </x:row>
    <x:row r="37">
      <x:c r="A37" s="10" t="str">
        <x:f>IFERROR(INDEX(TasksTable[Task ID],ROWS($A$4:A37)),"")</x:f>
        <x:v>T29</x:v>
      </x:c>
      <x:c r="B37" s="10" t="str">
        <x:f>IF($A37="","",IFERROR(XLOOKUP($A37,TasksTable[Task ID],TasksTable[Phase],""),""))</x:f>
        <x:v>M6 · Outbound Actuation, Telemetry &amp; Omnichannel Go-Live</x:v>
      </x:c>
      <x:c r="C37" s="10" t="str">
        <x:f>IF($A37="","",IFERROR(XLOOKUP($A37,TasksTable[Task ID],TasksTable[Task Name],""),""))</x:f>
        <x:v>Connect Omnichannel Telemetry Engine webhooks, pixel events &amp; logs</x:v>
      </x:c>
      <x:c r="D37" s="10" t="str">
        <x:f>IF($A37="","",IFERROR(XLOOKUP($A37,TasksTable[Task ID],TasksTable[Status],""),""))</x:f>
        <x:v>Not Started</x:v>
      </x:c>
      <x:c r="E37" s="86" t="n">
        <x:f>IF($A37="","",IFERROR(XLOOKUP($A37,TasksTable[Task ID],TasksTable[Progress %],0),0))</x:f>
        <x:v>0</x:v>
      </x:c>
      <x:c r="F37" s="10" t="str">
        <x:f>IF($A37="","",IFERROR(XLOOKUP($A37,TasksTable[Task ID],TasksTable[Schedule Health],""),""))</x:f>
        <x:v>On Track</x:v>
      </x:c>
      <x:c r="G37" s="10" t="str">
        <x:f>IF($A37="","",IFERROR(XLOOKUP($A37,TasksTable[Task ID],TasksTable[Milestone],""),""))</x:f>
        <x:v>No</x:v>
      </x:c>
      <x:c r="H37" s="90" t="str">
        <x:f>IF($A37="","",IF(AND($G37="Yes",H$2=XLOOKUP($A37,TasksTable[Task ID],TasksTable[Start Date],"")),"◆",""))</x:f>
      </x:c>
      <x:c r="I37" s="90" t="str">
        <x:f>IF($A37="","",IF(AND($G37="Yes",I$2=XLOOKUP($A37,TasksTable[Task ID],TasksTable[Start Date],"")),"◆",""))</x:f>
      </x:c>
      <x:c r="J37" s="90" t="str">
        <x:f>IF($A37="","",IF(AND($G37="Yes",J$2=XLOOKUP($A37,TasksTable[Task ID],TasksTable[Start Date],"")),"◆",""))</x:f>
      </x:c>
      <x:c r="K37" s="90" t="str">
        <x:f>IF($A37="","",IF(AND($G37="Yes",K$2=XLOOKUP($A37,TasksTable[Task ID],TasksTable[Start Date],"")),"◆",""))</x:f>
      </x:c>
      <x:c r="L37" s="90" t="str">
        <x:f>IF($A37="","",IF(AND($G37="Yes",L$2=XLOOKUP($A37,TasksTable[Task ID],TasksTable[Start Date],"")),"◆",""))</x:f>
      </x:c>
      <x:c r="M37" s="90" t="str">
        <x:f>IF($A37="","",IF(AND($G37="Yes",M$2=XLOOKUP($A37,TasksTable[Task ID],TasksTable[Start Date],"")),"◆",""))</x:f>
      </x:c>
      <x:c r="N37" s="90" t="str">
        <x:f>IF($A37="","",IF(AND($G37="Yes",N$2=XLOOKUP($A37,TasksTable[Task ID],TasksTable[Start Date],"")),"◆",""))</x:f>
      </x:c>
      <x:c r="O37" s="90" t="str">
        <x:f>IF($A37="","",IF(AND($G37="Yes",O$2=XLOOKUP($A37,TasksTable[Task ID],TasksTable[Start Date],"")),"◆",""))</x:f>
      </x:c>
      <x:c r="P37" s="90" t="str">
        <x:f>IF($A37="","",IF(AND($G37="Yes",P$2=XLOOKUP($A37,TasksTable[Task ID],TasksTable[Start Date],"")),"◆",""))</x:f>
      </x:c>
      <x:c r="Q37" s="90" t="str">
        <x:f>IF($A37="","",IF(AND($G37="Yes",Q$2=XLOOKUP($A37,TasksTable[Task ID],TasksTable[Start Date],"")),"◆",""))</x:f>
      </x:c>
      <x:c r="R37" s="90" t="str">
        <x:f>IF($A37="","",IF(AND($G37="Yes",R$2=XLOOKUP($A37,TasksTable[Task ID],TasksTable[Start Date],"")),"◆",""))</x:f>
      </x:c>
      <x:c r="S37" s="90" t="str">
        <x:f>IF($A37="","",IF(AND($G37="Yes",S$2=XLOOKUP($A37,TasksTable[Task ID],TasksTable[Start Date],"")),"◆",""))</x:f>
      </x:c>
      <x:c r="T37" s="90" t="str">
        <x:f>IF($A37="","",IF(AND($G37="Yes",T$2=XLOOKUP($A37,TasksTable[Task ID],TasksTable[Start Date],"")),"◆",""))</x:f>
      </x:c>
      <x:c r="U37" s="90" t="str">
        <x:f>IF($A37="","",IF(AND($G37="Yes",U$2=XLOOKUP($A37,TasksTable[Task ID],TasksTable[Start Date],"")),"◆",""))</x:f>
      </x:c>
      <x:c r="V37" s="90" t="str">
        <x:f>IF($A37="","",IF(AND($G37="Yes",V$2=XLOOKUP($A37,TasksTable[Task ID],TasksTable[Start Date],"")),"◆",""))</x:f>
      </x:c>
      <x:c r="W37" s="90" t="str">
        <x:f>IF($A37="","",IF(AND($G37="Yes",W$2=XLOOKUP($A37,TasksTable[Task ID],TasksTable[Start Date],"")),"◆",""))</x:f>
      </x:c>
      <x:c r="X37" s="90" t="str">
        <x:f>IF($A37="","",IF(AND($G37="Yes",X$2=XLOOKUP($A37,TasksTable[Task ID],TasksTable[Start Date],"")),"◆",""))</x:f>
      </x:c>
      <x:c r="Y37" s="90" t="str">
        <x:f>IF($A37="","",IF(AND($G37="Yes",Y$2=XLOOKUP($A37,TasksTable[Task ID],TasksTable[Start Date],"")),"◆",""))</x:f>
      </x:c>
      <x:c r="Z37" s="90" t="str">
        <x:f>IF($A37="","",IF(AND($G37="Yes",Z$2=XLOOKUP($A37,TasksTable[Task ID],TasksTable[Start Date],"")),"◆",""))</x:f>
      </x:c>
      <x:c r="AA37" s="90" t="str">
        <x:f>IF($A37="","",IF(AND($G37="Yes",AA$2=XLOOKUP($A37,TasksTable[Task ID],TasksTable[Start Date],"")),"◆",""))</x:f>
      </x:c>
      <x:c r="AB37" s="90" t="str">
        <x:f>IF($A37="","",IF(AND($G37="Yes",AB$2=XLOOKUP($A37,TasksTable[Task ID],TasksTable[Start Date],"")),"◆",""))</x:f>
      </x:c>
      <x:c r="AC37" s="90" t="str">
        <x:f>IF($A37="","",IF(AND($G37="Yes",AC$2=XLOOKUP($A37,TasksTable[Task ID],TasksTable[Start Date],"")),"◆",""))</x:f>
      </x:c>
      <x:c r="AD37" s="90" t="str">
        <x:f>IF($A37="","",IF(AND($G37="Yes",AD$2=XLOOKUP($A37,TasksTable[Task ID],TasksTable[Start Date],"")),"◆",""))</x:f>
      </x:c>
      <x:c r="AE37" s="90" t="str">
        <x:f>IF($A37="","",IF(AND($G37="Yes",AE$2=XLOOKUP($A37,TasksTable[Task ID],TasksTable[Start Date],"")),"◆",""))</x:f>
      </x:c>
      <x:c r="AF37" s="90" t="str">
        <x:f>IF($A37="","",IF(AND($G37="Yes",AF$2=XLOOKUP($A37,TasksTable[Task ID],TasksTable[Start Date],"")),"◆",""))</x:f>
      </x:c>
      <x:c r="AG37" s="90" t="str">
        <x:f>IF($A37="","",IF(AND($G37="Yes",AG$2=XLOOKUP($A37,TasksTable[Task ID],TasksTable[Start Date],"")),"◆",""))</x:f>
      </x:c>
      <x:c r="AH37" s="90" t="str">
        <x:f>IF($A37="","",IF(AND($G37="Yes",AH$2=XLOOKUP($A37,TasksTable[Task ID],TasksTable[Start Date],"")),"◆",""))</x:f>
      </x:c>
      <x:c r="AI37" s="90" t="str">
        <x:f>IF($A37="","",IF(AND($G37="Yes",AI$2=XLOOKUP($A37,TasksTable[Task ID],TasksTable[Start Date],"")),"◆",""))</x:f>
      </x:c>
      <x:c r="AJ37" s="90" t="str">
        <x:f>IF($A37="","",IF(AND($G37="Yes",AJ$2=XLOOKUP($A37,TasksTable[Task ID],TasksTable[Start Date],"")),"◆",""))</x:f>
      </x:c>
      <x:c r="AK37" s="90" t="str">
        <x:f>IF($A37="","",IF(AND($G37="Yes",AK$2=XLOOKUP($A37,TasksTable[Task ID],TasksTable[Start Date],"")),"◆",""))</x:f>
      </x:c>
      <x:c r="AL37" s="90" t="str">
        <x:f>IF($A37="","",IF(AND($G37="Yes",AL$2=XLOOKUP($A37,TasksTable[Task ID],TasksTable[Start Date],"")),"◆",""))</x:f>
      </x:c>
      <x:c r="AM37" s="90" t="str">
        <x:f>IF($A37="","",IF(AND($G37="Yes",AM$2=XLOOKUP($A37,TasksTable[Task ID],TasksTable[Start Date],"")),"◆",""))</x:f>
      </x:c>
      <x:c r="AN37" s="90" t="str">
        <x:f>IF($A37="","",IF(AND($G37="Yes",AN$2=XLOOKUP($A37,TasksTable[Task ID],TasksTable[Start Date],"")),"◆",""))</x:f>
      </x:c>
      <x:c r="AO37" s="90" t="str">
        <x:f>IF($A37="","",IF(AND($G37="Yes",AO$2=XLOOKUP($A37,TasksTable[Task ID],TasksTable[Start Date],"")),"◆",""))</x:f>
      </x:c>
    </x:row>
    <x:row r="38">
      <x:c r="A38" s="10" t="str">
        <x:f>IFERROR(INDEX(TasksTable[Task ID],ROWS($A$4:A38)),"")</x:f>
        <x:v>M6</x:v>
      </x:c>
      <x:c r="B38" s="10" t="str">
        <x:f>IF($A38="","",IFERROR(XLOOKUP($A38,TasksTable[Task ID],TasksTable[Phase],""),""))</x:f>
        <x:v>M6 · Outbound Actuation, Telemetry &amp; Omnichannel Go-Live</x:v>
      </x:c>
      <x:c r="C38" s="10" t="str">
        <x:f>IF($A38="","",IFERROR(XLOOKUP($A38,TasksTable[Task ID],TasksTable[Task Name],""),""))</x:f>
        <x:v>Outbound Actuation, Telemetry &amp; Omnichannel Go-Live</x:v>
      </x:c>
      <x:c r="D38" s="10" t="str">
        <x:f>IF($A38="","",IFERROR(XLOOKUP($A38,TasksTable[Task ID],TasksTable[Status],""),""))</x:f>
        <x:v>Not Started</x:v>
      </x:c>
      <x:c r="E38" s="86" t="n">
        <x:f>IF($A38="","",IFERROR(XLOOKUP($A38,TasksTable[Task ID],TasksTable[Progress %],0),0))</x:f>
        <x:v>0</x:v>
      </x:c>
      <x:c r="F38" s="10" t="str">
        <x:f>IF($A38="","",IFERROR(XLOOKUP($A38,TasksTable[Task ID],TasksTable[Schedule Health],""),""))</x:f>
        <x:v>On Track</x:v>
      </x:c>
      <x:c r="G38" s="10" t="str">
        <x:f>IF($A38="","",IFERROR(XLOOKUP($A38,TasksTable[Task ID],TasksTable[Milestone],""),""))</x:f>
        <x:v>Yes</x:v>
      </x:c>
      <x:c r="H38" s="90" t="str">
        <x:f>IF($A38="","",IF(AND($G38="Yes",H$2=XLOOKUP($A38,TasksTable[Task ID],TasksTable[Start Date],"")),"◆",""))</x:f>
      </x:c>
      <x:c r="I38" s="90" t="str">
        <x:f>IF($A38="","",IF(AND($G38="Yes",I$2=XLOOKUP($A38,TasksTable[Task ID],TasksTable[Start Date],"")),"◆",""))</x:f>
      </x:c>
      <x:c r="J38" s="90" t="str">
        <x:f>IF($A38="","",IF(AND($G38="Yes",J$2=XLOOKUP($A38,TasksTable[Task ID],TasksTable[Start Date],"")),"◆",""))</x:f>
      </x:c>
      <x:c r="K38" s="90" t="str">
        <x:f>IF($A38="","",IF(AND($G38="Yes",K$2=XLOOKUP($A38,TasksTable[Task ID],TasksTable[Start Date],"")),"◆",""))</x:f>
      </x:c>
      <x:c r="L38" s="90" t="str">
        <x:f>IF($A38="","",IF(AND($G38="Yes",L$2=XLOOKUP($A38,TasksTable[Task ID],TasksTable[Start Date],"")),"◆",""))</x:f>
      </x:c>
      <x:c r="M38" s="90" t="str">
        <x:f>IF($A38="","",IF(AND($G38="Yes",M$2=XLOOKUP($A38,TasksTable[Task ID],TasksTable[Start Date],"")),"◆",""))</x:f>
      </x:c>
      <x:c r="N38" s="90" t="str">
        <x:f>IF($A38="","",IF(AND($G38="Yes",N$2=XLOOKUP($A38,TasksTable[Task ID],TasksTable[Start Date],"")),"◆",""))</x:f>
      </x:c>
      <x:c r="O38" s="90" t="str">
        <x:f>IF($A38="","",IF(AND($G38="Yes",O$2=XLOOKUP($A38,TasksTable[Task ID],TasksTable[Start Date],"")),"◆",""))</x:f>
      </x:c>
      <x:c r="P38" s="90" t="str">
        <x:f>IF($A38="","",IF(AND($G38="Yes",P$2=XLOOKUP($A38,TasksTable[Task ID],TasksTable[Start Date],"")),"◆",""))</x:f>
      </x:c>
      <x:c r="Q38" s="90" t="str">
        <x:f>IF($A38="","",IF(AND($G38="Yes",Q$2=XLOOKUP($A38,TasksTable[Task ID],TasksTable[Start Date],"")),"◆",""))</x:f>
      </x:c>
      <x:c r="R38" s="90" t="str">
        <x:f>IF($A38="","",IF(AND($G38="Yes",R$2=XLOOKUP($A38,TasksTable[Task ID],TasksTable[Start Date],"")),"◆",""))</x:f>
      </x:c>
      <x:c r="S38" s="90" t="str">
        <x:f>IF($A38="","",IF(AND($G38="Yes",S$2=XLOOKUP($A38,TasksTable[Task ID],TasksTable[Start Date],"")),"◆",""))</x:f>
      </x:c>
      <x:c r="T38" s="90" t="str">
        <x:f>IF($A38="","",IF(AND($G38="Yes",T$2=XLOOKUP($A38,TasksTable[Task ID],TasksTable[Start Date],"")),"◆",""))</x:f>
      </x:c>
      <x:c r="U38" s="90" t="str">
        <x:f>IF($A38="","",IF(AND($G38="Yes",U$2=XLOOKUP($A38,TasksTable[Task ID],TasksTable[Start Date],"")),"◆",""))</x:f>
      </x:c>
      <x:c r="V38" s="90" t="str">
        <x:f>IF($A38="","",IF(AND($G38="Yes",V$2=XLOOKUP($A38,TasksTable[Task ID],TasksTable[Start Date],"")),"◆",""))</x:f>
      </x:c>
      <x:c r="W38" s="90" t="str">
        <x:f>IF($A38="","",IF(AND($G38="Yes",W$2=XLOOKUP($A38,TasksTable[Task ID],TasksTable[Start Date],"")),"◆",""))</x:f>
      </x:c>
      <x:c r="X38" s="90" t="str">
        <x:f>IF($A38="","",IF(AND($G38="Yes",X$2=XLOOKUP($A38,TasksTable[Task ID],TasksTable[Start Date],"")),"◆",""))</x:f>
      </x:c>
      <x:c r="Y38" s="90" t="str">
        <x:f>IF($A38="","",IF(AND($G38="Yes",Y$2=XLOOKUP($A38,TasksTable[Task ID],TasksTable[Start Date],"")),"◆",""))</x:f>
      </x:c>
      <x:c r="Z38" s="90" t="str">
        <x:f>IF($A38="","",IF(AND($G38="Yes",Z$2=XLOOKUP($A38,TasksTable[Task ID],TasksTable[Start Date],"")),"◆",""))</x:f>
      </x:c>
      <x:c r="AA38" s="90" t="str">
        <x:f>IF($A38="","",IF(AND($G38="Yes",AA$2=XLOOKUP($A38,TasksTable[Task ID],TasksTable[Start Date],"")),"◆",""))</x:f>
      </x:c>
      <x:c r="AB38" s="90" t="str">
        <x:f>IF($A38="","",IF(AND($G38="Yes",AB$2=XLOOKUP($A38,TasksTable[Task ID],TasksTable[Start Date],"")),"◆",""))</x:f>
      </x:c>
      <x:c r="AC38" s="90" t="str">
        <x:f>IF($A38="","",IF(AND($G38="Yes",AC$2=XLOOKUP($A38,TasksTable[Task ID],TasksTable[Start Date],"")),"◆",""))</x:f>
      </x:c>
      <x:c r="AD38" s="90" t="str">
        <x:f>IF($A38="","",IF(AND($G38="Yes",AD$2=XLOOKUP($A38,TasksTable[Task ID],TasksTable[Start Date],"")),"◆",""))</x:f>
      </x:c>
      <x:c r="AE38" s="90" t="str">
        <x:f>IF($A38="","",IF(AND($G38="Yes",AE$2=XLOOKUP($A38,TasksTable[Task ID],TasksTable[Start Date],"")),"◆",""))</x:f>
      </x:c>
      <x:c r="AF38" s="90" t="str">
        <x:f>IF($A38="","",IF(AND($G38="Yes",AF$2=XLOOKUP($A38,TasksTable[Task ID],TasksTable[Start Date],"")),"◆",""))</x:f>
      </x:c>
      <x:c r="AG38" s="90" t="str">
        <x:f>IF($A38="","",IF(AND($G38="Yes",AG$2=XLOOKUP($A38,TasksTable[Task ID],TasksTable[Start Date],"")),"◆",""))</x:f>
      </x:c>
      <x:c r="AH38" s="90" t="str">
        <x:f>IF($A38="","",IF(AND($G38="Yes",AH$2=XLOOKUP($A38,TasksTable[Task ID],TasksTable[Start Date],"")),"◆",""))</x:f>
      </x:c>
      <x:c r="AI38" s="90" t="str">
        <x:f>IF($A38="","",IF(AND($G38="Yes",AI$2=XLOOKUP($A38,TasksTable[Task ID],TasksTable[Start Date],"")),"◆",""))</x:f>
      </x:c>
      <x:c r="AJ38" s="90" t="str">
        <x:f>IF($A38="","",IF(AND($G38="Yes",AJ$2=XLOOKUP($A38,TasksTable[Task ID],TasksTable[Start Date],"")),"◆",""))</x:f>
      </x:c>
      <x:c r="AK38" s="90" t="str">
        <x:f>IF($A38="","",IF(AND($G38="Yes",AK$2=XLOOKUP($A38,TasksTable[Task ID],TasksTable[Start Date],"")),"◆",""))</x:f>
        <x:v>◆</x:v>
      </x:c>
      <x:c r="AL38" s="90" t="str">
        <x:f>IF($A38="","",IF(AND($G38="Yes",AL$2=XLOOKUP($A38,TasksTable[Task ID],TasksTable[Start Date],"")),"◆",""))</x:f>
      </x:c>
      <x:c r="AM38" s="90" t="str">
        <x:f>IF($A38="","",IF(AND($G38="Yes",AM$2=XLOOKUP($A38,TasksTable[Task ID],TasksTable[Start Date],"")),"◆",""))</x:f>
      </x:c>
      <x:c r="AN38" s="90" t="str">
        <x:f>IF($A38="","",IF(AND($G38="Yes",AN$2=XLOOKUP($A38,TasksTable[Task ID],TasksTable[Start Date],"")),"◆",""))</x:f>
      </x:c>
      <x:c r="AO38" s="90" t="str">
        <x:f>IF($A38="","",IF(AND($G38="Yes",AO$2=XLOOKUP($A38,TasksTable[Task ID],TasksTable[Start Date],"")),"◆",""))</x:f>
      </x:c>
    </x:row>
    <x:row r="39">
      <x:c r="A39" s="10" t="str">
        <x:f>IFERROR(INDEX(TasksTable[Task ID],ROWS($A$4:A39)),"")</x:f>
        <x:v>T30</x:v>
      </x:c>
      <x:c r="B39" s="10" t="str">
        <x:f>IF($A39="","",IFERROR(XLOOKUP($A39,TasksTable[Task ID],TasksTable[Phase],""),""))</x:f>
        <x:v>M7 · Closed-Loop Telemetry Optimization &amp; Final Project Closeout</x:v>
      </x:c>
      <x:c r="C39" s="10" t="str">
        <x:f>IF($A39="","",IFERROR(XLOOKUP($A39,TasksTable[Task ID],TasksTable[Task Name],""),""))</x:f>
        <x:v>Ingest live store traffic, checkout transactions &amp; conversion logs into CDB</x:v>
      </x:c>
      <x:c r="D39" s="10" t="str">
        <x:f>IF($A39="","",IFERROR(XLOOKUP($A39,TasksTable[Task ID],TasksTable[Status],""),""))</x:f>
        <x:v>Not Started</x:v>
      </x:c>
      <x:c r="E39" s="86" t="n">
        <x:f>IF($A39="","",IFERROR(XLOOKUP($A39,TasksTable[Task ID],TasksTable[Progress %],0),0))</x:f>
        <x:v>0</x:v>
      </x:c>
      <x:c r="F39" s="10" t="str">
        <x:f>IF($A39="","",IFERROR(XLOOKUP($A39,TasksTable[Task ID],TasksTable[Schedule Health],""),""))</x:f>
        <x:v>On Track</x:v>
      </x:c>
      <x:c r="G39" s="10" t="str">
        <x:f>IF($A39="","",IFERROR(XLOOKUP($A39,TasksTable[Task ID],TasksTable[Milestone],""),""))</x:f>
        <x:v>No</x:v>
      </x:c>
      <x:c r="H39" s="90" t="str">
        <x:f>IF($A39="","",IF(AND($G39="Yes",H$2=XLOOKUP($A39,TasksTable[Task ID],TasksTable[Start Date],"")),"◆",""))</x:f>
      </x:c>
      <x:c r="I39" s="90" t="str">
        <x:f>IF($A39="","",IF(AND($G39="Yes",I$2=XLOOKUP($A39,TasksTable[Task ID],TasksTable[Start Date],"")),"◆",""))</x:f>
      </x:c>
      <x:c r="J39" s="90" t="str">
        <x:f>IF($A39="","",IF(AND($G39="Yes",J$2=XLOOKUP($A39,TasksTable[Task ID],TasksTable[Start Date],"")),"◆",""))</x:f>
      </x:c>
      <x:c r="K39" s="90" t="str">
        <x:f>IF($A39="","",IF(AND($G39="Yes",K$2=XLOOKUP($A39,TasksTable[Task ID],TasksTable[Start Date],"")),"◆",""))</x:f>
      </x:c>
      <x:c r="L39" s="90" t="str">
        <x:f>IF($A39="","",IF(AND($G39="Yes",L$2=XLOOKUP($A39,TasksTable[Task ID],TasksTable[Start Date],"")),"◆",""))</x:f>
      </x:c>
      <x:c r="M39" s="90" t="str">
        <x:f>IF($A39="","",IF(AND($G39="Yes",M$2=XLOOKUP($A39,TasksTable[Task ID],TasksTable[Start Date],"")),"◆",""))</x:f>
      </x:c>
      <x:c r="N39" s="90" t="str">
        <x:f>IF($A39="","",IF(AND($G39="Yes",N$2=XLOOKUP($A39,TasksTable[Task ID],TasksTable[Start Date],"")),"◆",""))</x:f>
      </x:c>
      <x:c r="O39" s="90" t="str">
        <x:f>IF($A39="","",IF(AND($G39="Yes",O$2=XLOOKUP($A39,TasksTable[Task ID],TasksTable[Start Date],"")),"◆",""))</x:f>
      </x:c>
      <x:c r="P39" s="90" t="str">
        <x:f>IF($A39="","",IF(AND($G39="Yes",P$2=XLOOKUP($A39,TasksTable[Task ID],TasksTable[Start Date],"")),"◆",""))</x:f>
      </x:c>
      <x:c r="Q39" s="90" t="str">
        <x:f>IF($A39="","",IF(AND($G39="Yes",Q$2=XLOOKUP($A39,TasksTable[Task ID],TasksTable[Start Date],"")),"◆",""))</x:f>
      </x:c>
      <x:c r="R39" s="90" t="str">
        <x:f>IF($A39="","",IF(AND($G39="Yes",R$2=XLOOKUP($A39,TasksTable[Task ID],TasksTable[Start Date],"")),"◆",""))</x:f>
      </x:c>
      <x:c r="S39" s="90" t="str">
        <x:f>IF($A39="","",IF(AND($G39="Yes",S$2=XLOOKUP($A39,TasksTable[Task ID],TasksTable[Start Date],"")),"◆",""))</x:f>
      </x:c>
      <x:c r="T39" s="90" t="str">
        <x:f>IF($A39="","",IF(AND($G39="Yes",T$2=XLOOKUP($A39,TasksTable[Task ID],TasksTable[Start Date],"")),"◆",""))</x:f>
      </x:c>
      <x:c r="U39" s="90" t="str">
        <x:f>IF($A39="","",IF(AND($G39="Yes",U$2=XLOOKUP($A39,TasksTable[Task ID],TasksTable[Start Date],"")),"◆",""))</x:f>
      </x:c>
      <x:c r="V39" s="90" t="str">
        <x:f>IF($A39="","",IF(AND($G39="Yes",V$2=XLOOKUP($A39,TasksTable[Task ID],TasksTable[Start Date],"")),"◆",""))</x:f>
      </x:c>
      <x:c r="W39" s="90" t="str">
        <x:f>IF($A39="","",IF(AND($G39="Yes",W$2=XLOOKUP($A39,TasksTable[Task ID],TasksTable[Start Date],"")),"◆",""))</x:f>
      </x:c>
      <x:c r="X39" s="90" t="str">
        <x:f>IF($A39="","",IF(AND($G39="Yes",X$2=XLOOKUP($A39,TasksTable[Task ID],TasksTable[Start Date],"")),"◆",""))</x:f>
      </x:c>
      <x:c r="Y39" s="90" t="str">
        <x:f>IF($A39="","",IF(AND($G39="Yes",Y$2=XLOOKUP($A39,TasksTable[Task ID],TasksTable[Start Date],"")),"◆",""))</x:f>
      </x:c>
      <x:c r="Z39" s="90" t="str">
        <x:f>IF($A39="","",IF(AND($G39="Yes",Z$2=XLOOKUP($A39,TasksTable[Task ID],TasksTable[Start Date],"")),"◆",""))</x:f>
      </x:c>
      <x:c r="AA39" s="90" t="str">
        <x:f>IF($A39="","",IF(AND($G39="Yes",AA$2=XLOOKUP($A39,TasksTable[Task ID],TasksTable[Start Date],"")),"◆",""))</x:f>
      </x:c>
      <x:c r="AB39" s="90" t="str">
        <x:f>IF($A39="","",IF(AND($G39="Yes",AB$2=XLOOKUP($A39,TasksTable[Task ID],TasksTable[Start Date],"")),"◆",""))</x:f>
      </x:c>
      <x:c r="AC39" s="90" t="str">
        <x:f>IF($A39="","",IF(AND($G39="Yes",AC$2=XLOOKUP($A39,TasksTable[Task ID],TasksTable[Start Date],"")),"◆",""))</x:f>
      </x:c>
      <x:c r="AD39" s="90" t="str">
        <x:f>IF($A39="","",IF(AND($G39="Yes",AD$2=XLOOKUP($A39,TasksTable[Task ID],TasksTable[Start Date],"")),"◆",""))</x:f>
      </x:c>
      <x:c r="AE39" s="90" t="str">
        <x:f>IF($A39="","",IF(AND($G39="Yes",AE$2=XLOOKUP($A39,TasksTable[Task ID],TasksTable[Start Date],"")),"◆",""))</x:f>
      </x:c>
      <x:c r="AF39" s="90" t="str">
        <x:f>IF($A39="","",IF(AND($G39="Yes",AF$2=XLOOKUP($A39,TasksTable[Task ID],TasksTable[Start Date],"")),"◆",""))</x:f>
      </x:c>
      <x:c r="AG39" s="90" t="str">
        <x:f>IF($A39="","",IF(AND($G39="Yes",AG$2=XLOOKUP($A39,TasksTable[Task ID],TasksTable[Start Date],"")),"◆",""))</x:f>
      </x:c>
      <x:c r="AH39" s="90" t="str">
        <x:f>IF($A39="","",IF(AND($G39="Yes",AH$2=XLOOKUP($A39,TasksTable[Task ID],TasksTable[Start Date],"")),"◆",""))</x:f>
      </x:c>
      <x:c r="AI39" s="90" t="str">
        <x:f>IF($A39="","",IF(AND($G39="Yes",AI$2=XLOOKUP($A39,TasksTable[Task ID],TasksTable[Start Date],"")),"◆",""))</x:f>
      </x:c>
      <x:c r="AJ39" s="90" t="str">
        <x:f>IF($A39="","",IF(AND($G39="Yes",AJ$2=XLOOKUP($A39,TasksTable[Task ID],TasksTable[Start Date],"")),"◆",""))</x:f>
      </x:c>
      <x:c r="AK39" s="90" t="str">
        <x:f>IF($A39="","",IF(AND($G39="Yes",AK$2=XLOOKUP($A39,TasksTable[Task ID],TasksTable[Start Date],"")),"◆",""))</x:f>
      </x:c>
      <x:c r="AL39" s="90" t="str">
        <x:f>IF($A39="","",IF(AND($G39="Yes",AL$2=XLOOKUP($A39,TasksTable[Task ID],TasksTable[Start Date],"")),"◆",""))</x:f>
      </x:c>
      <x:c r="AM39" s="90" t="str">
        <x:f>IF($A39="","",IF(AND($G39="Yes",AM$2=XLOOKUP($A39,TasksTable[Task ID],TasksTable[Start Date],"")),"◆",""))</x:f>
      </x:c>
      <x:c r="AN39" s="90" t="str">
        <x:f>IF($A39="","",IF(AND($G39="Yes",AN$2=XLOOKUP($A39,TasksTable[Task ID],TasksTable[Start Date],"")),"◆",""))</x:f>
      </x:c>
      <x:c r="AO39" s="90" t="str">
        <x:f>IF($A39="","",IF(AND($G39="Yes",AO$2=XLOOKUP($A39,TasksTable[Task ID],TasksTable[Start Date],"")),"◆",""))</x:f>
      </x:c>
    </x:row>
    <x:row r="40">
      <x:c r="A40" s="10" t="str">
        <x:f>IFERROR(INDEX(TasksTable[Task ID],ROWS($A$4:A40)),"")</x:f>
        <x:v>T31</x:v>
      </x:c>
      <x:c r="B40" s="10" t="str">
        <x:f>IF($A40="","",IFERROR(XLOOKUP($A40,TasksTable[Task ID],TasksTable[Phase],""),""))</x:f>
        <x:v>M7 · Closed-Loop Telemetry Optimization &amp; Final Project Closeout</x:v>
      </x:c>
      <x:c r="C40" s="10" t="str">
        <x:f>IF($A40="","",IFERROR(XLOOKUP($A40,TasksTable[Task ID],TasksTable[Task Name],""),""))</x:f>
        <x:v>Calculate multi-touch attribution, creative decay &amp; ROAS (W_LEARN)</x:v>
      </x:c>
      <x:c r="D40" s="10" t="str">
        <x:f>IF($A40="","",IFERROR(XLOOKUP($A40,TasksTable[Task ID],TasksTable[Status],""),""))</x:f>
        <x:v>Not Started</x:v>
      </x:c>
      <x:c r="E40" s="86" t="n">
        <x:f>IF($A40="","",IFERROR(XLOOKUP($A40,TasksTable[Task ID],TasksTable[Progress %],0),0))</x:f>
        <x:v>0</x:v>
      </x:c>
      <x:c r="F40" s="10" t="str">
        <x:f>IF($A40="","",IFERROR(XLOOKUP($A40,TasksTable[Task ID],TasksTable[Schedule Health],""),""))</x:f>
        <x:v>On Track</x:v>
      </x:c>
      <x:c r="G40" s="10" t="str">
        <x:f>IF($A40="","",IFERROR(XLOOKUP($A40,TasksTable[Task ID],TasksTable[Milestone],""),""))</x:f>
        <x:v>No</x:v>
      </x:c>
      <x:c r="H40" s="90" t="str">
        <x:f>IF($A40="","",IF(AND($G40="Yes",H$2=XLOOKUP($A40,TasksTable[Task ID],TasksTable[Start Date],"")),"◆",""))</x:f>
      </x:c>
      <x:c r="I40" s="90" t="str">
        <x:f>IF($A40="","",IF(AND($G40="Yes",I$2=XLOOKUP($A40,TasksTable[Task ID],TasksTable[Start Date],"")),"◆",""))</x:f>
      </x:c>
      <x:c r="J40" s="90" t="str">
        <x:f>IF($A40="","",IF(AND($G40="Yes",J$2=XLOOKUP($A40,TasksTable[Task ID],TasksTable[Start Date],"")),"◆",""))</x:f>
      </x:c>
      <x:c r="K40" s="90" t="str">
        <x:f>IF($A40="","",IF(AND($G40="Yes",K$2=XLOOKUP($A40,TasksTable[Task ID],TasksTable[Start Date],"")),"◆",""))</x:f>
      </x:c>
      <x:c r="L40" s="90" t="str">
        <x:f>IF($A40="","",IF(AND($G40="Yes",L$2=XLOOKUP($A40,TasksTable[Task ID],TasksTable[Start Date],"")),"◆",""))</x:f>
      </x:c>
      <x:c r="M40" s="90" t="str">
        <x:f>IF($A40="","",IF(AND($G40="Yes",M$2=XLOOKUP($A40,TasksTable[Task ID],TasksTable[Start Date],"")),"◆",""))</x:f>
      </x:c>
      <x:c r="N40" s="90" t="str">
        <x:f>IF($A40="","",IF(AND($G40="Yes",N$2=XLOOKUP($A40,TasksTable[Task ID],TasksTable[Start Date],"")),"◆",""))</x:f>
      </x:c>
      <x:c r="O40" s="90" t="str">
        <x:f>IF($A40="","",IF(AND($G40="Yes",O$2=XLOOKUP($A40,TasksTable[Task ID],TasksTable[Start Date],"")),"◆",""))</x:f>
      </x:c>
      <x:c r="P40" s="90" t="str">
        <x:f>IF($A40="","",IF(AND($G40="Yes",P$2=XLOOKUP($A40,TasksTable[Task ID],TasksTable[Start Date],"")),"◆",""))</x:f>
      </x:c>
      <x:c r="Q40" s="90" t="str">
        <x:f>IF($A40="","",IF(AND($G40="Yes",Q$2=XLOOKUP($A40,TasksTable[Task ID],TasksTable[Start Date],"")),"◆",""))</x:f>
      </x:c>
      <x:c r="R40" s="90" t="str">
        <x:f>IF($A40="","",IF(AND($G40="Yes",R$2=XLOOKUP($A40,TasksTable[Task ID],TasksTable[Start Date],"")),"◆",""))</x:f>
      </x:c>
      <x:c r="S40" s="90" t="str">
        <x:f>IF($A40="","",IF(AND($G40="Yes",S$2=XLOOKUP($A40,TasksTable[Task ID],TasksTable[Start Date],"")),"◆",""))</x:f>
      </x:c>
      <x:c r="T40" s="90" t="str">
        <x:f>IF($A40="","",IF(AND($G40="Yes",T$2=XLOOKUP($A40,TasksTable[Task ID],TasksTable[Start Date],"")),"◆",""))</x:f>
      </x:c>
      <x:c r="U40" s="90" t="str">
        <x:f>IF($A40="","",IF(AND($G40="Yes",U$2=XLOOKUP($A40,TasksTable[Task ID],TasksTable[Start Date],"")),"◆",""))</x:f>
      </x:c>
      <x:c r="V40" s="90" t="str">
        <x:f>IF($A40="","",IF(AND($G40="Yes",V$2=XLOOKUP($A40,TasksTable[Task ID],TasksTable[Start Date],"")),"◆",""))</x:f>
      </x:c>
      <x:c r="W40" s="90" t="str">
        <x:f>IF($A40="","",IF(AND($G40="Yes",W$2=XLOOKUP($A40,TasksTable[Task ID],TasksTable[Start Date],"")),"◆",""))</x:f>
      </x:c>
      <x:c r="X40" s="90" t="str">
        <x:f>IF($A40="","",IF(AND($G40="Yes",X$2=XLOOKUP($A40,TasksTable[Task ID],TasksTable[Start Date],"")),"◆",""))</x:f>
      </x:c>
      <x:c r="Y40" s="90" t="str">
        <x:f>IF($A40="","",IF(AND($G40="Yes",Y$2=XLOOKUP($A40,TasksTable[Task ID],TasksTable[Start Date],"")),"◆",""))</x:f>
      </x:c>
      <x:c r="Z40" s="90" t="str">
        <x:f>IF($A40="","",IF(AND($G40="Yes",Z$2=XLOOKUP($A40,TasksTable[Task ID],TasksTable[Start Date],"")),"◆",""))</x:f>
      </x:c>
      <x:c r="AA40" s="90" t="str">
        <x:f>IF($A40="","",IF(AND($G40="Yes",AA$2=XLOOKUP($A40,TasksTable[Task ID],TasksTable[Start Date],"")),"◆",""))</x:f>
      </x:c>
      <x:c r="AB40" s="90" t="str">
        <x:f>IF($A40="","",IF(AND($G40="Yes",AB$2=XLOOKUP($A40,TasksTable[Task ID],TasksTable[Start Date],"")),"◆",""))</x:f>
      </x:c>
      <x:c r="AC40" s="90" t="str">
        <x:f>IF($A40="","",IF(AND($G40="Yes",AC$2=XLOOKUP($A40,TasksTable[Task ID],TasksTable[Start Date],"")),"◆",""))</x:f>
      </x:c>
      <x:c r="AD40" s="90" t="str">
        <x:f>IF($A40="","",IF(AND($G40="Yes",AD$2=XLOOKUP($A40,TasksTable[Task ID],TasksTable[Start Date],"")),"◆",""))</x:f>
      </x:c>
      <x:c r="AE40" s="90" t="str">
        <x:f>IF($A40="","",IF(AND($G40="Yes",AE$2=XLOOKUP($A40,TasksTable[Task ID],TasksTable[Start Date],"")),"◆",""))</x:f>
      </x:c>
      <x:c r="AF40" s="90" t="str">
        <x:f>IF($A40="","",IF(AND($G40="Yes",AF$2=XLOOKUP($A40,TasksTable[Task ID],TasksTable[Start Date],"")),"◆",""))</x:f>
      </x:c>
      <x:c r="AG40" s="90" t="str">
        <x:f>IF($A40="","",IF(AND($G40="Yes",AG$2=XLOOKUP($A40,TasksTable[Task ID],TasksTable[Start Date],"")),"◆",""))</x:f>
      </x:c>
      <x:c r="AH40" s="90" t="str">
        <x:f>IF($A40="","",IF(AND($G40="Yes",AH$2=XLOOKUP($A40,TasksTable[Task ID],TasksTable[Start Date],"")),"◆",""))</x:f>
      </x:c>
      <x:c r="AI40" s="90" t="str">
        <x:f>IF($A40="","",IF(AND($G40="Yes",AI$2=XLOOKUP($A40,TasksTable[Task ID],TasksTable[Start Date],"")),"◆",""))</x:f>
      </x:c>
      <x:c r="AJ40" s="90" t="str">
        <x:f>IF($A40="","",IF(AND($G40="Yes",AJ$2=XLOOKUP($A40,TasksTable[Task ID],TasksTable[Start Date],"")),"◆",""))</x:f>
      </x:c>
      <x:c r="AK40" s="90" t="str">
        <x:f>IF($A40="","",IF(AND($G40="Yes",AK$2=XLOOKUP($A40,TasksTable[Task ID],TasksTable[Start Date],"")),"◆",""))</x:f>
      </x:c>
      <x:c r="AL40" s="90" t="str">
        <x:f>IF($A40="","",IF(AND($G40="Yes",AL$2=XLOOKUP($A40,TasksTable[Task ID],TasksTable[Start Date],"")),"◆",""))</x:f>
      </x:c>
      <x:c r="AM40" s="90" t="str">
        <x:f>IF($A40="","",IF(AND($G40="Yes",AM$2=XLOOKUP($A40,TasksTable[Task ID],TasksTable[Start Date],"")),"◆",""))</x:f>
      </x:c>
      <x:c r="AN40" s="90" t="str">
        <x:f>IF($A40="","",IF(AND($G40="Yes",AN$2=XLOOKUP($A40,TasksTable[Task ID],TasksTable[Start Date],"")),"◆",""))</x:f>
      </x:c>
      <x:c r="AO40" s="90" t="str">
        <x:f>IF($A40="","",IF(AND($G40="Yes",AO$2=XLOOKUP($A40,TasksTable[Task ID],TasksTable[Start Date],"")),"◆",""))</x:f>
      </x:c>
    </x:row>
    <x:row r="41">
      <x:c r="A41" s="10" t="str">
        <x:f>IFERROR(INDEX(TasksTable[Task ID],ROWS($A$4:A41)),"")</x:f>
        <x:v>T32</x:v>
      </x:c>
      <x:c r="B41" s="10" t="str">
        <x:f>IF($A41="","",IFERROR(XLOOKUP($A41,TasksTable[Task ID],TasksTable[Phase],""),""))</x:f>
        <x:v>M7 · Closed-Loop Telemetry Optimization &amp; Final Project Closeout</x:v>
      </x:c>
      <x:c r="C41" s="10" t="str">
        <x:f>IF($A41="","",IFERROR(XLOOKUP($A41,TasksTable[Task ID],TasksTable[Task Name],""),""))</x:f>
        <x:v>Promote validated memory deltas into Institutional Memory and IE</x:v>
      </x:c>
      <x:c r="D41" s="10" t="str">
        <x:f>IF($A41="","",IFERROR(XLOOKUP($A41,TasksTable[Task ID],TasksTable[Status],""),""))</x:f>
        <x:v>Not Started</x:v>
      </x:c>
      <x:c r="E41" s="86" t="n">
        <x:f>IF($A41="","",IFERROR(XLOOKUP($A41,TasksTable[Task ID],TasksTable[Progress %],0),0))</x:f>
        <x:v>0</x:v>
      </x:c>
      <x:c r="F41" s="10" t="str">
        <x:f>IF($A41="","",IFERROR(XLOOKUP($A41,TasksTable[Task ID],TasksTable[Schedule Health],""),""))</x:f>
        <x:v>On Track</x:v>
      </x:c>
      <x:c r="G41" s="10" t="str">
        <x:f>IF($A41="","",IFERROR(XLOOKUP($A41,TasksTable[Task ID],TasksTable[Milestone],""),""))</x:f>
        <x:v>No</x:v>
      </x:c>
      <x:c r="H41" s="90" t="str">
        <x:f>IF($A41="","",IF(AND($G41="Yes",H$2=XLOOKUP($A41,TasksTable[Task ID],TasksTable[Start Date],"")),"◆",""))</x:f>
      </x:c>
      <x:c r="I41" s="90" t="str">
        <x:f>IF($A41="","",IF(AND($G41="Yes",I$2=XLOOKUP($A41,TasksTable[Task ID],TasksTable[Start Date],"")),"◆",""))</x:f>
      </x:c>
      <x:c r="J41" s="90" t="str">
        <x:f>IF($A41="","",IF(AND($G41="Yes",J$2=XLOOKUP($A41,TasksTable[Task ID],TasksTable[Start Date],"")),"◆",""))</x:f>
      </x:c>
      <x:c r="K41" s="90" t="str">
        <x:f>IF($A41="","",IF(AND($G41="Yes",K$2=XLOOKUP($A41,TasksTable[Task ID],TasksTable[Start Date],"")),"◆",""))</x:f>
      </x:c>
      <x:c r="L41" s="90" t="str">
        <x:f>IF($A41="","",IF(AND($G41="Yes",L$2=XLOOKUP($A41,TasksTable[Task ID],TasksTable[Start Date],"")),"◆",""))</x:f>
      </x:c>
      <x:c r="M41" s="90" t="str">
        <x:f>IF($A41="","",IF(AND($G41="Yes",M$2=XLOOKUP($A41,TasksTable[Task ID],TasksTable[Start Date],"")),"◆",""))</x:f>
      </x:c>
      <x:c r="N41" s="90" t="str">
        <x:f>IF($A41="","",IF(AND($G41="Yes",N$2=XLOOKUP($A41,TasksTable[Task ID],TasksTable[Start Date],"")),"◆",""))</x:f>
      </x:c>
      <x:c r="O41" s="90" t="str">
        <x:f>IF($A41="","",IF(AND($G41="Yes",O$2=XLOOKUP($A41,TasksTable[Task ID],TasksTable[Start Date],"")),"◆",""))</x:f>
      </x:c>
      <x:c r="P41" s="90" t="str">
        <x:f>IF($A41="","",IF(AND($G41="Yes",P$2=XLOOKUP($A41,TasksTable[Task ID],TasksTable[Start Date],"")),"◆",""))</x:f>
      </x:c>
      <x:c r="Q41" s="90" t="str">
        <x:f>IF($A41="","",IF(AND($G41="Yes",Q$2=XLOOKUP($A41,TasksTable[Task ID],TasksTable[Start Date],"")),"◆",""))</x:f>
      </x:c>
      <x:c r="R41" s="90" t="str">
        <x:f>IF($A41="","",IF(AND($G41="Yes",R$2=XLOOKUP($A41,TasksTable[Task ID],TasksTable[Start Date],"")),"◆",""))</x:f>
      </x:c>
      <x:c r="S41" s="90" t="str">
        <x:f>IF($A41="","",IF(AND($G41="Yes",S$2=XLOOKUP($A41,TasksTable[Task ID],TasksTable[Start Date],"")),"◆",""))</x:f>
      </x:c>
      <x:c r="T41" s="90" t="str">
        <x:f>IF($A41="","",IF(AND($G41="Yes",T$2=XLOOKUP($A41,TasksTable[Task ID],TasksTable[Start Date],"")),"◆",""))</x:f>
      </x:c>
      <x:c r="U41" s="90" t="str">
        <x:f>IF($A41="","",IF(AND($G41="Yes",U$2=XLOOKUP($A41,TasksTable[Task ID],TasksTable[Start Date],"")),"◆",""))</x:f>
      </x:c>
      <x:c r="V41" s="90" t="str">
        <x:f>IF($A41="","",IF(AND($G41="Yes",V$2=XLOOKUP($A41,TasksTable[Task ID],TasksTable[Start Date],"")),"◆",""))</x:f>
      </x:c>
      <x:c r="W41" s="90" t="str">
        <x:f>IF($A41="","",IF(AND($G41="Yes",W$2=XLOOKUP($A41,TasksTable[Task ID],TasksTable[Start Date],"")),"◆",""))</x:f>
      </x:c>
      <x:c r="X41" s="90" t="str">
        <x:f>IF($A41="","",IF(AND($G41="Yes",X$2=XLOOKUP($A41,TasksTable[Task ID],TasksTable[Start Date],"")),"◆",""))</x:f>
      </x:c>
      <x:c r="Y41" s="90" t="str">
        <x:f>IF($A41="","",IF(AND($G41="Yes",Y$2=XLOOKUP($A41,TasksTable[Task ID],TasksTable[Start Date],"")),"◆",""))</x:f>
      </x:c>
      <x:c r="Z41" s="90" t="str">
        <x:f>IF($A41="","",IF(AND($G41="Yes",Z$2=XLOOKUP($A41,TasksTable[Task ID],TasksTable[Start Date],"")),"◆",""))</x:f>
      </x:c>
      <x:c r="AA41" s="90" t="str">
        <x:f>IF($A41="","",IF(AND($G41="Yes",AA$2=XLOOKUP($A41,TasksTable[Task ID],TasksTable[Start Date],"")),"◆",""))</x:f>
      </x:c>
      <x:c r="AB41" s="90" t="str">
        <x:f>IF($A41="","",IF(AND($G41="Yes",AB$2=XLOOKUP($A41,TasksTable[Task ID],TasksTable[Start Date],"")),"◆",""))</x:f>
      </x:c>
      <x:c r="AC41" s="90" t="str">
        <x:f>IF($A41="","",IF(AND($G41="Yes",AC$2=XLOOKUP($A41,TasksTable[Task ID],TasksTable[Start Date],"")),"◆",""))</x:f>
      </x:c>
      <x:c r="AD41" s="90" t="str">
        <x:f>IF($A41="","",IF(AND($G41="Yes",AD$2=XLOOKUP($A41,TasksTable[Task ID],TasksTable[Start Date],"")),"◆",""))</x:f>
      </x:c>
      <x:c r="AE41" s="90" t="str">
        <x:f>IF($A41="","",IF(AND($G41="Yes",AE$2=XLOOKUP($A41,TasksTable[Task ID],TasksTable[Start Date],"")),"◆",""))</x:f>
      </x:c>
      <x:c r="AF41" s="90" t="str">
        <x:f>IF($A41="","",IF(AND($G41="Yes",AF$2=XLOOKUP($A41,TasksTable[Task ID],TasksTable[Start Date],"")),"◆",""))</x:f>
      </x:c>
      <x:c r="AG41" s="90" t="str">
        <x:f>IF($A41="","",IF(AND($G41="Yes",AG$2=XLOOKUP($A41,TasksTable[Task ID],TasksTable[Start Date],"")),"◆",""))</x:f>
      </x:c>
      <x:c r="AH41" s="90" t="str">
        <x:f>IF($A41="","",IF(AND($G41="Yes",AH$2=XLOOKUP($A41,TasksTable[Task ID],TasksTable[Start Date],"")),"◆",""))</x:f>
      </x:c>
      <x:c r="AI41" s="90" t="str">
        <x:f>IF($A41="","",IF(AND($G41="Yes",AI$2=XLOOKUP($A41,TasksTable[Task ID],TasksTable[Start Date],"")),"◆",""))</x:f>
      </x:c>
      <x:c r="AJ41" s="90" t="str">
        <x:f>IF($A41="","",IF(AND($G41="Yes",AJ$2=XLOOKUP($A41,TasksTable[Task ID],TasksTable[Start Date],"")),"◆",""))</x:f>
      </x:c>
      <x:c r="AK41" s="90" t="str">
        <x:f>IF($A41="","",IF(AND($G41="Yes",AK$2=XLOOKUP($A41,TasksTable[Task ID],TasksTable[Start Date],"")),"◆",""))</x:f>
      </x:c>
      <x:c r="AL41" s="90" t="str">
        <x:f>IF($A41="","",IF(AND($G41="Yes",AL$2=XLOOKUP($A41,TasksTable[Task ID],TasksTable[Start Date],"")),"◆",""))</x:f>
      </x:c>
      <x:c r="AM41" s="90" t="str">
        <x:f>IF($A41="","",IF(AND($G41="Yes",AM$2=XLOOKUP($A41,TasksTable[Task ID],TasksTable[Start Date],"")),"◆",""))</x:f>
      </x:c>
      <x:c r="AN41" s="90" t="str">
        <x:f>IF($A41="","",IF(AND($G41="Yes",AN$2=XLOOKUP($A41,TasksTable[Task ID],TasksTable[Start Date],"")),"◆",""))</x:f>
      </x:c>
      <x:c r="AO41" s="90" t="str">
        <x:f>IF($A41="","",IF(AND($G41="Yes",AO$2=XLOOKUP($A41,TasksTable[Task ID],TasksTable[Start Date],"")),"◆",""))</x:f>
      </x:c>
    </x:row>
    <x:row r="42">
      <x:c r="A42" s="10" t="str">
        <x:f>IFERROR(INDEX(TasksTable[Task ID],ROWS($A$4:A42)),"")</x:f>
        <x:v>T33</x:v>
      </x:c>
      <x:c r="B42" s="10" t="str">
        <x:f>IF($A42="","",IFERROR(XLOOKUP($A42,TasksTable[Task ID],TasksTable[Phase],""),""))</x:f>
        <x:v>M7 · Closed-Loop Telemetry Optimization &amp; Final Project Closeout</x:v>
      </x:c>
      <x:c r="C42" s="10" t="str">
        <x:f>IF($A42="","",IFERROR(XLOOKUP($A42,TasksTable[Task ID],TasksTable[Task Name],""),""))</x:f>
        <x:v>Validate end-to-end W3C PROV audit lineage, state integrity &amp; logs</x:v>
      </x:c>
      <x:c r="D42" s="10" t="str">
        <x:f>IF($A42="","",IFERROR(XLOOKUP($A42,TasksTable[Task ID],TasksTable[Status],""),""))</x:f>
        <x:v>Not Started</x:v>
      </x:c>
      <x:c r="E42" s="86" t="n">
        <x:f>IF($A42="","",IFERROR(XLOOKUP($A42,TasksTable[Task ID],TasksTable[Progress %],0),0))</x:f>
        <x:v>0</x:v>
      </x:c>
      <x:c r="F42" s="10" t="str">
        <x:f>IF($A42="","",IFERROR(XLOOKUP($A42,TasksTable[Task ID],TasksTable[Schedule Health],""),""))</x:f>
        <x:v>On Track</x:v>
      </x:c>
      <x:c r="G42" s="10" t="str">
        <x:f>IF($A42="","",IFERROR(XLOOKUP($A42,TasksTable[Task ID],TasksTable[Milestone],""),""))</x:f>
        <x:v>No</x:v>
      </x:c>
      <x:c r="H42" s="90" t="str">
        <x:f>IF($A42="","",IF(AND($G42="Yes",H$2=XLOOKUP($A42,TasksTable[Task ID],TasksTable[Start Date],"")),"◆",""))</x:f>
      </x:c>
      <x:c r="I42" s="90" t="str">
        <x:f>IF($A42="","",IF(AND($G42="Yes",I$2=XLOOKUP($A42,TasksTable[Task ID],TasksTable[Start Date],"")),"◆",""))</x:f>
      </x:c>
      <x:c r="J42" s="90" t="str">
        <x:f>IF($A42="","",IF(AND($G42="Yes",J$2=XLOOKUP($A42,TasksTable[Task ID],TasksTable[Start Date],"")),"◆",""))</x:f>
      </x:c>
      <x:c r="K42" s="90" t="str">
        <x:f>IF($A42="","",IF(AND($G42="Yes",K$2=XLOOKUP($A42,TasksTable[Task ID],TasksTable[Start Date],"")),"◆",""))</x:f>
      </x:c>
      <x:c r="L42" s="90" t="str">
        <x:f>IF($A42="","",IF(AND($G42="Yes",L$2=XLOOKUP($A42,TasksTable[Task ID],TasksTable[Start Date],"")),"◆",""))</x:f>
      </x:c>
      <x:c r="M42" s="90" t="str">
        <x:f>IF($A42="","",IF(AND($G42="Yes",M$2=XLOOKUP($A42,TasksTable[Task ID],TasksTable[Start Date],"")),"◆",""))</x:f>
      </x:c>
      <x:c r="N42" s="90" t="str">
        <x:f>IF($A42="","",IF(AND($G42="Yes",N$2=XLOOKUP($A42,TasksTable[Task ID],TasksTable[Start Date],"")),"◆",""))</x:f>
      </x:c>
      <x:c r="O42" s="90" t="str">
        <x:f>IF($A42="","",IF(AND($G42="Yes",O$2=XLOOKUP($A42,TasksTable[Task ID],TasksTable[Start Date],"")),"◆",""))</x:f>
      </x:c>
      <x:c r="P42" s="90" t="str">
        <x:f>IF($A42="","",IF(AND($G42="Yes",P$2=XLOOKUP($A42,TasksTable[Task ID],TasksTable[Start Date],"")),"◆",""))</x:f>
      </x:c>
      <x:c r="Q42" s="90" t="str">
        <x:f>IF($A42="","",IF(AND($G42="Yes",Q$2=XLOOKUP($A42,TasksTable[Task ID],TasksTable[Start Date],"")),"◆",""))</x:f>
      </x:c>
      <x:c r="R42" s="90" t="str">
        <x:f>IF($A42="","",IF(AND($G42="Yes",R$2=XLOOKUP($A42,TasksTable[Task ID],TasksTable[Start Date],"")),"◆",""))</x:f>
      </x:c>
      <x:c r="S42" s="90" t="str">
        <x:f>IF($A42="","",IF(AND($G42="Yes",S$2=XLOOKUP($A42,TasksTable[Task ID],TasksTable[Start Date],"")),"◆",""))</x:f>
      </x:c>
      <x:c r="T42" s="90" t="str">
        <x:f>IF($A42="","",IF(AND($G42="Yes",T$2=XLOOKUP($A42,TasksTable[Task ID],TasksTable[Start Date],"")),"◆",""))</x:f>
      </x:c>
      <x:c r="U42" s="90" t="str">
        <x:f>IF($A42="","",IF(AND($G42="Yes",U$2=XLOOKUP($A42,TasksTable[Task ID],TasksTable[Start Date],"")),"◆",""))</x:f>
      </x:c>
      <x:c r="V42" s="90" t="str">
        <x:f>IF($A42="","",IF(AND($G42="Yes",V$2=XLOOKUP($A42,TasksTable[Task ID],TasksTable[Start Date],"")),"◆",""))</x:f>
      </x:c>
      <x:c r="W42" s="90" t="str">
        <x:f>IF($A42="","",IF(AND($G42="Yes",W$2=XLOOKUP($A42,TasksTable[Task ID],TasksTable[Start Date],"")),"◆",""))</x:f>
      </x:c>
      <x:c r="X42" s="90" t="str">
        <x:f>IF($A42="","",IF(AND($G42="Yes",X$2=XLOOKUP($A42,TasksTable[Task ID],TasksTable[Start Date],"")),"◆",""))</x:f>
      </x:c>
      <x:c r="Y42" s="90" t="str">
        <x:f>IF($A42="","",IF(AND($G42="Yes",Y$2=XLOOKUP($A42,TasksTable[Task ID],TasksTable[Start Date],"")),"◆",""))</x:f>
      </x:c>
      <x:c r="Z42" s="90" t="str">
        <x:f>IF($A42="","",IF(AND($G42="Yes",Z$2=XLOOKUP($A42,TasksTable[Task ID],TasksTable[Start Date],"")),"◆",""))</x:f>
      </x:c>
      <x:c r="AA42" s="90" t="str">
        <x:f>IF($A42="","",IF(AND($G42="Yes",AA$2=XLOOKUP($A42,TasksTable[Task ID],TasksTable[Start Date],"")),"◆",""))</x:f>
      </x:c>
      <x:c r="AB42" s="90" t="str">
        <x:f>IF($A42="","",IF(AND($G42="Yes",AB$2=XLOOKUP($A42,TasksTable[Task ID],TasksTable[Start Date],"")),"◆",""))</x:f>
      </x:c>
      <x:c r="AC42" s="90" t="str">
        <x:f>IF($A42="","",IF(AND($G42="Yes",AC$2=XLOOKUP($A42,TasksTable[Task ID],TasksTable[Start Date],"")),"◆",""))</x:f>
      </x:c>
      <x:c r="AD42" s="90" t="str">
        <x:f>IF($A42="","",IF(AND($G42="Yes",AD$2=XLOOKUP($A42,TasksTable[Task ID],TasksTable[Start Date],"")),"◆",""))</x:f>
      </x:c>
      <x:c r="AE42" s="90" t="str">
        <x:f>IF($A42="","",IF(AND($G42="Yes",AE$2=XLOOKUP($A42,TasksTable[Task ID],TasksTable[Start Date],"")),"◆",""))</x:f>
      </x:c>
      <x:c r="AF42" s="90" t="str">
        <x:f>IF($A42="","",IF(AND($G42="Yes",AF$2=XLOOKUP($A42,TasksTable[Task ID],TasksTable[Start Date],"")),"◆",""))</x:f>
      </x:c>
      <x:c r="AG42" s="90" t="str">
        <x:f>IF($A42="","",IF(AND($G42="Yes",AG$2=XLOOKUP($A42,TasksTable[Task ID],TasksTable[Start Date],"")),"◆",""))</x:f>
      </x:c>
      <x:c r="AH42" s="90" t="str">
        <x:f>IF($A42="","",IF(AND($G42="Yes",AH$2=XLOOKUP($A42,TasksTable[Task ID],TasksTable[Start Date],"")),"◆",""))</x:f>
      </x:c>
      <x:c r="AI42" s="90" t="str">
        <x:f>IF($A42="","",IF(AND($G42="Yes",AI$2=XLOOKUP($A42,TasksTable[Task ID],TasksTable[Start Date],"")),"◆",""))</x:f>
      </x:c>
      <x:c r="AJ42" s="90" t="str">
        <x:f>IF($A42="","",IF(AND($G42="Yes",AJ$2=XLOOKUP($A42,TasksTable[Task ID],TasksTable[Start Date],"")),"◆",""))</x:f>
      </x:c>
      <x:c r="AK42" s="90" t="str">
        <x:f>IF($A42="","",IF(AND($G42="Yes",AK$2=XLOOKUP($A42,TasksTable[Task ID],TasksTable[Start Date],"")),"◆",""))</x:f>
      </x:c>
      <x:c r="AL42" s="90" t="str">
        <x:f>IF($A42="","",IF(AND($G42="Yes",AL$2=XLOOKUP($A42,TasksTable[Task ID],TasksTable[Start Date],"")),"◆",""))</x:f>
      </x:c>
      <x:c r="AM42" s="90" t="str">
        <x:f>IF($A42="","",IF(AND($G42="Yes",AM$2=XLOOKUP($A42,TasksTable[Task ID],TasksTable[Start Date],"")),"◆",""))</x:f>
      </x:c>
      <x:c r="AN42" s="90" t="str">
        <x:f>IF($A42="","",IF(AND($G42="Yes",AN$2=XLOOKUP($A42,TasksTable[Task ID],TasksTable[Start Date],"")),"◆",""))</x:f>
      </x:c>
      <x:c r="AO42" s="90" t="str">
        <x:f>IF($A42="","",IF(AND($G42="Yes",AO$2=XLOOKUP($A42,TasksTable[Task ID],TasksTable[Start Date],"")),"◆",""))</x:f>
      </x:c>
    </x:row>
    <x:row r="43">
      <x:c r="A43" s="10" t="str">
        <x:f>IFERROR(INDEX(TasksTable[Task ID],ROWS($A$4:A43)),"")</x:f>
        <x:v>T34</x:v>
      </x:c>
      <x:c r="B43" s="10" t="str">
        <x:f>IF($A43="","",IFERROR(XLOOKUP($A43,TasksTable[Task ID],TasksTable[Phase],""),""))</x:f>
        <x:v>M7 · Closed-Loop Telemetry Optimization &amp; Final Project Closeout</x:v>
      </x:c>
      <x:c r="C43" s="10" t="str">
        <x:f>IF($A43="","",IFERROR(XLOOKUP($A43,TasksTable[Task ID],TasksTable[Task Name],""),""))</x:f>
        <x:v>Perform final project verification against acceptance criteria &amp; close</x:v>
      </x:c>
      <x:c r="D43" s="10" t="str">
        <x:f>IF($A43="","",IFERROR(XLOOKUP($A43,TasksTable[Task ID],TasksTable[Status],""),""))</x:f>
        <x:v>Not Started</x:v>
      </x:c>
      <x:c r="E43" s="86" t="n">
        <x:f>IF($A43="","",IFERROR(XLOOKUP($A43,TasksTable[Task ID],TasksTable[Progress %],0),0))</x:f>
        <x:v>0</x:v>
      </x:c>
      <x:c r="F43" s="10" t="str">
        <x:f>IF($A43="","",IFERROR(XLOOKUP($A43,TasksTable[Task ID],TasksTable[Schedule Health],""),""))</x:f>
        <x:v>On Track</x:v>
      </x:c>
      <x:c r="G43" s="10" t="str">
        <x:f>IF($A43="","",IFERROR(XLOOKUP($A43,TasksTable[Task ID],TasksTable[Milestone],""),""))</x:f>
        <x:v>No</x:v>
      </x:c>
      <x:c r="H43" s="90" t="str">
        <x:f>IF($A43="","",IF(AND($G43="Yes",H$2=XLOOKUP($A43,TasksTable[Task ID],TasksTable[Start Date],"")),"◆",""))</x:f>
      </x:c>
      <x:c r="I43" s="90" t="str">
        <x:f>IF($A43="","",IF(AND($G43="Yes",I$2=XLOOKUP($A43,TasksTable[Task ID],TasksTable[Start Date],"")),"◆",""))</x:f>
      </x:c>
      <x:c r="J43" s="90" t="str">
        <x:f>IF($A43="","",IF(AND($G43="Yes",J$2=XLOOKUP($A43,TasksTable[Task ID],TasksTable[Start Date],"")),"◆",""))</x:f>
      </x:c>
      <x:c r="K43" s="90" t="str">
        <x:f>IF($A43="","",IF(AND($G43="Yes",K$2=XLOOKUP($A43,TasksTable[Task ID],TasksTable[Start Date],"")),"◆",""))</x:f>
      </x:c>
      <x:c r="L43" s="90" t="str">
        <x:f>IF($A43="","",IF(AND($G43="Yes",L$2=XLOOKUP($A43,TasksTable[Task ID],TasksTable[Start Date],"")),"◆",""))</x:f>
      </x:c>
      <x:c r="M43" s="90" t="str">
        <x:f>IF($A43="","",IF(AND($G43="Yes",M$2=XLOOKUP($A43,TasksTable[Task ID],TasksTable[Start Date],"")),"◆",""))</x:f>
      </x:c>
      <x:c r="N43" s="90" t="str">
        <x:f>IF($A43="","",IF(AND($G43="Yes",N$2=XLOOKUP($A43,TasksTable[Task ID],TasksTable[Start Date],"")),"◆",""))</x:f>
      </x:c>
      <x:c r="O43" s="90" t="str">
        <x:f>IF($A43="","",IF(AND($G43="Yes",O$2=XLOOKUP($A43,TasksTable[Task ID],TasksTable[Start Date],"")),"◆",""))</x:f>
      </x:c>
      <x:c r="P43" s="90" t="str">
        <x:f>IF($A43="","",IF(AND($G43="Yes",P$2=XLOOKUP($A43,TasksTable[Task ID],TasksTable[Start Date],"")),"◆",""))</x:f>
      </x:c>
      <x:c r="Q43" s="90" t="str">
        <x:f>IF($A43="","",IF(AND($G43="Yes",Q$2=XLOOKUP($A43,TasksTable[Task ID],TasksTable[Start Date],"")),"◆",""))</x:f>
      </x:c>
      <x:c r="R43" s="90" t="str">
        <x:f>IF($A43="","",IF(AND($G43="Yes",R$2=XLOOKUP($A43,TasksTable[Task ID],TasksTable[Start Date],"")),"◆",""))</x:f>
      </x:c>
      <x:c r="S43" s="90" t="str">
        <x:f>IF($A43="","",IF(AND($G43="Yes",S$2=XLOOKUP($A43,TasksTable[Task ID],TasksTable[Start Date],"")),"◆",""))</x:f>
      </x:c>
      <x:c r="T43" s="90" t="str">
        <x:f>IF($A43="","",IF(AND($G43="Yes",T$2=XLOOKUP($A43,TasksTable[Task ID],TasksTable[Start Date],"")),"◆",""))</x:f>
      </x:c>
      <x:c r="U43" s="90" t="str">
        <x:f>IF($A43="","",IF(AND($G43="Yes",U$2=XLOOKUP($A43,TasksTable[Task ID],TasksTable[Start Date],"")),"◆",""))</x:f>
      </x:c>
      <x:c r="V43" s="90" t="str">
        <x:f>IF($A43="","",IF(AND($G43="Yes",V$2=XLOOKUP($A43,TasksTable[Task ID],TasksTable[Start Date],"")),"◆",""))</x:f>
      </x:c>
      <x:c r="W43" s="90" t="str">
        <x:f>IF($A43="","",IF(AND($G43="Yes",W$2=XLOOKUP($A43,TasksTable[Task ID],TasksTable[Start Date],"")),"◆",""))</x:f>
      </x:c>
      <x:c r="X43" s="90" t="str">
        <x:f>IF($A43="","",IF(AND($G43="Yes",X$2=XLOOKUP($A43,TasksTable[Task ID],TasksTable[Start Date],"")),"◆",""))</x:f>
      </x:c>
      <x:c r="Y43" s="90" t="str">
        <x:f>IF($A43="","",IF(AND($G43="Yes",Y$2=XLOOKUP($A43,TasksTable[Task ID],TasksTable[Start Date],"")),"◆",""))</x:f>
      </x:c>
      <x:c r="Z43" s="90" t="str">
        <x:f>IF($A43="","",IF(AND($G43="Yes",Z$2=XLOOKUP($A43,TasksTable[Task ID],TasksTable[Start Date],"")),"◆",""))</x:f>
      </x:c>
      <x:c r="AA43" s="90" t="str">
        <x:f>IF($A43="","",IF(AND($G43="Yes",AA$2=XLOOKUP($A43,TasksTable[Task ID],TasksTable[Start Date],"")),"◆",""))</x:f>
      </x:c>
      <x:c r="AB43" s="90" t="str">
        <x:f>IF($A43="","",IF(AND($G43="Yes",AB$2=XLOOKUP($A43,TasksTable[Task ID],TasksTable[Start Date],"")),"◆",""))</x:f>
      </x:c>
      <x:c r="AC43" s="90" t="str">
        <x:f>IF($A43="","",IF(AND($G43="Yes",AC$2=XLOOKUP($A43,TasksTable[Task ID],TasksTable[Start Date],"")),"◆",""))</x:f>
      </x:c>
      <x:c r="AD43" s="90" t="str">
        <x:f>IF($A43="","",IF(AND($G43="Yes",AD$2=XLOOKUP($A43,TasksTable[Task ID],TasksTable[Start Date],"")),"◆",""))</x:f>
      </x:c>
      <x:c r="AE43" s="90" t="str">
        <x:f>IF($A43="","",IF(AND($G43="Yes",AE$2=XLOOKUP($A43,TasksTable[Task ID],TasksTable[Start Date],"")),"◆",""))</x:f>
      </x:c>
      <x:c r="AF43" s="90" t="str">
        <x:f>IF($A43="","",IF(AND($G43="Yes",AF$2=XLOOKUP($A43,TasksTable[Task ID],TasksTable[Start Date],"")),"◆",""))</x:f>
      </x:c>
      <x:c r="AG43" s="90" t="str">
        <x:f>IF($A43="","",IF(AND($G43="Yes",AG$2=XLOOKUP($A43,TasksTable[Task ID],TasksTable[Start Date],"")),"◆",""))</x:f>
      </x:c>
      <x:c r="AH43" s="90" t="str">
        <x:f>IF($A43="","",IF(AND($G43="Yes",AH$2=XLOOKUP($A43,TasksTable[Task ID],TasksTable[Start Date],"")),"◆",""))</x:f>
      </x:c>
      <x:c r="AI43" s="90" t="str">
        <x:f>IF($A43="","",IF(AND($G43="Yes",AI$2=XLOOKUP($A43,TasksTable[Task ID],TasksTable[Start Date],"")),"◆",""))</x:f>
      </x:c>
      <x:c r="AJ43" s="90" t="str">
        <x:f>IF($A43="","",IF(AND($G43="Yes",AJ$2=XLOOKUP($A43,TasksTable[Task ID],TasksTable[Start Date],"")),"◆",""))</x:f>
      </x:c>
      <x:c r="AK43" s="90" t="str">
        <x:f>IF($A43="","",IF(AND($G43="Yes",AK$2=XLOOKUP($A43,TasksTable[Task ID],TasksTable[Start Date],"")),"◆",""))</x:f>
      </x:c>
      <x:c r="AL43" s="90" t="str">
        <x:f>IF($A43="","",IF(AND($G43="Yes",AL$2=XLOOKUP($A43,TasksTable[Task ID],TasksTable[Start Date],"")),"◆",""))</x:f>
      </x:c>
      <x:c r="AM43" s="90" t="str">
        <x:f>IF($A43="","",IF(AND($G43="Yes",AM$2=XLOOKUP($A43,TasksTable[Task ID],TasksTable[Start Date],"")),"◆",""))</x:f>
      </x:c>
      <x:c r="AN43" s="90" t="str">
        <x:f>IF($A43="","",IF(AND($G43="Yes",AN$2=XLOOKUP($A43,TasksTable[Task ID],TasksTable[Start Date],"")),"◆",""))</x:f>
      </x:c>
      <x:c r="AO43" s="90" t="str">
        <x:f>IF($A43="","",IF(AND($G43="Yes",AO$2=XLOOKUP($A43,TasksTable[Task ID],TasksTable[Start Date],"")),"◆",""))</x:f>
      </x:c>
    </x:row>
    <x:row r="44">
      <x:c r="A44" s="10" t="str">
        <x:f>IFERROR(INDEX(TasksTable[Task ID],ROWS($A$4:A44)),"")</x:f>
        <x:v>M7</x:v>
      </x:c>
      <x:c r="B44" s="10" t="str">
        <x:f>IF($A44="","",IFERROR(XLOOKUP($A44,TasksTable[Task ID],TasksTable[Phase],""),""))</x:f>
        <x:v>M7 · Closed-Loop Telemetry Optimization &amp; Final Project Closeout</x:v>
      </x:c>
      <x:c r="C44" s="10" t="str">
        <x:f>IF($A44="","",IFERROR(XLOOKUP($A44,TasksTable[Task ID],TasksTable[Task Name],""),""))</x:f>
        <x:v>Closed-Loop Telemetry Optimization &amp; Final Project Closeout</x:v>
      </x:c>
      <x:c r="D44" s="10" t="str">
        <x:f>IF($A44="","",IFERROR(XLOOKUP($A44,TasksTable[Task ID],TasksTable[Status],""),""))</x:f>
        <x:v>Not Started</x:v>
      </x:c>
      <x:c r="E44" s="86" t="n">
        <x:f>IF($A44="","",IFERROR(XLOOKUP($A44,TasksTable[Task ID],TasksTable[Progress %],0),0))</x:f>
        <x:v>0</x:v>
      </x:c>
      <x:c r="F44" s="10" t="str">
        <x:f>IF($A44="","",IFERROR(XLOOKUP($A44,TasksTable[Task ID],TasksTable[Schedule Health],""),""))</x:f>
        <x:v>On Track</x:v>
      </x:c>
      <x:c r="G44" s="10" t="str">
        <x:f>IF($A44="","",IFERROR(XLOOKUP($A44,TasksTable[Task ID],TasksTable[Milestone],""),""))</x:f>
        <x:v>Yes</x:v>
      </x:c>
      <x:c r="H44" s="90" t="str">
        <x:f>IF($A44="","",IF(AND($G44="Yes",H$2=XLOOKUP($A44,TasksTable[Task ID],TasksTable[Start Date],"")),"◆",""))</x:f>
      </x:c>
      <x:c r="I44" s="90" t="str">
        <x:f>IF($A44="","",IF(AND($G44="Yes",I$2=XLOOKUP($A44,TasksTable[Task ID],TasksTable[Start Date],"")),"◆",""))</x:f>
      </x:c>
      <x:c r="J44" s="90" t="str">
        <x:f>IF($A44="","",IF(AND($G44="Yes",J$2=XLOOKUP($A44,TasksTable[Task ID],TasksTable[Start Date],"")),"◆",""))</x:f>
      </x:c>
      <x:c r="K44" s="90" t="str">
        <x:f>IF($A44="","",IF(AND($G44="Yes",K$2=XLOOKUP($A44,TasksTable[Task ID],TasksTable[Start Date],"")),"◆",""))</x:f>
      </x:c>
      <x:c r="L44" s="90" t="str">
        <x:f>IF($A44="","",IF(AND($G44="Yes",L$2=XLOOKUP($A44,TasksTable[Task ID],TasksTable[Start Date],"")),"◆",""))</x:f>
      </x:c>
      <x:c r="M44" s="90" t="str">
        <x:f>IF($A44="","",IF(AND($G44="Yes",M$2=XLOOKUP($A44,TasksTable[Task ID],TasksTable[Start Date],"")),"◆",""))</x:f>
      </x:c>
      <x:c r="N44" s="90" t="str">
        <x:f>IF($A44="","",IF(AND($G44="Yes",N$2=XLOOKUP($A44,TasksTable[Task ID],TasksTable[Start Date],"")),"◆",""))</x:f>
      </x:c>
      <x:c r="O44" s="90" t="str">
        <x:f>IF($A44="","",IF(AND($G44="Yes",O$2=XLOOKUP($A44,TasksTable[Task ID],TasksTable[Start Date],"")),"◆",""))</x:f>
      </x:c>
      <x:c r="P44" s="90" t="str">
        <x:f>IF($A44="","",IF(AND($G44="Yes",P$2=XLOOKUP($A44,TasksTable[Task ID],TasksTable[Start Date],"")),"◆",""))</x:f>
      </x:c>
      <x:c r="Q44" s="90" t="str">
        <x:f>IF($A44="","",IF(AND($G44="Yes",Q$2=XLOOKUP($A44,TasksTable[Task ID],TasksTable[Start Date],"")),"◆",""))</x:f>
      </x:c>
      <x:c r="R44" s="90" t="str">
        <x:f>IF($A44="","",IF(AND($G44="Yes",R$2=XLOOKUP($A44,TasksTable[Task ID],TasksTable[Start Date],"")),"◆",""))</x:f>
      </x:c>
      <x:c r="S44" s="90" t="str">
        <x:f>IF($A44="","",IF(AND($G44="Yes",S$2=XLOOKUP($A44,TasksTable[Task ID],TasksTable[Start Date],"")),"◆",""))</x:f>
      </x:c>
      <x:c r="T44" s="90" t="str">
        <x:f>IF($A44="","",IF(AND($G44="Yes",T$2=XLOOKUP($A44,TasksTable[Task ID],TasksTable[Start Date],"")),"◆",""))</x:f>
      </x:c>
      <x:c r="U44" s="90" t="str">
        <x:f>IF($A44="","",IF(AND($G44="Yes",U$2=XLOOKUP($A44,TasksTable[Task ID],TasksTable[Start Date],"")),"◆",""))</x:f>
      </x:c>
      <x:c r="V44" s="90" t="str">
        <x:f>IF($A44="","",IF(AND($G44="Yes",V$2=XLOOKUP($A44,TasksTable[Task ID],TasksTable[Start Date],"")),"◆",""))</x:f>
      </x:c>
      <x:c r="W44" s="90" t="str">
        <x:f>IF($A44="","",IF(AND($G44="Yes",W$2=XLOOKUP($A44,TasksTable[Task ID],TasksTable[Start Date],"")),"◆",""))</x:f>
      </x:c>
      <x:c r="X44" s="90" t="str">
        <x:f>IF($A44="","",IF(AND($G44="Yes",X$2=XLOOKUP($A44,TasksTable[Task ID],TasksTable[Start Date],"")),"◆",""))</x:f>
      </x:c>
      <x:c r="Y44" s="90" t="str">
        <x:f>IF($A44="","",IF(AND($G44="Yes",Y$2=XLOOKUP($A44,TasksTable[Task ID],TasksTable[Start Date],"")),"◆",""))</x:f>
      </x:c>
      <x:c r="Z44" s="90" t="str">
        <x:f>IF($A44="","",IF(AND($G44="Yes",Z$2=XLOOKUP($A44,TasksTable[Task ID],TasksTable[Start Date],"")),"◆",""))</x:f>
      </x:c>
      <x:c r="AA44" s="90" t="str">
        <x:f>IF($A44="","",IF(AND($G44="Yes",AA$2=XLOOKUP($A44,TasksTable[Task ID],TasksTable[Start Date],"")),"◆",""))</x:f>
      </x:c>
      <x:c r="AB44" s="90" t="str">
        <x:f>IF($A44="","",IF(AND($G44="Yes",AB$2=XLOOKUP($A44,TasksTable[Task ID],TasksTable[Start Date],"")),"◆",""))</x:f>
      </x:c>
      <x:c r="AC44" s="90" t="str">
        <x:f>IF($A44="","",IF(AND($G44="Yes",AC$2=XLOOKUP($A44,TasksTable[Task ID],TasksTable[Start Date],"")),"◆",""))</x:f>
      </x:c>
      <x:c r="AD44" s="90" t="str">
        <x:f>IF($A44="","",IF(AND($G44="Yes",AD$2=XLOOKUP($A44,TasksTable[Task ID],TasksTable[Start Date],"")),"◆",""))</x:f>
      </x:c>
      <x:c r="AE44" s="90" t="str">
        <x:f>IF($A44="","",IF(AND($G44="Yes",AE$2=XLOOKUP($A44,TasksTable[Task ID],TasksTable[Start Date],"")),"◆",""))</x:f>
      </x:c>
      <x:c r="AF44" s="90" t="str">
        <x:f>IF($A44="","",IF(AND($G44="Yes",AF$2=XLOOKUP($A44,TasksTable[Task ID],TasksTable[Start Date],"")),"◆",""))</x:f>
      </x:c>
      <x:c r="AG44" s="90" t="str">
        <x:f>IF($A44="","",IF(AND($G44="Yes",AG$2=XLOOKUP($A44,TasksTable[Task ID],TasksTable[Start Date],"")),"◆",""))</x:f>
      </x:c>
      <x:c r="AH44" s="90" t="str">
        <x:f>IF($A44="","",IF(AND($G44="Yes",AH$2=XLOOKUP($A44,TasksTable[Task ID],TasksTable[Start Date],"")),"◆",""))</x:f>
      </x:c>
      <x:c r="AI44" s="90" t="str">
        <x:f>IF($A44="","",IF(AND($G44="Yes",AI$2=XLOOKUP($A44,TasksTable[Task ID],TasksTable[Start Date],"")),"◆",""))</x:f>
      </x:c>
      <x:c r="AJ44" s="90" t="str">
        <x:f>IF($A44="","",IF(AND($G44="Yes",AJ$2=XLOOKUP($A44,TasksTable[Task ID],TasksTable[Start Date],"")),"◆",""))</x:f>
      </x:c>
      <x:c r="AK44" s="90" t="str">
        <x:f>IF($A44="","",IF(AND($G44="Yes",AK$2=XLOOKUP($A44,TasksTable[Task ID],TasksTable[Start Date],"")),"◆",""))</x:f>
      </x:c>
      <x:c r="AL44" s="90" t="str">
        <x:f>IF($A44="","",IF(AND($G44="Yes",AL$2=XLOOKUP($A44,TasksTable[Task ID],TasksTable[Start Date],"")),"◆",""))</x:f>
      </x:c>
      <x:c r="AM44" s="90" t="str">
        <x:f>IF($A44="","",IF(AND($G44="Yes",AM$2=XLOOKUP($A44,TasksTable[Task ID],TasksTable[Start Date],"")),"◆",""))</x:f>
      </x:c>
      <x:c r="AN44" s="90" t="str">
        <x:f>IF($A44="","",IF(AND($G44="Yes",AN$2=XLOOKUP($A44,TasksTable[Task ID],TasksTable[Start Date],"")),"◆",""))</x:f>
      </x:c>
      <x:c r="AO44" s="90" t="str">
        <x:f>IF($A44="","",IF(AND($G44="Yes",AO$2=XLOOKUP($A44,TasksTable[Task ID],TasksTable[Start Date],"")),"◆",""))</x:f>
        <x:v>◆</x:v>
      </x:c>
    </x:row>
    <x:row r="45">
      <x:c r="A45" s="10" t="str">
        <x:f>IFERROR(INDEX(TasksTable[Task ID],ROWS($A$4:A45)),"")</x:f>
      </x:c>
      <x:c r="B45" s="10" t="str">
        <x:f>IF($A45="","",IFERROR(XLOOKUP($A45,TasksTable[Task ID],TasksTable[Phase],""),""))</x:f>
      </x:c>
      <x:c r="C45" s="10" t="str">
        <x:f>IF($A45="","",IFERROR(XLOOKUP($A45,TasksTable[Task ID],TasksTable[Task Name],""),""))</x:f>
      </x:c>
      <x:c r="D45" s="10" t="str">
        <x:f>IF($A45="","",IFERROR(XLOOKUP($A45,TasksTable[Task ID],TasksTable[Status],""),""))</x:f>
      </x:c>
      <x:c r="E45" s="86" t="str">
        <x:f>IF($A45="","",IFERROR(XLOOKUP($A45,TasksTable[Task ID],TasksTable[Progress %],0),0))</x:f>
      </x:c>
      <x:c r="F45" s="10" t="str">
        <x:f>IF($A45="","",IFERROR(XLOOKUP($A45,TasksTable[Task ID],TasksTable[Schedule Health],""),""))</x:f>
      </x:c>
      <x:c r="G45" s="10" t="str">
        <x:f>IF($A45="","",IFERROR(XLOOKUP($A45,TasksTable[Task ID],TasksTable[Milestone],""),""))</x:f>
      </x:c>
      <x:c r="H45" s="90" t="str">
        <x:f>IF($A45="","",IF(AND($G45="Yes",H$2=XLOOKUP($A45,TasksTable[Task ID],TasksTable[Start Date],"")),"◆",""))</x:f>
      </x:c>
      <x:c r="I45" s="90" t="str">
        <x:f>IF($A45="","",IF(AND($G45="Yes",I$2=XLOOKUP($A45,TasksTable[Task ID],TasksTable[Start Date],"")),"◆",""))</x:f>
      </x:c>
      <x:c r="J45" s="90" t="str">
        <x:f>IF($A45="","",IF(AND($G45="Yes",J$2=XLOOKUP($A45,TasksTable[Task ID],TasksTable[Start Date],"")),"◆",""))</x:f>
      </x:c>
      <x:c r="K45" s="90" t="str">
        <x:f>IF($A45="","",IF(AND($G45="Yes",K$2=XLOOKUP($A45,TasksTable[Task ID],TasksTable[Start Date],"")),"◆",""))</x:f>
      </x:c>
      <x:c r="L45" s="90" t="str">
        <x:f>IF($A45="","",IF(AND($G45="Yes",L$2=XLOOKUP($A45,TasksTable[Task ID],TasksTable[Start Date],"")),"◆",""))</x:f>
      </x:c>
      <x:c r="M45" s="90" t="str">
        <x:f>IF($A45="","",IF(AND($G45="Yes",M$2=XLOOKUP($A45,TasksTable[Task ID],TasksTable[Start Date],"")),"◆",""))</x:f>
      </x:c>
      <x:c r="N45" s="90" t="str">
        <x:f>IF($A45="","",IF(AND($G45="Yes",N$2=XLOOKUP($A45,TasksTable[Task ID],TasksTable[Start Date],"")),"◆",""))</x:f>
      </x:c>
      <x:c r="O45" s="90" t="str">
        <x:f>IF($A45="","",IF(AND($G45="Yes",O$2=XLOOKUP($A45,TasksTable[Task ID],TasksTable[Start Date],"")),"◆",""))</x:f>
      </x:c>
      <x:c r="P45" s="90" t="str">
        <x:f>IF($A45="","",IF(AND($G45="Yes",P$2=XLOOKUP($A45,TasksTable[Task ID],TasksTable[Start Date],"")),"◆",""))</x:f>
      </x:c>
      <x:c r="Q45" s="90" t="str">
        <x:f>IF($A45="","",IF(AND($G45="Yes",Q$2=XLOOKUP($A45,TasksTable[Task ID],TasksTable[Start Date],"")),"◆",""))</x:f>
      </x:c>
      <x:c r="R45" s="90" t="str">
        <x:f>IF($A45="","",IF(AND($G45="Yes",R$2=XLOOKUP($A45,TasksTable[Task ID],TasksTable[Start Date],"")),"◆",""))</x:f>
      </x:c>
      <x:c r="S45" s="90" t="str">
        <x:f>IF($A45="","",IF(AND($G45="Yes",S$2=XLOOKUP($A45,TasksTable[Task ID],TasksTable[Start Date],"")),"◆",""))</x:f>
      </x:c>
      <x:c r="T45" s="90" t="str">
        <x:f>IF($A45="","",IF(AND($G45="Yes",T$2=XLOOKUP($A45,TasksTable[Task ID],TasksTable[Start Date],"")),"◆",""))</x:f>
      </x:c>
      <x:c r="U45" s="90" t="str">
        <x:f>IF($A45="","",IF(AND($G45="Yes",U$2=XLOOKUP($A45,TasksTable[Task ID],TasksTable[Start Date],"")),"◆",""))</x:f>
      </x:c>
      <x:c r="V45" s="90" t="str">
        <x:f>IF($A45="","",IF(AND($G45="Yes",V$2=XLOOKUP($A45,TasksTable[Task ID],TasksTable[Start Date],"")),"◆",""))</x:f>
      </x:c>
      <x:c r="W45" s="90" t="str">
        <x:f>IF($A45="","",IF(AND($G45="Yes",W$2=XLOOKUP($A45,TasksTable[Task ID],TasksTable[Start Date],"")),"◆",""))</x:f>
      </x:c>
      <x:c r="X45" s="90" t="str">
        <x:f>IF($A45="","",IF(AND($G45="Yes",X$2=XLOOKUP($A45,TasksTable[Task ID],TasksTable[Start Date],"")),"◆",""))</x:f>
      </x:c>
      <x:c r="Y45" s="90" t="str">
        <x:f>IF($A45="","",IF(AND($G45="Yes",Y$2=XLOOKUP($A45,TasksTable[Task ID],TasksTable[Start Date],"")),"◆",""))</x:f>
      </x:c>
      <x:c r="Z45" s="90" t="str">
        <x:f>IF($A45="","",IF(AND($G45="Yes",Z$2=XLOOKUP($A45,TasksTable[Task ID],TasksTable[Start Date],"")),"◆",""))</x:f>
      </x:c>
      <x:c r="AA45" s="90" t="str">
        <x:f>IF($A45="","",IF(AND($G45="Yes",AA$2=XLOOKUP($A45,TasksTable[Task ID],TasksTable[Start Date],"")),"◆",""))</x:f>
      </x:c>
      <x:c r="AB45" s="90" t="str">
        <x:f>IF($A45="","",IF(AND($G45="Yes",AB$2=XLOOKUP($A45,TasksTable[Task ID],TasksTable[Start Date],"")),"◆",""))</x:f>
      </x:c>
      <x:c r="AC45" s="90" t="str">
        <x:f>IF($A45="","",IF(AND($G45="Yes",AC$2=XLOOKUP($A45,TasksTable[Task ID],TasksTable[Start Date],"")),"◆",""))</x:f>
      </x:c>
      <x:c r="AD45" s="90" t="str">
        <x:f>IF($A45="","",IF(AND($G45="Yes",AD$2=XLOOKUP($A45,TasksTable[Task ID],TasksTable[Start Date],"")),"◆",""))</x:f>
      </x:c>
      <x:c r="AE45" s="90" t="str">
        <x:f>IF($A45="","",IF(AND($G45="Yes",AE$2=XLOOKUP($A45,TasksTable[Task ID],TasksTable[Start Date],"")),"◆",""))</x:f>
      </x:c>
      <x:c r="AF45" s="90" t="str">
        <x:f>IF($A45="","",IF(AND($G45="Yes",AF$2=XLOOKUP($A45,TasksTable[Task ID],TasksTable[Start Date],"")),"◆",""))</x:f>
      </x:c>
      <x:c r="AG45" s="90" t="str">
        <x:f>IF($A45="","",IF(AND($G45="Yes",AG$2=XLOOKUP($A45,TasksTable[Task ID],TasksTable[Start Date],"")),"◆",""))</x:f>
      </x:c>
      <x:c r="AH45" s="90" t="str">
        <x:f>IF($A45="","",IF(AND($G45="Yes",AH$2=XLOOKUP($A45,TasksTable[Task ID],TasksTable[Start Date],"")),"◆",""))</x:f>
      </x:c>
      <x:c r="AI45" s="90" t="str">
        <x:f>IF($A45="","",IF(AND($G45="Yes",AI$2=XLOOKUP($A45,TasksTable[Task ID],TasksTable[Start Date],"")),"◆",""))</x:f>
      </x:c>
      <x:c r="AJ45" s="90" t="str">
        <x:f>IF($A45="","",IF(AND($G45="Yes",AJ$2=XLOOKUP($A45,TasksTable[Task ID],TasksTable[Start Date],"")),"◆",""))</x:f>
      </x:c>
      <x:c r="AK45" s="90" t="str">
        <x:f>IF($A45="","",IF(AND($G45="Yes",AK$2=XLOOKUP($A45,TasksTable[Task ID],TasksTable[Start Date],"")),"◆",""))</x:f>
      </x:c>
      <x:c r="AL45" s="90" t="str">
        <x:f>IF($A45="","",IF(AND($G45="Yes",AL$2=XLOOKUP($A45,TasksTable[Task ID],TasksTable[Start Date],"")),"◆",""))</x:f>
      </x:c>
      <x:c r="AM45" s="90" t="str">
        <x:f>IF($A45="","",IF(AND($G45="Yes",AM$2=XLOOKUP($A45,TasksTable[Task ID],TasksTable[Start Date],"")),"◆",""))</x:f>
      </x:c>
      <x:c r="AN45" s="90" t="str">
        <x:f>IF($A45="","",IF(AND($G45="Yes",AN$2=XLOOKUP($A45,TasksTable[Task ID],TasksTable[Start Date],"")),"◆",""))</x:f>
      </x:c>
      <x:c r="AO45" s="90" t="str">
        <x:f>IF($A45="","",IF(AND($G45="Yes",AO$2=XLOOKUP($A45,TasksTable[Task ID],TasksTable[Start Date],"")),"◆",""))</x:f>
      </x:c>
    </x:row>
    <x:row r="46">
      <x:c r="A46" s="10" t="str">
        <x:f>IFERROR(INDEX(TasksTable[Task ID],ROWS($A$4:A46)),"")</x:f>
      </x:c>
      <x:c r="B46" s="10" t="str">
        <x:f>IF($A46="","",IFERROR(XLOOKUP($A46,TasksTable[Task ID],TasksTable[Phase],""),""))</x:f>
      </x:c>
      <x:c r="C46" s="10" t="str">
        <x:f>IF($A46="","",IFERROR(XLOOKUP($A46,TasksTable[Task ID],TasksTable[Task Name],""),""))</x:f>
      </x:c>
      <x:c r="D46" s="10" t="str">
        <x:f>IF($A46="","",IFERROR(XLOOKUP($A46,TasksTable[Task ID],TasksTable[Status],""),""))</x:f>
      </x:c>
      <x:c r="E46" s="86" t="str">
        <x:f>IF($A46="","",IFERROR(XLOOKUP($A46,TasksTable[Task ID],TasksTable[Progress %],0),0))</x:f>
      </x:c>
      <x:c r="F46" s="10" t="str">
        <x:f>IF($A46="","",IFERROR(XLOOKUP($A46,TasksTable[Task ID],TasksTable[Schedule Health],""),""))</x:f>
      </x:c>
      <x:c r="G46" s="10" t="str">
        <x:f>IF($A46="","",IFERROR(XLOOKUP($A46,TasksTable[Task ID],TasksTable[Milestone],""),""))</x:f>
      </x:c>
      <x:c r="H46" s="90" t="str">
        <x:f>IF($A46="","",IF(AND($G46="Yes",H$2=XLOOKUP($A46,TasksTable[Task ID],TasksTable[Start Date],"")),"◆",""))</x:f>
      </x:c>
      <x:c r="I46" s="90" t="str">
        <x:f>IF($A46="","",IF(AND($G46="Yes",I$2=XLOOKUP($A46,TasksTable[Task ID],TasksTable[Start Date],"")),"◆",""))</x:f>
      </x:c>
      <x:c r="J46" s="90" t="str">
        <x:f>IF($A46="","",IF(AND($G46="Yes",J$2=XLOOKUP($A46,TasksTable[Task ID],TasksTable[Start Date],"")),"◆",""))</x:f>
      </x:c>
      <x:c r="K46" s="90" t="str">
        <x:f>IF($A46="","",IF(AND($G46="Yes",K$2=XLOOKUP($A46,TasksTable[Task ID],TasksTable[Start Date],"")),"◆",""))</x:f>
      </x:c>
      <x:c r="L46" s="90" t="str">
        <x:f>IF($A46="","",IF(AND($G46="Yes",L$2=XLOOKUP($A46,TasksTable[Task ID],TasksTable[Start Date],"")),"◆",""))</x:f>
      </x:c>
      <x:c r="M46" s="90" t="str">
        <x:f>IF($A46="","",IF(AND($G46="Yes",M$2=XLOOKUP($A46,TasksTable[Task ID],TasksTable[Start Date],"")),"◆",""))</x:f>
      </x:c>
      <x:c r="N46" s="90" t="str">
        <x:f>IF($A46="","",IF(AND($G46="Yes",N$2=XLOOKUP($A46,TasksTable[Task ID],TasksTable[Start Date],"")),"◆",""))</x:f>
      </x:c>
      <x:c r="O46" s="90" t="str">
        <x:f>IF($A46="","",IF(AND($G46="Yes",O$2=XLOOKUP($A46,TasksTable[Task ID],TasksTable[Start Date],"")),"◆",""))</x:f>
      </x:c>
      <x:c r="P46" s="90" t="str">
        <x:f>IF($A46="","",IF(AND($G46="Yes",P$2=XLOOKUP($A46,TasksTable[Task ID],TasksTable[Start Date],"")),"◆",""))</x:f>
      </x:c>
      <x:c r="Q46" s="90" t="str">
        <x:f>IF($A46="","",IF(AND($G46="Yes",Q$2=XLOOKUP($A46,TasksTable[Task ID],TasksTable[Start Date],"")),"◆",""))</x:f>
      </x:c>
      <x:c r="R46" s="90" t="str">
        <x:f>IF($A46="","",IF(AND($G46="Yes",R$2=XLOOKUP($A46,TasksTable[Task ID],TasksTable[Start Date],"")),"◆",""))</x:f>
      </x:c>
      <x:c r="S46" s="90" t="str">
        <x:f>IF($A46="","",IF(AND($G46="Yes",S$2=XLOOKUP($A46,TasksTable[Task ID],TasksTable[Start Date],"")),"◆",""))</x:f>
      </x:c>
      <x:c r="T46" s="90" t="str">
        <x:f>IF($A46="","",IF(AND($G46="Yes",T$2=XLOOKUP($A46,TasksTable[Task ID],TasksTable[Start Date],"")),"◆",""))</x:f>
      </x:c>
      <x:c r="U46" s="90" t="str">
        <x:f>IF($A46="","",IF(AND($G46="Yes",U$2=XLOOKUP($A46,TasksTable[Task ID],TasksTable[Start Date],"")),"◆",""))</x:f>
      </x:c>
      <x:c r="V46" s="90" t="str">
        <x:f>IF($A46="","",IF(AND($G46="Yes",V$2=XLOOKUP($A46,TasksTable[Task ID],TasksTable[Start Date],"")),"◆",""))</x:f>
      </x:c>
      <x:c r="W46" s="90" t="str">
        <x:f>IF($A46="","",IF(AND($G46="Yes",W$2=XLOOKUP($A46,TasksTable[Task ID],TasksTable[Start Date],"")),"◆",""))</x:f>
      </x:c>
      <x:c r="X46" s="90" t="str">
        <x:f>IF($A46="","",IF(AND($G46="Yes",X$2=XLOOKUP($A46,TasksTable[Task ID],TasksTable[Start Date],"")),"◆",""))</x:f>
      </x:c>
      <x:c r="Y46" s="90" t="str">
        <x:f>IF($A46="","",IF(AND($G46="Yes",Y$2=XLOOKUP($A46,TasksTable[Task ID],TasksTable[Start Date],"")),"◆",""))</x:f>
      </x:c>
      <x:c r="Z46" s="90" t="str">
        <x:f>IF($A46="","",IF(AND($G46="Yes",Z$2=XLOOKUP($A46,TasksTable[Task ID],TasksTable[Start Date],"")),"◆",""))</x:f>
      </x:c>
      <x:c r="AA46" s="90" t="str">
        <x:f>IF($A46="","",IF(AND($G46="Yes",AA$2=XLOOKUP($A46,TasksTable[Task ID],TasksTable[Start Date],"")),"◆",""))</x:f>
      </x:c>
      <x:c r="AB46" s="90" t="str">
        <x:f>IF($A46="","",IF(AND($G46="Yes",AB$2=XLOOKUP($A46,TasksTable[Task ID],TasksTable[Start Date],"")),"◆",""))</x:f>
      </x:c>
      <x:c r="AC46" s="90" t="str">
        <x:f>IF($A46="","",IF(AND($G46="Yes",AC$2=XLOOKUP($A46,TasksTable[Task ID],TasksTable[Start Date],"")),"◆",""))</x:f>
      </x:c>
      <x:c r="AD46" s="90" t="str">
        <x:f>IF($A46="","",IF(AND($G46="Yes",AD$2=XLOOKUP($A46,TasksTable[Task ID],TasksTable[Start Date],"")),"◆",""))</x:f>
      </x:c>
      <x:c r="AE46" s="90" t="str">
        <x:f>IF($A46="","",IF(AND($G46="Yes",AE$2=XLOOKUP($A46,TasksTable[Task ID],TasksTable[Start Date],"")),"◆",""))</x:f>
      </x:c>
      <x:c r="AF46" s="90" t="str">
        <x:f>IF($A46="","",IF(AND($G46="Yes",AF$2=XLOOKUP($A46,TasksTable[Task ID],TasksTable[Start Date],"")),"◆",""))</x:f>
      </x:c>
      <x:c r="AG46" s="90" t="str">
        <x:f>IF($A46="","",IF(AND($G46="Yes",AG$2=XLOOKUP($A46,TasksTable[Task ID],TasksTable[Start Date],"")),"◆",""))</x:f>
      </x:c>
      <x:c r="AH46" s="90" t="str">
        <x:f>IF($A46="","",IF(AND($G46="Yes",AH$2=XLOOKUP($A46,TasksTable[Task ID],TasksTable[Start Date],"")),"◆",""))</x:f>
      </x:c>
      <x:c r="AI46" s="90" t="str">
        <x:f>IF($A46="","",IF(AND($G46="Yes",AI$2=XLOOKUP($A46,TasksTable[Task ID],TasksTable[Start Date],"")),"◆",""))</x:f>
      </x:c>
      <x:c r="AJ46" s="90" t="str">
        <x:f>IF($A46="","",IF(AND($G46="Yes",AJ$2=XLOOKUP($A46,TasksTable[Task ID],TasksTable[Start Date],"")),"◆",""))</x:f>
      </x:c>
      <x:c r="AK46" s="90" t="str">
        <x:f>IF($A46="","",IF(AND($G46="Yes",AK$2=XLOOKUP($A46,TasksTable[Task ID],TasksTable[Start Date],"")),"◆",""))</x:f>
      </x:c>
      <x:c r="AL46" s="90" t="str">
        <x:f>IF($A46="","",IF(AND($G46="Yes",AL$2=XLOOKUP($A46,TasksTable[Task ID],TasksTable[Start Date],"")),"◆",""))</x:f>
      </x:c>
      <x:c r="AM46" s="90" t="str">
        <x:f>IF($A46="","",IF(AND($G46="Yes",AM$2=XLOOKUP($A46,TasksTable[Task ID],TasksTable[Start Date],"")),"◆",""))</x:f>
      </x:c>
      <x:c r="AN46" s="90" t="str">
        <x:f>IF($A46="","",IF(AND($G46="Yes",AN$2=XLOOKUP($A46,TasksTable[Task ID],TasksTable[Start Date],"")),"◆",""))</x:f>
      </x:c>
      <x:c r="AO46" s="90" t="str">
        <x:f>IF($A46="","",IF(AND($G46="Yes",AO$2=XLOOKUP($A46,TasksTable[Task ID],TasksTable[Start Date],"")),"◆",""))</x:f>
      </x:c>
    </x:row>
    <x:row r="47">
      <x:c r="A47" s="10" t="str">
        <x:f>IFERROR(INDEX(TasksTable[Task ID],ROWS($A$4:A47)),"")</x:f>
      </x:c>
      <x:c r="B47" s="10" t="str">
        <x:f>IF($A47="","",IFERROR(XLOOKUP($A47,TasksTable[Task ID],TasksTable[Phase],""),""))</x:f>
      </x:c>
      <x:c r="C47" s="10" t="str">
        <x:f>IF($A47="","",IFERROR(XLOOKUP($A47,TasksTable[Task ID],TasksTable[Task Name],""),""))</x:f>
      </x:c>
      <x:c r="D47" s="10" t="str">
        <x:f>IF($A47="","",IFERROR(XLOOKUP($A47,TasksTable[Task ID],TasksTable[Status],""),""))</x:f>
      </x:c>
      <x:c r="E47" s="86" t="str">
        <x:f>IF($A47="","",IFERROR(XLOOKUP($A47,TasksTable[Task ID],TasksTable[Progress %],0),0))</x:f>
      </x:c>
      <x:c r="F47" s="10" t="str">
        <x:f>IF($A47="","",IFERROR(XLOOKUP($A47,TasksTable[Task ID],TasksTable[Schedule Health],""),""))</x:f>
      </x:c>
      <x:c r="G47" s="10" t="str">
        <x:f>IF($A47="","",IFERROR(XLOOKUP($A47,TasksTable[Task ID],TasksTable[Milestone],""),""))</x:f>
      </x:c>
      <x:c r="H47" s="90" t="str">
        <x:f>IF($A47="","",IF(AND($G47="Yes",H$2=XLOOKUP($A47,TasksTable[Task ID],TasksTable[Start Date],"")),"◆",""))</x:f>
      </x:c>
      <x:c r="I47" s="90" t="str">
        <x:f>IF($A47="","",IF(AND($G47="Yes",I$2=XLOOKUP($A47,TasksTable[Task ID],TasksTable[Start Date],"")),"◆",""))</x:f>
      </x:c>
      <x:c r="J47" s="90" t="str">
        <x:f>IF($A47="","",IF(AND($G47="Yes",J$2=XLOOKUP($A47,TasksTable[Task ID],TasksTable[Start Date],"")),"◆",""))</x:f>
      </x:c>
      <x:c r="K47" s="90" t="str">
        <x:f>IF($A47="","",IF(AND($G47="Yes",K$2=XLOOKUP($A47,TasksTable[Task ID],TasksTable[Start Date],"")),"◆",""))</x:f>
      </x:c>
      <x:c r="L47" s="90" t="str">
        <x:f>IF($A47="","",IF(AND($G47="Yes",L$2=XLOOKUP($A47,TasksTable[Task ID],TasksTable[Start Date],"")),"◆",""))</x:f>
      </x:c>
      <x:c r="M47" s="90" t="str">
        <x:f>IF($A47="","",IF(AND($G47="Yes",M$2=XLOOKUP($A47,TasksTable[Task ID],TasksTable[Start Date],"")),"◆",""))</x:f>
      </x:c>
      <x:c r="N47" s="90" t="str">
        <x:f>IF($A47="","",IF(AND($G47="Yes",N$2=XLOOKUP($A47,TasksTable[Task ID],TasksTable[Start Date],"")),"◆",""))</x:f>
      </x:c>
      <x:c r="O47" s="90" t="str">
        <x:f>IF($A47="","",IF(AND($G47="Yes",O$2=XLOOKUP($A47,TasksTable[Task ID],TasksTable[Start Date],"")),"◆",""))</x:f>
      </x:c>
      <x:c r="P47" s="90" t="str">
        <x:f>IF($A47="","",IF(AND($G47="Yes",P$2=XLOOKUP($A47,TasksTable[Task ID],TasksTable[Start Date],"")),"◆",""))</x:f>
      </x:c>
      <x:c r="Q47" s="90" t="str">
        <x:f>IF($A47="","",IF(AND($G47="Yes",Q$2=XLOOKUP($A47,TasksTable[Task ID],TasksTable[Start Date],"")),"◆",""))</x:f>
      </x:c>
      <x:c r="R47" s="90" t="str">
        <x:f>IF($A47="","",IF(AND($G47="Yes",R$2=XLOOKUP($A47,TasksTable[Task ID],TasksTable[Start Date],"")),"◆",""))</x:f>
      </x:c>
      <x:c r="S47" s="90" t="str">
        <x:f>IF($A47="","",IF(AND($G47="Yes",S$2=XLOOKUP($A47,TasksTable[Task ID],TasksTable[Start Date],"")),"◆",""))</x:f>
      </x:c>
      <x:c r="T47" s="90" t="str">
        <x:f>IF($A47="","",IF(AND($G47="Yes",T$2=XLOOKUP($A47,TasksTable[Task ID],TasksTable[Start Date],"")),"◆",""))</x:f>
      </x:c>
      <x:c r="U47" s="90" t="str">
        <x:f>IF($A47="","",IF(AND($G47="Yes",U$2=XLOOKUP($A47,TasksTable[Task ID],TasksTable[Start Date],"")),"◆",""))</x:f>
      </x:c>
      <x:c r="V47" s="90" t="str">
        <x:f>IF($A47="","",IF(AND($G47="Yes",V$2=XLOOKUP($A47,TasksTable[Task ID],TasksTable[Start Date],"")),"◆",""))</x:f>
      </x:c>
      <x:c r="W47" s="90" t="str">
        <x:f>IF($A47="","",IF(AND($G47="Yes",W$2=XLOOKUP($A47,TasksTable[Task ID],TasksTable[Start Date],"")),"◆",""))</x:f>
      </x:c>
      <x:c r="X47" s="90" t="str">
        <x:f>IF($A47="","",IF(AND($G47="Yes",X$2=XLOOKUP($A47,TasksTable[Task ID],TasksTable[Start Date],"")),"◆",""))</x:f>
      </x:c>
      <x:c r="Y47" s="90" t="str">
        <x:f>IF($A47="","",IF(AND($G47="Yes",Y$2=XLOOKUP($A47,TasksTable[Task ID],TasksTable[Start Date],"")),"◆",""))</x:f>
      </x:c>
      <x:c r="Z47" s="90" t="str">
        <x:f>IF($A47="","",IF(AND($G47="Yes",Z$2=XLOOKUP($A47,TasksTable[Task ID],TasksTable[Start Date],"")),"◆",""))</x:f>
      </x:c>
      <x:c r="AA47" s="90" t="str">
        <x:f>IF($A47="","",IF(AND($G47="Yes",AA$2=XLOOKUP($A47,TasksTable[Task ID],TasksTable[Start Date],"")),"◆",""))</x:f>
      </x:c>
      <x:c r="AB47" s="90" t="str">
        <x:f>IF($A47="","",IF(AND($G47="Yes",AB$2=XLOOKUP($A47,TasksTable[Task ID],TasksTable[Start Date],"")),"◆",""))</x:f>
      </x:c>
      <x:c r="AC47" s="90" t="str">
        <x:f>IF($A47="","",IF(AND($G47="Yes",AC$2=XLOOKUP($A47,TasksTable[Task ID],TasksTable[Start Date],"")),"◆",""))</x:f>
      </x:c>
      <x:c r="AD47" s="90" t="str">
        <x:f>IF($A47="","",IF(AND($G47="Yes",AD$2=XLOOKUP($A47,TasksTable[Task ID],TasksTable[Start Date],"")),"◆",""))</x:f>
      </x:c>
      <x:c r="AE47" s="90" t="str">
        <x:f>IF($A47="","",IF(AND($G47="Yes",AE$2=XLOOKUP($A47,TasksTable[Task ID],TasksTable[Start Date],"")),"◆",""))</x:f>
      </x:c>
      <x:c r="AF47" s="90" t="str">
        <x:f>IF($A47="","",IF(AND($G47="Yes",AF$2=XLOOKUP($A47,TasksTable[Task ID],TasksTable[Start Date],"")),"◆",""))</x:f>
      </x:c>
      <x:c r="AG47" s="90" t="str">
        <x:f>IF($A47="","",IF(AND($G47="Yes",AG$2=XLOOKUP($A47,TasksTable[Task ID],TasksTable[Start Date],"")),"◆",""))</x:f>
      </x:c>
      <x:c r="AH47" s="90" t="str">
        <x:f>IF($A47="","",IF(AND($G47="Yes",AH$2=XLOOKUP($A47,TasksTable[Task ID],TasksTable[Start Date],"")),"◆",""))</x:f>
      </x:c>
      <x:c r="AI47" s="90" t="str">
        <x:f>IF($A47="","",IF(AND($G47="Yes",AI$2=XLOOKUP($A47,TasksTable[Task ID],TasksTable[Start Date],"")),"◆",""))</x:f>
      </x:c>
      <x:c r="AJ47" s="90" t="str">
        <x:f>IF($A47="","",IF(AND($G47="Yes",AJ$2=XLOOKUP($A47,TasksTable[Task ID],TasksTable[Start Date],"")),"◆",""))</x:f>
      </x:c>
      <x:c r="AK47" s="90" t="str">
        <x:f>IF($A47="","",IF(AND($G47="Yes",AK$2=XLOOKUP($A47,TasksTable[Task ID],TasksTable[Start Date],"")),"◆",""))</x:f>
      </x:c>
      <x:c r="AL47" s="90" t="str">
        <x:f>IF($A47="","",IF(AND($G47="Yes",AL$2=XLOOKUP($A47,TasksTable[Task ID],TasksTable[Start Date],"")),"◆",""))</x:f>
      </x:c>
      <x:c r="AM47" s="90" t="str">
        <x:f>IF($A47="","",IF(AND($G47="Yes",AM$2=XLOOKUP($A47,TasksTable[Task ID],TasksTable[Start Date],"")),"◆",""))</x:f>
      </x:c>
      <x:c r="AN47" s="90" t="str">
        <x:f>IF($A47="","",IF(AND($G47="Yes",AN$2=XLOOKUP($A47,TasksTable[Task ID],TasksTable[Start Date],"")),"◆",""))</x:f>
      </x:c>
      <x:c r="AO47" s="90" t="str">
        <x:f>IF($A47="","",IF(AND($G47="Yes",AO$2=XLOOKUP($A47,TasksTable[Task ID],TasksTable[Start Date],"")),"◆",""))</x:f>
      </x:c>
    </x:row>
    <x:row r="48">
      <x:c r="A48" s="10" t="str">
        <x:f>IFERROR(INDEX(TasksTable[Task ID],ROWS($A$4:A48)),"")</x:f>
      </x:c>
      <x:c r="B48" s="10" t="str">
        <x:f>IF($A48="","",IFERROR(XLOOKUP($A48,TasksTable[Task ID],TasksTable[Phase],""),""))</x:f>
      </x:c>
      <x:c r="C48" s="10" t="str">
        <x:f>IF($A48="","",IFERROR(XLOOKUP($A48,TasksTable[Task ID],TasksTable[Task Name],""),""))</x:f>
      </x:c>
      <x:c r="D48" s="10" t="str">
        <x:f>IF($A48="","",IFERROR(XLOOKUP($A48,TasksTable[Task ID],TasksTable[Status],""),""))</x:f>
      </x:c>
      <x:c r="E48" s="86" t="str">
        <x:f>IF($A48="","",IFERROR(XLOOKUP($A48,TasksTable[Task ID],TasksTable[Progress %],0),0))</x:f>
      </x:c>
      <x:c r="F48" s="10" t="str">
        <x:f>IF($A48="","",IFERROR(XLOOKUP($A48,TasksTable[Task ID],TasksTable[Schedule Health],""),""))</x:f>
      </x:c>
      <x:c r="G48" s="10" t="str">
        <x:f>IF($A48="","",IFERROR(XLOOKUP($A48,TasksTable[Task ID],TasksTable[Milestone],""),""))</x:f>
      </x:c>
      <x:c r="H48" s="90" t="str">
        <x:f>IF($A48="","",IF(AND($G48="Yes",H$2=XLOOKUP($A48,TasksTable[Task ID],TasksTable[Start Date],"")),"◆",""))</x:f>
      </x:c>
      <x:c r="I48" s="90" t="str">
        <x:f>IF($A48="","",IF(AND($G48="Yes",I$2=XLOOKUP($A48,TasksTable[Task ID],TasksTable[Start Date],"")),"◆",""))</x:f>
      </x:c>
      <x:c r="J48" s="90" t="str">
        <x:f>IF($A48="","",IF(AND($G48="Yes",J$2=XLOOKUP($A48,TasksTable[Task ID],TasksTable[Start Date],"")),"◆",""))</x:f>
      </x:c>
      <x:c r="K48" s="90" t="str">
        <x:f>IF($A48="","",IF(AND($G48="Yes",K$2=XLOOKUP($A48,TasksTable[Task ID],TasksTable[Start Date],"")),"◆",""))</x:f>
      </x:c>
      <x:c r="L48" s="90" t="str">
        <x:f>IF($A48="","",IF(AND($G48="Yes",L$2=XLOOKUP($A48,TasksTable[Task ID],TasksTable[Start Date],"")),"◆",""))</x:f>
      </x:c>
      <x:c r="M48" s="90" t="str">
        <x:f>IF($A48="","",IF(AND($G48="Yes",M$2=XLOOKUP($A48,TasksTable[Task ID],TasksTable[Start Date],"")),"◆",""))</x:f>
      </x:c>
      <x:c r="N48" s="90" t="str">
        <x:f>IF($A48="","",IF(AND($G48="Yes",N$2=XLOOKUP($A48,TasksTable[Task ID],TasksTable[Start Date],"")),"◆",""))</x:f>
      </x:c>
      <x:c r="O48" s="90" t="str">
        <x:f>IF($A48="","",IF(AND($G48="Yes",O$2=XLOOKUP($A48,TasksTable[Task ID],TasksTable[Start Date],"")),"◆",""))</x:f>
      </x:c>
      <x:c r="P48" s="90" t="str">
        <x:f>IF($A48="","",IF(AND($G48="Yes",P$2=XLOOKUP($A48,TasksTable[Task ID],TasksTable[Start Date],"")),"◆",""))</x:f>
      </x:c>
      <x:c r="Q48" s="90" t="str">
        <x:f>IF($A48="","",IF(AND($G48="Yes",Q$2=XLOOKUP($A48,TasksTable[Task ID],TasksTable[Start Date],"")),"◆",""))</x:f>
      </x:c>
      <x:c r="R48" s="90" t="str">
        <x:f>IF($A48="","",IF(AND($G48="Yes",R$2=XLOOKUP($A48,TasksTable[Task ID],TasksTable[Start Date],"")),"◆",""))</x:f>
      </x:c>
      <x:c r="S48" s="90" t="str">
        <x:f>IF($A48="","",IF(AND($G48="Yes",S$2=XLOOKUP($A48,TasksTable[Task ID],TasksTable[Start Date],"")),"◆",""))</x:f>
      </x:c>
      <x:c r="T48" s="90" t="str">
        <x:f>IF($A48="","",IF(AND($G48="Yes",T$2=XLOOKUP($A48,TasksTable[Task ID],TasksTable[Start Date],"")),"◆",""))</x:f>
      </x:c>
      <x:c r="U48" s="90" t="str">
        <x:f>IF($A48="","",IF(AND($G48="Yes",U$2=XLOOKUP($A48,TasksTable[Task ID],TasksTable[Start Date],"")),"◆",""))</x:f>
      </x:c>
      <x:c r="V48" s="90" t="str">
        <x:f>IF($A48="","",IF(AND($G48="Yes",V$2=XLOOKUP($A48,TasksTable[Task ID],TasksTable[Start Date],"")),"◆",""))</x:f>
      </x:c>
      <x:c r="W48" s="90" t="str">
        <x:f>IF($A48="","",IF(AND($G48="Yes",W$2=XLOOKUP($A48,TasksTable[Task ID],TasksTable[Start Date],"")),"◆",""))</x:f>
      </x:c>
      <x:c r="X48" s="90" t="str">
        <x:f>IF($A48="","",IF(AND($G48="Yes",X$2=XLOOKUP($A48,TasksTable[Task ID],TasksTable[Start Date],"")),"◆",""))</x:f>
      </x:c>
      <x:c r="Y48" s="90" t="str">
        <x:f>IF($A48="","",IF(AND($G48="Yes",Y$2=XLOOKUP($A48,TasksTable[Task ID],TasksTable[Start Date],"")),"◆",""))</x:f>
      </x:c>
      <x:c r="Z48" s="90" t="str">
        <x:f>IF($A48="","",IF(AND($G48="Yes",Z$2=XLOOKUP($A48,TasksTable[Task ID],TasksTable[Start Date],"")),"◆",""))</x:f>
      </x:c>
      <x:c r="AA48" s="90" t="str">
        <x:f>IF($A48="","",IF(AND($G48="Yes",AA$2=XLOOKUP($A48,TasksTable[Task ID],TasksTable[Start Date],"")),"◆",""))</x:f>
      </x:c>
      <x:c r="AB48" s="90" t="str">
        <x:f>IF($A48="","",IF(AND($G48="Yes",AB$2=XLOOKUP($A48,TasksTable[Task ID],TasksTable[Start Date],"")),"◆",""))</x:f>
      </x:c>
      <x:c r="AC48" s="90" t="str">
        <x:f>IF($A48="","",IF(AND($G48="Yes",AC$2=XLOOKUP($A48,TasksTable[Task ID],TasksTable[Start Date],"")),"◆",""))</x:f>
      </x:c>
      <x:c r="AD48" s="90" t="str">
        <x:f>IF($A48="","",IF(AND($G48="Yes",AD$2=XLOOKUP($A48,TasksTable[Task ID],TasksTable[Start Date],"")),"◆",""))</x:f>
      </x:c>
      <x:c r="AE48" s="90" t="str">
        <x:f>IF($A48="","",IF(AND($G48="Yes",AE$2=XLOOKUP($A48,TasksTable[Task ID],TasksTable[Start Date],"")),"◆",""))</x:f>
      </x:c>
      <x:c r="AF48" s="90" t="str">
        <x:f>IF($A48="","",IF(AND($G48="Yes",AF$2=XLOOKUP($A48,TasksTable[Task ID],TasksTable[Start Date],"")),"◆",""))</x:f>
      </x:c>
      <x:c r="AG48" s="90" t="str">
        <x:f>IF($A48="","",IF(AND($G48="Yes",AG$2=XLOOKUP($A48,TasksTable[Task ID],TasksTable[Start Date],"")),"◆",""))</x:f>
      </x:c>
      <x:c r="AH48" s="90" t="str">
        <x:f>IF($A48="","",IF(AND($G48="Yes",AH$2=XLOOKUP($A48,TasksTable[Task ID],TasksTable[Start Date],"")),"◆",""))</x:f>
      </x:c>
      <x:c r="AI48" s="90" t="str">
        <x:f>IF($A48="","",IF(AND($G48="Yes",AI$2=XLOOKUP($A48,TasksTable[Task ID],TasksTable[Start Date],"")),"◆",""))</x:f>
      </x:c>
      <x:c r="AJ48" s="90" t="str">
        <x:f>IF($A48="","",IF(AND($G48="Yes",AJ$2=XLOOKUP($A48,TasksTable[Task ID],TasksTable[Start Date],"")),"◆",""))</x:f>
      </x:c>
      <x:c r="AK48" s="90" t="str">
        <x:f>IF($A48="","",IF(AND($G48="Yes",AK$2=XLOOKUP($A48,TasksTable[Task ID],TasksTable[Start Date],"")),"◆",""))</x:f>
      </x:c>
      <x:c r="AL48" s="90" t="str">
        <x:f>IF($A48="","",IF(AND($G48="Yes",AL$2=XLOOKUP($A48,TasksTable[Task ID],TasksTable[Start Date],"")),"◆",""))</x:f>
      </x:c>
      <x:c r="AM48" s="90" t="str">
        <x:f>IF($A48="","",IF(AND($G48="Yes",AM$2=XLOOKUP($A48,TasksTable[Task ID],TasksTable[Start Date],"")),"◆",""))</x:f>
      </x:c>
      <x:c r="AN48" s="90" t="str">
        <x:f>IF($A48="","",IF(AND($G48="Yes",AN$2=XLOOKUP($A48,TasksTable[Task ID],TasksTable[Start Date],"")),"◆",""))</x:f>
      </x:c>
      <x:c r="AO48" s="90" t="str">
        <x:f>IF($A48="","",IF(AND($G48="Yes",AO$2=XLOOKUP($A48,TasksTable[Task ID],TasksTable[Start Date],"")),"◆",""))</x:f>
      </x:c>
    </x:row>
    <x:row r="49">
      <x:c r="A49" s="10" t="str">
        <x:f>IFERROR(INDEX(TasksTable[Task ID],ROWS($A$4:A49)),"")</x:f>
      </x:c>
      <x:c r="B49" s="10" t="str">
        <x:f>IF($A49="","",IFERROR(XLOOKUP($A49,TasksTable[Task ID],TasksTable[Phase],""),""))</x:f>
      </x:c>
      <x:c r="C49" s="10" t="str">
        <x:f>IF($A49="","",IFERROR(XLOOKUP($A49,TasksTable[Task ID],TasksTable[Task Name],""),""))</x:f>
      </x:c>
      <x:c r="D49" s="10" t="str">
        <x:f>IF($A49="","",IFERROR(XLOOKUP($A49,TasksTable[Task ID],TasksTable[Status],""),""))</x:f>
      </x:c>
      <x:c r="E49" s="86" t="str">
        <x:f>IF($A49="","",IFERROR(XLOOKUP($A49,TasksTable[Task ID],TasksTable[Progress %],0),0))</x:f>
      </x:c>
      <x:c r="F49" s="10" t="str">
        <x:f>IF($A49="","",IFERROR(XLOOKUP($A49,TasksTable[Task ID],TasksTable[Schedule Health],""),""))</x:f>
      </x:c>
      <x:c r="G49" s="10" t="str">
        <x:f>IF($A49="","",IFERROR(XLOOKUP($A49,TasksTable[Task ID],TasksTable[Milestone],""),""))</x:f>
      </x:c>
      <x:c r="H49" s="90" t="str">
        <x:f>IF($A49="","",IF(AND($G49="Yes",H$2=XLOOKUP($A49,TasksTable[Task ID],TasksTable[Start Date],"")),"◆",""))</x:f>
      </x:c>
      <x:c r="I49" s="90" t="str">
        <x:f>IF($A49="","",IF(AND($G49="Yes",I$2=XLOOKUP($A49,TasksTable[Task ID],TasksTable[Start Date],"")),"◆",""))</x:f>
      </x:c>
      <x:c r="J49" s="90" t="str">
        <x:f>IF($A49="","",IF(AND($G49="Yes",J$2=XLOOKUP($A49,TasksTable[Task ID],TasksTable[Start Date],"")),"◆",""))</x:f>
      </x:c>
      <x:c r="K49" s="90" t="str">
        <x:f>IF($A49="","",IF(AND($G49="Yes",K$2=XLOOKUP($A49,TasksTable[Task ID],TasksTable[Start Date],"")),"◆",""))</x:f>
      </x:c>
      <x:c r="L49" s="90" t="str">
        <x:f>IF($A49="","",IF(AND($G49="Yes",L$2=XLOOKUP($A49,TasksTable[Task ID],TasksTable[Start Date],"")),"◆",""))</x:f>
      </x:c>
      <x:c r="M49" s="90" t="str">
        <x:f>IF($A49="","",IF(AND($G49="Yes",M$2=XLOOKUP($A49,TasksTable[Task ID],TasksTable[Start Date],"")),"◆",""))</x:f>
      </x:c>
      <x:c r="N49" s="90" t="str">
        <x:f>IF($A49="","",IF(AND($G49="Yes",N$2=XLOOKUP($A49,TasksTable[Task ID],TasksTable[Start Date],"")),"◆",""))</x:f>
      </x:c>
      <x:c r="O49" s="90" t="str">
        <x:f>IF($A49="","",IF(AND($G49="Yes",O$2=XLOOKUP($A49,TasksTable[Task ID],TasksTable[Start Date],"")),"◆",""))</x:f>
      </x:c>
      <x:c r="P49" s="90" t="str">
        <x:f>IF($A49="","",IF(AND($G49="Yes",P$2=XLOOKUP($A49,TasksTable[Task ID],TasksTable[Start Date],"")),"◆",""))</x:f>
      </x:c>
      <x:c r="Q49" s="90" t="str">
        <x:f>IF($A49="","",IF(AND($G49="Yes",Q$2=XLOOKUP($A49,TasksTable[Task ID],TasksTable[Start Date],"")),"◆",""))</x:f>
      </x:c>
      <x:c r="R49" s="90" t="str">
        <x:f>IF($A49="","",IF(AND($G49="Yes",R$2=XLOOKUP($A49,TasksTable[Task ID],TasksTable[Start Date],"")),"◆",""))</x:f>
      </x:c>
      <x:c r="S49" s="90" t="str">
        <x:f>IF($A49="","",IF(AND($G49="Yes",S$2=XLOOKUP($A49,TasksTable[Task ID],TasksTable[Start Date],"")),"◆",""))</x:f>
      </x:c>
      <x:c r="T49" s="90" t="str">
        <x:f>IF($A49="","",IF(AND($G49="Yes",T$2=XLOOKUP($A49,TasksTable[Task ID],TasksTable[Start Date],"")),"◆",""))</x:f>
      </x:c>
      <x:c r="U49" s="90" t="str">
        <x:f>IF($A49="","",IF(AND($G49="Yes",U$2=XLOOKUP($A49,TasksTable[Task ID],TasksTable[Start Date],"")),"◆",""))</x:f>
      </x:c>
      <x:c r="V49" s="90" t="str">
        <x:f>IF($A49="","",IF(AND($G49="Yes",V$2=XLOOKUP($A49,TasksTable[Task ID],TasksTable[Start Date],"")),"◆",""))</x:f>
      </x:c>
      <x:c r="W49" s="90" t="str">
        <x:f>IF($A49="","",IF(AND($G49="Yes",W$2=XLOOKUP($A49,TasksTable[Task ID],TasksTable[Start Date],"")),"◆",""))</x:f>
      </x:c>
      <x:c r="X49" s="90" t="str">
        <x:f>IF($A49="","",IF(AND($G49="Yes",X$2=XLOOKUP($A49,TasksTable[Task ID],TasksTable[Start Date],"")),"◆",""))</x:f>
      </x:c>
      <x:c r="Y49" s="90" t="str">
        <x:f>IF($A49="","",IF(AND($G49="Yes",Y$2=XLOOKUP($A49,TasksTable[Task ID],TasksTable[Start Date],"")),"◆",""))</x:f>
      </x:c>
      <x:c r="Z49" s="90" t="str">
        <x:f>IF($A49="","",IF(AND($G49="Yes",Z$2=XLOOKUP($A49,TasksTable[Task ID],TasksTable[Start Date],"")),"◆",""))</x:f>
      </x:c>
      <x:c r="AA49" s="90" t="str">
        <x:f>IF($A49="","",IF(AND($G49="Yes",AA$2=XLOOKUP($A49,TasksTable[Task ID],TasksTable[Start Date],"")),"◆",""))</x:f>
      </x:c>
      <x:c r="AB49" s="90" t="str">
        <x:f>IF($A49="","",IF(AND($G49="Yes",AB$2=XLOOKUP($A49,TasksTable[Task ID],TasksTable[Start Date],"")),"◆",""))</x:f>
      </x:c>
      <x:c r="AC49" s="90" t="str">
        <x:f>IF($A49="","",IF(AND($G49="Yes",AC$2=XLOOKUP($A49,TasksTable[Task ID],TasksTable[Start Date],"")),"◆",""))</x:f>
      </x:c>
      <x:c r="AD49" s="90" t="str">
        <x:f>IF($A49="","",IF(AND($G49="Yes",AD$2=XLOOKUP($A49,TasksTable[Task ID],TasksTable[Start Date],"")),"◆",""))</x:f>
      </x:c>
      <x:c r="AE49" s="90" t="str">
        <x:f>IF($A49="","",IF(AND($G49="Yes",AE$2=XLOOKUP($A49,TasksTable[Task ID],TasksTable[Start Date],"")),"◆",""))</x:f>
      </x:c>
      <x:c r="AF49" s="90" t="str">
        <x:f>IF($A49="","",IF(AND($G49="Yes",AF$2=XLOOKUP($A49,TasksTable[Task ID],TasksTable[Start Date],"")),"◆",""))</x:f>
      </x:c>
      <x:c r="AG49" s="90" t="str">
        <x:f>IF($A49="","",IF(AND($G49="Yes",AG$2=XLOOKUP($A49,TasksTable[Task ID],TasksTable[Start Date],"")),"◆",""))</x:f>
      </x:c>
      <x:c r="AH49" s="90" t="str">
        <x:f>IF($A49="","",IF(AND($G49="Yes",AH$2=XLOOKUP($A49,TasksTable[Task ID],TasksTable[Start Date],"")),"◆",""))</x:f>
      </x:c>
      <x:c r="AI49" s="90" t="str">
        <x:f>IF($A49="","",IF(AND($G49="Yes",AI$2=XLOOKUP($A49,TasksTable[Task ID],TasksTable[Start Date],"")),"◆",""))</x:f>
      </x:c>
      <x:c r="AJ49" s="90" t="str">
        <x:f>IF($A49="","",IF(AND($G49="Yes",AJ$2=XLOOKUP($A49,TasksTable[Task ID],TasksTable[Start Date],"")),"◆",""))</x:f>
      </x:c>
      <x:c r="AK49" s="90" t="str">
        <x:f>IF($A49="","",IF(AND($G49="Yes",AK$2=XLOOKUP($A49,TasksTable[Task ID],TasksTable[Start Date],"")),"◆",""))</x:f>
      </x:c>
      <x:c r="AL49" s="90" t="str">
        <x:f>IF($A49="","",IF(AND($G49="Yes",AL$2=XLOOKUP($A49,TasksTable[Task ID],TasksTable[Start Date],"")),"◆",""))</x:f>
      </x:c>
      <x:c r="AM49" s="90" t="str">
        <x:f>IF($A49="","",IF(AND($G49="Yes",AM$2=XLOOKUP($A49,TasksTable[Task ID],TasksTable[Start Date],"")),"◆",""))</x:f>
      </x:c>
      <x:c r="AN49" s="90" t="str">
        <x:f>IF($A49="","",IF(AND($G49="Yes",AN$2=XLOOKUP($A49,TasksTable[Task ID],TasksTable[Start Date],"")),"◆",""))</x:f>
      </x:c>
      <x:c r="AO49" s="90" t="str">
        <x:f>IF($A49="","",IF(AND($G49="Yes",AO$2=XLOOKUP($A49,TasksTable[Task ID],TasksTable[Start Date],"")),"◆",""))</x:f>
      </x:c>
    </x:row>
    <x:row r="50">
      <x:c r="A50" s="10" t="str">
        <x:f>IFERROR(INDEX(TasksTable[Task ID],ROWS($A$4:A50)),"")</x:f>
      </x:c>
      <x:c r="B50" s="10" t="str">
        <x:f>IF($A50="","",IFERROR(XLOOKUP($A50,TasksTable[Task ID],TasksTable[Phase],""),""))</x:f>
      </x:c>
      <x:c r="C50" s="10" t="str">
        <x:f>IF($A50="","",IFERROR(XLOOKUP($A50,TasksTable[Task ID],TasksTable[Task Name],""),""))</x:f>
      </x:c>
      <x:c r="D50" s="10" t="str">
        <x:f>IF($A50="","",IFERROR(XLOOKUP($A50,TasksTable[Task ID],TasksTable[Status],""),""))</x:f>
      </x:c>
      <x:c r="E50" s="86" t="str">
        <x:f>IF($A50="","",IFERROR(XLOOKUP($A50,TasksTable[Task ID],TasksTable[Progress %],0),0))</x:f>
      </x:c>
      <x:c r="F50" s="10" t="str">
        <x:f>IF($A50="","",IFERROR(XLOOKUP($A50,TasksTable[Task ID],TasksTable[Schedule Health],""),""))</x:f>
      </x:c>
      <x:c r="G50" s="10" t="str">
        <x:f>IF($A50="","",IFERROR(XLOOKUP($A50,TasksTable[Task ID],TasksTable[Milestone],""),""))</x:f>
      </x:c>
      <x:c r="H50" s="90" t="str">
        <x:f>IF($A50="","",IF(AND($G50="Yes",H$2=XLOOKUP($A50,TasksTable[Task ID],TasksTable[Start Date],"")),"◆",""))</x:f>
      </x:c>
      <x:c r="I50" s="90" t="str">
        <x:f>IF($A50="","",IF(AND($G50="Yes",I$2=XLOOKUP($A50,TasksTable[Task ID],TasksTable[Start Date],"")),"◆",""))</x:f>
      </x:c>
      <x:c r="J50" s="90" t="str">
        <x:f>IF($A50="","",IF(AND($G50="Yes",J$2=XLOOKUP($A50,TasksTable[Task ID],TasksTable[Start Date],"")),"◆",""))</x:f>
      </x:c>
      <x:c r="K50" s="90" t="str">
        <x:f>IF($A50="","",IF(AND($G50="Yes",K$2=XLOOKUP($A50,TasksTable[Task ID],TasksTable[Start Date],"")),"◆",""))</x:f>
      </x:c>
      <x:c r="L50" s="90" t="str">
        <x:f>IF($A50="","",IF(AND($G50="Yes",L$2=XLOOKUP($A50,TasksTable[Task ID],TasksTable[Start Date],"")),"◆",""))</x:f>
      </x:c>
      <x:c r="M50" s="90" t="str">
        <x:f>IF($A50="","",IF(AND($G50="Yes",M$2=XLOOKUP($A50,TasksTable[Task ID],TasksTable[Start Date],"")),"◆",""))</x:f>
      </x:c>
      <x:c r="N50" s="90" t="str">
        <x:f>IF($A50="","",IF(AND($G50="Yes",N$2=XLOOKUP($A50,TasksTable[Task ID],TasksTable[Start Date],"")),"◆",""))</x:f>
      </x:c>
      <x:c r="O50" s="90" t="str">
        <x:f>IF($A50="","",IF(AND($G50="Yes",O$2=XLOOKUP($A50,TasksTable[Task ID],TasksTable[Start Date],"")),"◆",""))</x:f>
      </x:c>
      <x:c r="P50" s="90" t="str">
        <x:f>IF($A50="","",IF(AND($G50="Yes",P$2=XLOOKUP($A50,TasksTable[Task ID],TasksTable[Start Date],"")),"◆",""))</x:f>
      </x:c>
      <x:c r="Q50" s="90" t="str">
        <x:f>IF($A50="","",IF(AND($G50="Yes",Q$2=XLOOKUP($A50,TasksTable[Task ID],TasksTable[Start Date],"")),"◆",""))</x:f>
      </x:c>
      <x:c r="R50" s="90" t="str">
        <x:f>IF($A50="","",IF(AND($G50="Yes",R$2=XLOOKUP($A50,TasksTable[Task ID],TasksTable[Start Date],"")),"◆",""))</x:f>
      </x:c>
      <x:c r="S50" s="90" t="str">
        <x:f>IF($A50="","",IF(AND($G50="Yes",S$2=XLOOKUP($A50,TasksTable[Task ID],TasksTable[Start Date],"")),"◆",""))</x:f>
      </x:c>
      <x:c r="T50" s="90" t="str">
        <x:f>IF($A50="","",IF(AND($G50="Yes",T$2=XLOOKUP($A50,TasksTable[Task ID],TasksTable[Start Date],"")),"◆",""))</x:f>
      </x:c>
      <x:c r="U50" s="90" t="str">
        <x:f>IF($A50="","",IF(AND($G50="Yes",U$2=XLOOKUP($A50,TasksTable[Task ID],TasksTable[Start Date],"")),"◆",""))</x:f>
      </x:c>
      <x:c r="V50" s="90" t="str">
        <x:f>IF($A50="","",IF(AND($G50="Yes",V$2=XLOOKUP($A50,TasksTable[Task ID],TasksTable[Start Date],"")),"◆",""))</x:f>
      </x:c>
      <x:c r="W50" s="90" t="str">
        <x:f>IF($A50="","",IF(AND($G50="Yes",W$2=XLOOKUP($A50,TasksTable[Task ID],TasksTable[Start Date],"")),"◆",""))</x:f>
      </x:c>
      <x:c r="X50" s="90" t="str">
        <x:f>IF($A50="","",IF(AND($G50="Yes",X$2=XLOOKUP($A50,TasksTable[Task ID],TasksTable[Start Date],"")),"◆",""))</x:f>
      </x:c>
      <x:c r="Y50" s="90" t="str">
        <x:f>IF($A50="","",IF(AND($G50="Yes",Y$2=XLOOKUP($A50,TasksTable[Task ID],TasksTable[Start Date],"")),"◆",""))</x:f>
      </x:c>
      <x:c r="Z50" s="90" t="str">
        <x:f>IF($A50="","",IF(AND($G50="Yes",Z$2=XLOOKUP($A50,TasksTable[Task ID],TasksTable[Start Date],"")),"◆",""))</x:f>
      </x:c>
      <x:c r="AA50" s="90" t="str">
        <x:f>IF($A50="","",IF(AND($G50="Yes",AA$2=XLOOKUP($A50,TasksTable[Task ID],TasksTable[Start Date],"")),"◆",""))</x:f>
      </x:c>
      <x:c r="AB50" s="90" t="str">
        <x:f>IF($A50="","",IF(AND($G50="Yes",AB$2=XLOOKUP($A50,TasksTable[Task ID],TasksTable[Start Date],"")),"◆",""))</x:f>
      </x:c>
      <x:c r="AC50" s="90" t="str">
        <x:f>IF($A50="","",IF(AND($G50="Yes",AC$2=XLOOKUP($A50,TasksTable[Task ID],TasksTable[Start Date],"")),"◆",""))</x:f>
      </x:c>
      <x:c r="AD50" s="90" t="str">
        <x:f>IF($A50="","",IF(AND($G50="Yes",AD$2=XLOOKUP($A50,TasksTable[Task ID],TasksTable[Start Date],"")),"◆",""))</x:f>
      </x:c>
      <x:c r="AE50" s="90" t="str">
        <x:f>IF($A50="","",IF(AND($G50="Yes",AE$2=XLOOKUP($A50,TasksTable[Task ID],TasksTable[Start Date],"")),"◆",""))</x:f>
      </x:c>
      <x:c r="AF50" s="90" t="str">
        <x:f>IF($A50="","",IF(AND($G50="Yes",AF$2=XLOOKUP($A50,TasksTable[Task ID],TasksTable[Start Date],"")),"◆",""))</x:f>
      </x:c>
      <x:c r="AG50" s="90" t="str">
        <x:f>IF($A50="","",IF(AND($G50="Yes",AG$2=XLOOKUP($A50,TasksTable[Task ID],TasksTable[Start Date],"")),"◆",""))</x:f>
      </x:c>
      <x:c r="AH50" s="90" t="str">
        <x:f>IF($A50="","",IF(AND($G50="Yes",AH$2=XLOOKUP($A50,TasksTable[Task ID],TasksTable[Start Date],"")),"◆",""))</x:f>
      </x:c>
      <x:c r="AI50" s="90" t="str">
        <x:f>IF($A50="","",IF(AND($G50="Yes",AI$2=XLOOKUP($A50,TasksTable[Task ID],TasksTable[Start Date],"")),"◆",""))</x:f>
      </x:c>
      <x:c r="AJ50" s="90" t="str">
        <x:f>IF($A50="","",IF(AND($G50="Yes",AJ$2=XLOOKUP($A50,TasksTable[Task ID],TasksTable[Start Date],"")),"◆",""))</x:f>
      </x:c>
      <x:c r="AK50" s="90" t="str">
        <x:f>IF($A50="","",IF(AND($G50="Yes",AK$2=XLOOKUP($A50,TasksTable[Task ID],TasksTable[Start Date],"")),"◆",""))</x:f>
      </x:c>
      <x:c r="AL50" s="90" t="str">
        <x:f>IF($A50="","",IF(AND($G50="Yes",AL$2=XLOOKUP($A50,TasksTable[Task ID],TasksTable[Start Date],"")),"◆",""))</x:f>
      </x:c>
      <x:c r="AM50" s="90" t="str">
        <x:f>IF($A50="","",IF(AND($G50="Yes",AM$2=XLOOKUP($A50,TasksTable[Task ID],TasksTable[Start Date],"")),"◆",""))</x:f>
      </x:c>
      <x:c r="AN50" s="90" t="str">
        <x:f>IF($A50="","",IF(AND($G50="Yes",AN$2=XLOOKUP($A50,TasksTable[Task ID],TasksTable[Start Date],"")),"◆",""))</x:f>
      </x:c>
      <x:c r="AO50" s="90" t="str">
        <x:f>IF($A50="","",IF(AND($G50="Yes",AO$2=XLOOKUP($A50,TasksTable[Task ID],TasksTable[Start Date],"")),"◆",""))</x:f>
      </x:c>
    </x:row>
    <x:row r="51">
      <x:c r="A51" s="10" t="str">
        <x:f>IFERROR(INDEX(TasksTable[Task ID],ROWS($A$4:A51)),"")</x:f>
      </x:c>
      <x:c r="B51" s="10" t="str">
        <x:f>IF($A51="","",IFERROR(XLOOKUP($A51,TasksTable[Task ID],TasksTable[Phase],""),""))</x:f>
      </x:c>
      <x:c r="C51" s="10" t="str">
        <x:f>IF($A51="","",IFERROR(XLOOKUP($A51,TasksTable[Task ID],TasksTable[Task Name],""),""))</x:f>
      </x:c>
      <x:c r="D51" s="10" t="str">
        <x:f>IF($A51="","",IFERROR(XLOOKUP($A51,TasksTable[Task ID],TasksTable[Status],""),""))</x:f>
      </x:c>
      <x:c r="E51" s="86" t="str">
        <x:f>IF($A51="","",IFERROR(XLOOKUP($A51,TasksTable[Task ID],TasksTable[Progress %],0),0))</x:f>
      </x:c>
      <x:c r="F51" s="10" t="str">
        <x:f>IF($A51="","",IFERROR(XLOOKUP($A51,TasksTable[Task ID],TasksTable[Schedule Health],""),""))</x:f>
      </x:c>
      <x:c r="G51" s="10" t="str">
        <x:f>IF($A51="","",IFERROR(XLOOKUP($A51,TasksTable[Task ID],TasksTable[Milestone],""),""))</x:f>
      </x:c>
      <x:c r="H51" s="90" t="str">
        <x:f>IF($A51="","",IF(AND($G51="Yes",H$2=XLOOKUP($A51,TasksTable[Task ID],TasksTable[Start Date],"")),"◆",""))</x:f>
      </x:c>
      <x:c r="I51" s="90" t="str">
        <x:f>IF($A51="","",IF(AND($G51="Yes",I$2=XLOOKUP($A51,TasksTable[Task ID],TasksTable[Start Date],"")),"◆",""))</x:f>
      </x:c>
      <x:c r="J51" s="90" t="str">
        <x:f>IF($A51="","",IF(AND($G51="Yes",J$2=XLOOKUP($A51,TasksTable[Task ID],TasksTable[Start Date],"")),"◆",""))</x:f>
      </x:c>
      <x:c r="K51" s="90" t="str">
        <x:f>IF($A51="","",IF(AND($G51="Yes",K$2=XLOOKUP($A51,TasksTable[Task ID],TasksTable[Start Date],"")),"◆",""))</x:f>
      </x:c>
      <x:c r="L51" s="90" t="str">
        <x:f>IF($A51="","",IF(AND($G51="Yes",L$2=XLOOKUP($A51,TasksTable[Task ID],TasksTable[Start Date],"")),"◆",""))</x:f>
      </x:c>
      <x:c r="M51" s="90" t="str">
        <x:f>IF($A51="","",IF(AND($G51="Yes",M$2=XLOOKUP($A51,TasksTable[Task ID],TasksTable[Start Date],"")),"◆",""))</x:f>
      </x:c>
      <x:c r="N51" s="90" t="str">
        <x:f>IF($A51="","",IF(AND($G51="Yes",N$2=XLOOKUP($A51,TasksTable[Task ID],TasksTable[Start Date],"")),"◆",""))</x:f>
      </x:c>
      <x:c r="O51" s="90" t="str">
        <x:f>IF($A51="","",IF(AND($G51="Yes",O$2=XLOOKUP($A51,TasksTable[Task ID],TasksTable[Start Date],"")),"◆",""))</x:f>
      </x:c>
      <x:c r="P51" s="90" t="str">
        <x:f>IF($A51="","",IF(AND($G51="Yes",P$2=XLOOKUP($A51,TasksTable[Task ID],TasksTable[Start Date],"")),"◆",""))</x:f>
      </x:c>
      <x:c r="Q51" s="90" t="str">
        <x:f>IF($A51="","",IF(AND($G51="Yes",Q$2=XLOOKUP($A51,TasksTable[Task ID],TasksTable[Start Date],"")),"◆",""))</x:f>
      </x:c>
      <x:c r="R51" s="90" t="str">
        <x:f>IF($A51="","",IF(AND($G51="Yes",R$2=XLOOKUP($A51,TasksTable[Task ID],TasksTable[Start Date],"")),"◆",""))</x:f>
      </x:c>
      <x:c r="S51" s="90" t="str">
        <x:f>IF($A51="","",IF(AND($G51="Yes",S$2=XLOOKUP($A51,TasksTable[Task ID],TasksTable[Start Date],"")),"◆",""))</x:f>
      </x:c>
      <x:c r="T51" s="90" t="str">
        <x:f>IF($A51="","",IF(AND($G51="Yes",T$2=XLOOKUP($A51,TasksTable[Task ID],TasksTable[Start Date],"")),"◆",""))</x:f>
      </x:c>
      <x:c r="U51" s="90" t="str">
        <x:f>IF($A51="","",IF(AND($G51="Yes",U$2=XLOOKUP($A51,TasksTable[Task ID],TasksTable[Start Date],"")),"◆",""))</x:f>
      </x:c>
      <x:c r="V51" s="90" t="str">
        <x:f>IF($A51="","",IF(AND($G51="Yes",V$2=XLOOKUP($A51,TasksTable[Task ID],TasksTable[Start Date],"")),"◆",""))</x:f>
      </x:c>
      <x:c r="W51" s="90" t="str">
        <x:f>IF($A51="","",IF(AND($G51="Yes",W$2=XLOOKUP($A51,TasksTable[Task ID],TasksTable[Start Date],"")),"◆",""))</x:f>
      </x:c>
      <x:c r="X51" s="90" t="str">
        <x:f>IF($A51="","",IF(AND($G51="Yes",X$2=XLOOKUP($A51,TasksTable[Task ID],TasksTable[Start Date],"")),"◆",""))</x:f>
      </x:c>
      <x:c r="Y51" s="90" t="str">
        <x:f>IF($A51="","",IF(AND($G51="Yes",Y$2=XLOOKUP($A51,TasksTable[Task ID],TasksTable[Start Date],"")),"◆",""))</x:f>
      </x:c>
      <x:c r="Z51" s="90" t="str">
        <x:f>IF($A51="","",IF(AND($G51="Yes",Z$2=XLOOKUP($A51,TasksTable[Task ID],TasksTable[Start Date],"")),"◆",""))</x:f>
      </x:c>
      <x:c r="AA51" s="90" t="str">
        <x:f>IF($A51="","",IF(AND($G51="Yes",AA$2=XLOOKUP($A51,TasksTable[Task ID],TasksTable[Start Date],"")),"◆",""))</x:f>
      </x:c>
      <x:c r="AB51" s="90" t="str">
        <x:f>IF($A51="","",IF(AND($G51="Yes",AB$2=XLOOKUP($A51,TasksTable[Task ID],TasksTable[Start Date],"")),"◆",""))</x:f>
      </x:c>
      <x:c r="AC51" s="90" t="str">
        <x:f>IF($A51="","",IF(AND($G51="Yes",AC$2=XLOOKUP($A51,TasksTable[Task ID],TasksTable[Start Date],"")),"◆",""))</x:f>
      </x:c>
      <x:c r="AD51" s="90" t="str">
        <x:f>IF($A51="","",IF(AND($G51="Yes",AD$2=XLOOKUP($A51,TasksTable[Task ID],TasksTable[Start Date],"")),"◆",""))</x:f>
      </x:c>
      <x:c r="AE51" s="90" t="str">
        <x:f>IF($A51="","",IF(AND($G51="Yes",AE$2=XLOOKUP($A51,TasksTable[Task ID],TasksTable[Start Date],"")),"◆",""))</x:f>
      </x:c>
      <x:c r="AF51" s="90" t="str">
        <x:f>IF($A51="","",IF(AND($G51="Yes",AF$2=XLOOKUP($A51,TasksTable[Task ID],TasksTable[Start Date],"")),"◆",""))</x:f>
      </x:c>
      <x:c r="AG51" s="90" t="str">
        <x:f>IF($A51="","",IF(AND($G51="Yes",AG$2=XLOOKUP($A51,TasksTable[Task ID],TasksTable[Start Date],"")),"◆",""))</x:f>
      </x:c>
      <x:c r="AH51" s="90" t="str">
        <x:f>IF($A51="","",IF(AND($G51="Yes",AH$2=XLOOKUP($A51,TasksTable[Task ID],TasksTable[Start Date],"")),"◆",""))</x:f>
      </x:c>
      <x:c r="AI51" s="90" t="str">
        <x:f>IF($A51="","",IF(AND($G51="Yes",AI$2=XLOOKUP($A51,TasksTable[Task ID],TasksTable[Start Date],"")),"◆",""))</x:f>
      </x:c>
      <x:c r="AJ51" s="90" t="str">
        <x:f>IF($A51="","",IF(AND($G51="Yes",AJ$2=XLOOKUP($A51,TasksTable[Task ID],TasksTable[Start Date],"")),"◆",""))</x:f>
      </x:c>
      <x:c r="AK51" s="90" t="str">
        <x:f>IF($A51="","",IF(AND($G51="Yes",AK$2=XLOOKUP($A51,TasksTable[Task ID],TasksTable[Start Date],"")),"◆",""))</x:f>
      </x:c>
      <x:c r="AL51" s="90" t="str">
        <x:f>IF($A51="","",IF(AND($G51="Yes",AL$2=XLOOKUP($A51,TasksTable[Task ID],TasksTable[Start Date],"")),"◆",""))</x:f>
      </x:c>
      <x:c r="AM51" s="90" t="str">
        <x:f>IF($A51="","",IF(AND($G51="Yes",AM$2=XLOOKUP($A51,TasksTable[Task ID],TasksTable[Start Date],"")),"◆",""))</x:f>
      </x:c>
      <x:c r="AN51" s="90" t="str">
        <x:f>IF($A51="","",IF(AND($G51="Yes",AN$2=XLOOKUP($A51,TasksTable[Task ID],TasksTable[Start Date],"")),"◆",""))</x:f>
      </x:c>
      <x:c r="AO51" s="90" t="str">
        <x:f>IF($A51="","",IF(AND($G51="Yes",AO$2=XLOOKUP($A51,TasksTable[Task ID],TasksTable[Start Date],"")),"◆",""))</x:f>
      </x:c>
    </x:row>
    <x:row r="52">
      <x:c r="A52" s="10" t="str">
        <x:f>IFERROR(INDEX(TasksTable[Task ID],ROWS($A$4:A52)),"")</x:f>
      </x:c>
      <x:c r="B52" s="10" t="str">
        <x:f>IF($A52="","",IFERROR(XLOOKUP($A52,TasksTable[Task ID],TasksTable[Phase],""),""))</x:f>
      </x:c>
      <x:c r="C52" s="10" t="str">
        <x:f>IF($A52="","",IFERROR(XLOOKUP($A52,TasksTable[Task ID],TasksTable[Task Name],""),""))</x:f>
      </x:c>
      <x:c r="D52" s="10" t="str">
        <x:f>IF($A52="","",IFERROR(XLOOKUP($A52,TasksTable[Task ID],TasksTable[Status],""),""))</x:f>
      </x:c>
      <x:c r="E52" s="86" t="str">
        <x:f>IF($A52="","",IFERROR(XLOOKUP($A52,TasksTable[Task ID],TasksTable[Progress %],0),0))</x:f>
      </x:c>
      <x:c r="F52" s="10" t="str">
        <x:f>IF($A52="","",IFERROR(XLOOKUP($A52,TasksTable[Task ID],TasksTable[Schedule Health],""),""))</x:f>
      </x:c>
      <x:c r="G52" s="10" t="str">
        <x:f>IF($A52="","",IFERROR(XLOOKUP($A52,TasksTable[Task ID],TasksTable[Milestone],""),""))</x:f>
      </x:c>
      <x:c r="H52" s="90" t="str">
        <x:f>IF($A52="","",IF(AND($G52="Yes",H$2=XLOOKUP($A52,TasksTable[Task ID],TasksTable[Start Date],"")),"◆",""))</x:f>
      </x:c>
      <x:c r="I52" s="90" t="str">
        <x:f>IF($A52="","",IF(AND($G52="Yes",I$2=XLOOKUP($A52,TasksTable[Task ID],TasksTable[Start Date],"")),"◆",""))</x:f>
      </x:c>
      <x:c r="J52" s="90" t="str">
        <x:f>IF($A52="","",IF(AND($G52="Yes",J$2=XLOOKUP($A52,TasksTable[Task ID],TasksTable[Start Date],"")),"◆",""))</x:f>
      </x:c>
      <x:c r="K52" s="90" t="str">
        <x:f>IF($A52="","",IF(AND($G52="Yes",K$2=XLOOKUP($A52,TasksTable[Task ID],TasksTable[Start Date],"")),"◆",""))</x:f>
      </x:c>
      <x:c r="L52" s="90" t="str">
        <x:f>IF($A52="","",IF(AND($G52="Yes",L$2=XLOOKUP($A52,TasksTable[Task ID],TasksTable[Start Date],"")),"◆",""))</x:f>
      </x:c>
      <x:c r="M52" s="90" t="str">
        <x:f>IF($A52="","",IF(AND($G52="Yes",M$2=XLOOKUP($A52,TasksTable[Task ID],TasksTable[Start Date],"")),"◆",""))</x:f>
      </x:c>
      <x:c r="N52" s="90" t="str">
        <x:f>IF($A52="","",IF(AND($G52="Yes",N$2=XLOOKUP($A52,TasksTable[Task ID],TasksTable[Start Date],"")),"◆",""))</x:f>
      </x:c>
      <x:c r="O52" s="90" t="str">
        <x:f>IF($A52="","",IF(AND($G52="Yes",O$2=XLOOKUP($A52,TasksTable[Task ID],TasksTable[Start Date],"")),"◆",""))</x:f>
      </x:c>
      <x:c r="P52" s="90" t="str">
        <x:f>IF($A52="","",IF(AND($G52="Yes",P$2=XLOOKUP($A52,TasksTable[Task ID],TasksTable[Start Date],"")),"◆",""))</x:f>
      </x:c>
      <x:c r="Q52" s="90" t="str">
        <x:f>IF($A52="","",IF(AND($G52="Yes",Q$2=XLOOKUP($A52,TasksTable[Task ID],TasksTable[Start Date],"")),"◆",""))</x:f>
      </x:c>
      <x:c r="R52" s="90" t="str">
        <x:f>IF($A52="","",IF(AND($G52="Yes",R$2=XLOOKUP($A52,TasksTable[Task ID],TasksTable[Start Date],"")),"◆",""))</x:f>
      </x:c>
      <x:c r="S52" s="90" t="str">
        <x:f>IF($A52="","",IF(AND($G52="Yes",S$2=XLOOKUP($A52,TasksTable[Task ID],TasksTable[Start Date],"")),"◆",""))</x:f>
      </x:c>
      <x:c r="T52" s="90" t="str">
        <x:f>IF($A52="","",IF(AND($G52="Yes",T$2=XLOOKUP($A52,TasksTable[Task ID],TasksTable[Start Date],"")),"◆",""))</x:f>
      </x:c>
      <x:c r="U52" s="90" t="str">
        <x:f>IF($A52="","",IF(AND($G52="Yes",U$2=XLOOKUP($A52,TasksTable[Task ID],TasksTable[Start Date],"")),"◆",""))</x:f>
      </x:c>
      <x:c r="V52" s="90" t="str">
        <x:f>IF($A52="","",IF(AND($G52="Yes",V$2=XLOOKUP($A52,TasksTable[Task ID],TasksTable[Start Date],"")),"◆",""))</x:f>
      </x:c>
      <x:c r="W52" s="90" t="str">
        <x:f>IF($A52="","",IF(AND($G52="Yes",W$2=XLOOKUP($A52,TasksTable[Task ID],TasksTable[Start Date],"")),"◆",""))</x:f>
      </x:c>
      <x:c r="X52" s="90" t="str">
        <x:f>IF($A52="","",IF(AND($G52="Yes",X$2=XLOOKUP($A52,TasksTable[Task ID],TasksTable[Start Date],"")),"◆",""))</x:f>
      </x:c>
      <x:c r="Y52" s="90" t="str">
        <x:f>IF($A52="","",IF(AND($G52="Yes",Y$2=XLOOKUP($A52,TasksTable[Task ID],TasksTable[Start Date],"")),"◆",""))</x:f>
      </x:c>
      <x:c r="Z52" s="90" t="str">
        <x:f>IF($A52="","",IF(AND($G52="Yes",Z$2=XLOOKUP($A52,TasksTable[Task ID],TasksTable[Start Date],"")),"◆",""))</x:f>
      </x:c>
      <x:c r="AA52" s="90" t="str">
        <x:f>IF($A52="","",IF(AND($G52="Yes",AA$2=XLOOKUP($A52,TasksTable[Task ID],TasksTable[Start Date],"")),"◆",""))</x:f>
      </x:c>
      <x:c r="AB52" s="90" t="str">
        <x:f>IF($A52="","",IF(AND($G52="Yes",AB$2=XLOOKUP($A52,TasksTable[Task ID],TasksTable[Start Date],"")),"◆",""))</x:f>
      </x:c>
      <x:c r="AC52" s="90" t="str">
        <x:f>IF($A52="","",IF(AND($G52="Yes",AC$2=XLOOKUP($A52,TasksTable[Task ID],TasksTable[Start Date],"")),"◆",""))</x:f>
      </x:c>
      <x:c r="AD52" s="90" t="str">
        <x:f>IF($A52="","",IF(AND($G52="Yes",AD$2=XLOOKUP($A52,TasksTable[Task ID],TasksTable[Start Date],"")),"◆",""))</x:f>
      </x:c>
      <x:c r="AE52" s="90" t="str">
        <x:f>IF($A52="","",IF(AND($G52="Yes",AE$2=XLOOKUP($A52,TasksTable[Task ID],TasksTable[Start Date],"")),"◆",""))</x:f>
      </x:c>
      <x:c r="AF52" s="90" t="str">
        <x:f>IF($A52="","",IF(AND($G52="Yes",AF$2=XLOOKUP($A52,TasksTable[Task ID],TasksTable[Start Date],"")),"◆",""))</x:f>
      </x:c>
      <x:c r="AG52" s="90" t="str">
        <x:f>IF($A52="","",IF(AND($G52="Yes",AG$2=XLOOKUP($A52,TasksTable[Task ID],TasksTable[Start Date],"")),"◆",""))</x:f>
      </x:c>
      <x:c r="AH52" s="90" t="str">
        <x:f>IF($A52="","",IF(AND($G52="Yes",AH$2=XLOOKUP($A52,TasksTable[Task ID],TasksTable[Start Date],"")),"◆",""))</x:f>
      </x:c>
      <x:c r="AI52" s="90" t="str">
        <x:f>IF($A52="","",IF(AND($G52="Yes",AI$2=XLOOKUP($A52,TasksTable[Task ID],TasksTable[Start Date],"")),"◆",""))</x:f>
      </x:c>
      <x:c r="AJ52" s="90" t="str">
        <x:f>IF($A52="","",IF(AND($G52="Yes",AJ$2=XLOOKUP($A52,TasksTable[Task ID],TasksTable[Start Date],"")),"◆",""))</x:f>
      </x:c>
      <x:c r="AK52" s="90" t="str">
        <x:f>IF($A52="","",IF(AND($G52="Yes",AK$2=XLOOKUP($A52,TasksTable[Task ID],TasksTable[Start Date],"")),"◆",""))</x:f>
      </x:c>
      <x:c r="AL52" s="90" t="str">
        <x:f>IF($A52="","",IF(AND($G52="Yes",AL$2=XLOOKUP($A52,TasksTable[Task ID],TasksTable[Start Date],"")),"◆",""))</x:f>
      </x:c>
      <x:c r="AM52" s="90" t="str">
        <x:f>IF($A52="","",IF(AND($G52="Yes",AM$2=XLOOKUP($A52,TasksTable[Task ID],TasksTable[Start Date],"")),"◆",""))</x:f>
      </x:c>
      <x:c r="AN52" s="90" t="str">
        <x:f>IF($A52="","",IF(AND($G52="Yes",AN$2=XLOOKUP($A52,TasksTable[Task ID],TasksTable[Start Date],"")),"◆",""))</x:f>
      </x:c>
      <x:c r="AO52" s="90" t="str">
        <x:f>IF($A52="","",IF(AND($G52="Yes",AO$2=XLOOKUP($A52,TasksTable[Task ID],TasksTable[Start Date],"")),"◆",""))</x:f>
      </x:c>
    </x:row>
    <x:row r="53">
      <x:c r="A53" s="10" t="str">
        <x:f>IFERROR(INDEX(TasksTable[Task ID],ROWS($A$4:A53)),"")</x:f>
      </x:c>
      <x:c r="B53" s="10" t="str">
        <x:f>IF($A53="","",IFERROR(XLOOKUP($A53,TasksTable[Task ID],TasksTable[Phase],""),""))</x:f>
      </x:c>
      <x:c r="C53" s="10" t="str">
        <x:f>IF($A53="","",IFERROR(XLOOKUP($A53,TasksTable[Task ID],TasksTable[Task Name],""),""))</x:f>
      </x:c>
      <x:c r="D53" s="10" t="str">
        <x:f>IF($A53="","",IFERROR(XLOOKUP($A53,TasksTable[Task ID],TasksTable[Status],""),""))</x:f>
      </x:c>
      <x:c r="E53" s="86" t="str">
        <x:f>IF($A53="","",IFERROR(XLOOKUP($A53,TasksTable[Task ID],TasksTable[Progress %],0),0))</x:f>
      </x:c>
      <x:c r="F53" s="10" t="str">
        <x:f>IF($A53="","",IFERROR(XLOOKUP($A53,TasksTable[Task ID],TasksTable[Schedule Health],""),""))</x:f>
      </x:c>
      <x:c r="G53" s="10" t="str">
        <x:f>IF($A53="","",IFERROR(XLOOKUP($A53,TasksTable[Task ID],TasksTable[Milestone],""),""))</x:f>
      </x:c>
      <x:c r="H53" s="90" t="str">
        <x:f>IF($A53="","",IF(AND($G53="Yes",H$2=XLOOKUP($A53,TasksTable[Task ID],TasksTable[Start Date],"")),"◆",""))</x:f>
      </x:c>
      <x:c r="I53" s="90" t="str">
        <x:f>IF($A53="","",IF(AND($G53="Yes",I$2=XLOOKUP($A53,TasksTable[Task ID],TasksTable[Start Date],"")),"◆",""))</x:f>
      </x:c>
      <x:c r="J53" s="90" t="str">
        <x:f>IF($A53="","",IF(AND($G53="Yes",J$2=XLOOKUP($A53,TasksTable[Task ID],TasksTable[Start Date],"")),"◆",""))</x:f>
      </x:c>
      <x:c r="K53" s="90" t="str">
        <x:f>IF($A53="","",IF(AND($G53="Yes",K$2=XLOOKUP($A53,TasksTable[Task ID],TasksTable[Start Date],"")),"◆",""))</x:f>
      </x:c>
      <x:c r="L53" s="90" t="str">
        <x:f>IF($A53="","",IF(AND($G53="Yes",L$2=XLOOKUP($A53,TasksTable[Task ID],TasksTable[Start Date],"")),"◆",""))</x:f>
      </x:c>
      <x:c r="M53" s="90" t="str">
        <x:f>IF($A53="","",IF(AND($G53="Yes",M$2=XLOOKUP($A53,TasksTable[Task ID],TasksTable[Start Date],"")),"◆",""))</x:f>
      </x:c>
      <x:c r="N53" s="90" t="str">
        <x:f>IF($A53="","",IF(AND($G53="Yes",N$2=XLOOKUP($A53,TasksTable[Task ID],TasksTable[Start Date],"")),"◆",""))</x:f>
      </x:c>
      <x:c r="O53" s="90" t="str">
        <x:f>IF($A53="","",IF(AND($G53="Yes",O$2=XLOOKUP($A53,TasksTable[Task ID],TasksTable[Start Date],"")),"◆",""))</x:f>
      </x:c>
      <x:c r="P53" s="90" t="str">
        <x:f>IF($A53="","",IF(AND($G53="Yes",P$2=XLOOKUP($A53,TasksTable[Task ID],TasksTable[Start Date],"")),"◆",""))</x:f>
      </x:c>
      <x:c r="Q53" s="90" t="str">
        <x:f>IF($A53="","",IF(AND($G53="Yes",Q$2=XLOOKUP($A53,TasksTable[Task ID],TasksTable[Start Date],"")),"◆",""))</x:f>
      </x:c>
      <x:c r="R53" s="90" t="str">
        <x:f>IF($A53="","",IF(AND($G53="Yes",R$2=XLOOKUP($A53,TasksTable[Task ID],TasksTable[Start Date],"")),"◆",""))</x:f>
      </x:c>
      <x:c r="S53" s="90" t="str">
        <x:f>IF($A53="","",IF(AND($G53="Yes",S$2=XLOOKUP($A53,TasksTable[Task ID],TasksTable[Start Date],"")),"◆",""))</x:f>
      </x:c>
      <x:c r="T53" s="90" t="str">
        <x:f>IF($A53="","",IF(AND($G53="Yes",T$2=XLOOKUP($A53,TasksTable[Task ID],TasksTable[Start Date],"")),"◆",""))</x:f>
      </x:c>
      <x:c r="U53" s="90" t="str">
        <x:f>IF($A53="","",IF(AND($G53="Yes",U$2=XLOOKUP($A53,TasksTable[Task ID],TasksTable[Start Date],"")),"◆",""))</x:f>
      </x:c>
      <x:c r="V53" s="90" t="str">
        <x:f>IF($A53="","",IF(AND($G53="Yes",V$2=XLOOKUP($A53,TasksTable[Task ID],TasksTable[Start Date],"")),"◆",""))</x:f>
      </x:c>
      <x:c r="W53" s="90" t="str">
        <x:f>IF($A53="","",IF(AND($G53="Yes",W$2=XLOOKUP($A53,TasksTable[Task ID],TasksTable[Start Date],"")),"◆",""))</x:f>
      </x:c>
      <x:c r="X53" s="90" t="str">
        <x:f>IF($A53="","",IF(AND($G53="Yes",X$2=XLOOKUP($A53,TasksTable[Task ID],TasksTable[Start Date],"")),"◆",""))</x:f>
      </x:c>
      <x:c r="Y53" s="90" t="str">
        <x:f>IF($A53="","",IF(AND($G53="Yes",Y$2=XLOOKUP($A53,TasksTable[Task ID],TasksTable[Start Date],"")),"◆",""))</x:f>
      </x:c>
      <x:c r="Z53" s="90" t="str">
        <x:f>IF($A53="","",IF(AND($G53="Yes",Z$2=XLOOKUP($A53,TasksTable[Task ID],TasksTable[Start Date],"")),"◆",""))</x:f>
      </x:c>
      <x:c r="AA53" s="90" t="str">
        <x:f>IF($A53="","",IF(AND($G53="Yes",AA$2=XLOOKUP($A53,TasksTable[Task ID],TasksTable[Start Date],"")),"◆",""))</x:f>
      </x:c>
      <x:c r="AB53" s="90" t="str">
        <x:f>IF($A53="","",IF(AND($G53="Yes",AB$2=XLOOKUP($A53,TasksTable[Task ID],TasksTable[Start Date],"")),"◆",""))</x:f>
      </x:c>
      <x:c r="AC53" s="90" t="str">
        <x:f>IF($A53="","",IF(AND($G53="Yes",AC$2=XLOOKUP($A53,TasksTable[Task ID],TasksTable[Start Date],"")),"◆",""))</x:f>
      </x:c>
      <x:c r="AD53" s="90" t="str">
        <x:f>IF($A53="","",IF(AND($G53="Yes",AD$2=XLOOKUP($A53,TasksTable[Task ID],TasksTable[Start Date],"")),"◆",""))</x:f>
      </x:c>
      <x:c r="AE53" s="90" t="str">
        <x:f>IF($A53="","",IF(AND($G53="Yes",AE$2=XLOOKUP($A53,TasksTable[Task ID],TasksTable[Start Date],"")),"◆",""))</x:f>
      </x:c>
      <x:c r="AF53" s="90" t="str">
        <x:f>IF($A53="","",IF(AND($G53="Yes",AF$2=XLOOKUP($A53,TasksTable[Task ID],TasksTable[Start Date],"")),"◆",""))</x:f>
      </x:c>
      <x:c r="AG53" s="90" t="str">
        <x:f>IF($A53="","",IF(AND($G53="Yes",AG$2=XLOOKUP($A53,TasksTable[Task ID],TasksTable[Start Date],"")),"◆",""))</x:f>
      </x:c>
      <x:c r="AH53" s="90" t="str">
        <x:f>IF($A53="","",IF(AND($G53="Yes",AH$2=XLOOKUP($A53,TasksTable[Task ID],TasksTable[Start Date],"")),"◆",""))</x:f>
      </x:c>
      <x:c r="AI53" s="90" t="str">
        <x:f>IF($A53="","",IF(AND($G53="Yes",AI$2=XLOOKUP($A53,TasksTable[Task ID],TasksTable[Start Date],"")),"◆",""))</x:f>
      </x:c>
      <x:c r="AJ53" s="90" t="str">
        <x:f>IF($A53="","",IF(AND($G53="Yes",AJ$2=XLOOKUP($A53,TasksTable[Task ID],TasksTable[Start Date],"")),"◆",""))</x:f>
      </x:c>
      <x:c r="AK53" s="90" t="str">
        <x:f>IF($A53="","",IF(AND($G53="Yes",AK$2=XLOOKUP($A53,TasksTable[Task ID],TasksTable[Start Date],"")),"◆",""))</x:f>
      </x:c>
      <x:c r="AL53" s="90" t="str">
        <x:f>IF($A53="","",IF(AND($G53="Yes",AL$2=XLOOKUP($A53,TasksTable[Task ID],TasksTable[Start Date],"")),"◆",""))</x:f>
      </x:c>
      <x:c r="AM53" s="90" t="str">
        <x:f>IF($A53="","",IF(AND($G53="Yes",AM$2=XLOOKUP($A53,TasksTable[Task ID],TasksTable[Start Date],"")),"◆",""))</x:f>
      </x:c>
      <x:c r="AN53" s="90" t="str">
        <x:f>IF($A53="","",IF(AND($G53="Yes",AN$2=XLOOKUP($A53,TasksTable[Task ID],TasksTable[Start Date],"")),"◆",""))</x:f>
      </x:c>
      <x:c r="AO53" s="90" t="str">
        <x:f>IF($A53="","",IF(AND($G53="Yes",AO$2=XLOOKUP($A53,TasksTable[Task ID],TasksTable[Start Date],"")),"◆",""))</x:f>
      </x:c>
    </x:row>
    <x:row r="54">
      <x:c r="A54" s="10" t="str">
        <x:f>IFERROR(INDEX(TasksTable[Task ID],ROWS($A$4:A54)),"")</x:f>
      </x:c>
      <x:c r="B54" s="10" t="str">
        <x:f>IF($A54="","",IFERROR(XLOOKUP($A54,TasksTable[Task ID],TasksTable[Phase],""),""))</x:f>
      </x:c>
      <x:c r="C54" s="10" t="str">
        <x:f>IF($A54="","",IFERROR(XLOOKUP($A54,TasksTable[Task ID],TasksTable[Task Name],""),""))</x:f>
      </x:c>
      <x:c r="D54" s="10" t="str">
        <x:f>IF($A54="","",IFERROR(XLOOKUP($A54,TasksTable[Task ID],TasksTable[Status],""),""))</x:f>
      </x:c>
      <x:c r="E54" s="86" t="str">
        <x:f>IF($A54="","",IFERROR(XLOOKUP($A54,TasksTable[Task ID],TasksTable[Progress %],0),0))</x:f>
      </x:c>
      <x:c r="F54" s="10" t="str">
        <x:f>IF($A54="","",IFERROR(XLOOKUP($A54,TasksTable[Task ID],TasksTable[Schedule Health],""),""))</x:f>
      </x:c>
      <x:c r="G54" s="10" t="str">
        <x:f>IF($A54="","",IFERROR(XLOOKUP($A54,TasksTable[Task ID],TasksTable[Milestone],""),""))</x:f>
      </x:c>
      <x:c r="H54" s="90" t="str">
        <x:f>IF($A54="","",IF(AND($G54="Yes",H$2=XLOOKUP($A54,TasksTable[Task ID],TasksTable[Start Date],"")),"◆",""))</x:f>
      </x:c>
      <x:c r="I54" s="90" t="str">
        <x:f>IF($A54="","",IF(AND($G54="Yes",I$2=XLOOKUP($A54,TasksTable[Task ID],TasksTable[Start Date],"")),"◆",""))</x:f>
      </x:c>
      <x:c r="J54" s="90" t="str">
        <x:f>IF($A54="","",IF(AND($G54="Yes",J$2=XLOOKUP($A54,TasksTable[Task ID],TasksTable[Start Date],"")),"◆",""))</x:f>
      </x:c>
      <x:c r="K54" s="90" t="str">
        <x:f>IF($A54="","",IF(AND($G54="Yes",K$2=XLOOKUP($A54,TasksTable[Task ID],TasksTable[Start Date],"")),"◆",""))</x:f>
      </x:c>
      <x:c r="L54" s="90" t="str">
        <x:f>IF($A54="","",IF(AND($G54="Yes",L$2=XLOOKUP($A54,TasksTable[Task ID],TasksTable[Start Date],"")),"◆",""))</x:f>
      </x:c>
      <x:c r="M54" s="90" t="str">
        <x:f>IF($A54="","",IF(AND($G54="Yes",M$2=XLOOKUP($A54,TasksTable[Task ID],TasksTable[Start Date],"")),"◆",""))</x:f>
      </x:c>
      <x:c r="N54" s="90" t="str">
        <x:f>IF($A54="","",IF(AND($G54="Yes",N$2=XLOOKUP($A54,TasksTable[Task ID],TasksTable[Start Date],"")),"◆",""))</x:f>
      </x:c>
      <x:c r="O54" s="90" t="str">
        <x:f>IF($A54="","",IF(AND($G54="Yes",O$2=XLOOKUP($A54,TasksTable[Task ID],TasksTable[Start Date],"")),"◆",""))</x:f>
      </x:c>
      <x:c r="P54" s="90" t="str">
        <x:f>IF($A54="","",IF(AND($G54="Yes",P$2=XLOOKUP($A54,TasksTable[Task ID],TasksTable[Start Date],"")),"◆",""))</x:f>
      </x:c>
      <x:c r="Q54" s="90" t="str">
        <x:f>IF($A54="","",IF(AND($G54="Yes",Q$2=XLOOKUP($A54,TasksTable[Task ID],TasksTable[Start Date],"")),"◆",""))</x:f>
      </x:c>
      <x:c r="R54" s="90" t="str">
        <x:f>IF($A54="","",IF(AND($G54="Yes",R$2=XLOOKUP($A54,TasksTable[Task ID],TasksTable[Start Date],"")),"◆",""))</x:f>
      </x:c>
      <x:c r="S54" s="90" t="str">
        <x:f>IF($A54="","",IF(AND($G54="Yes",S$2=XLOOKUP($A54,TasksTable[Task ID],TasksTable[Start Date],"")),"◆",""))</x:f>
      </x:c>
      <x:c r="T54" s="90" t="str">
        <x:f>IF($A54="","",IF(AND($G54="Yes",T$2=XLOOKUP($A54,TasksTable[Task ID],TasksTable[Start Date],"")),"◆",""))</x:f>
      </x:c>
      <x:c r="U54" s="90" t="str">
        <x:f>IF($A54="","",IF(AND($G54="Yes",U$2=XLOOKUP($A54,TasksTable[Task ID],TasksTable[Start Date],"")),"◆",""))</x:f>
      </x:c>
      <x:c r="V54" s="90" t="str">
        <x:f>IF($A54="","",IF(AND($G54="Yes",V$2=XLOOKUP($A54,TasksTable[Task ID],TasksTable[Start Date],"")),"◆",""))</x:f>
      </x:c>
      <x:c r="W54" s="90" t="str">
        <x:f>IF($A54="","",IF(AND($G54="Yes",W$2=XLOOKUP($A54,TasksTable[Task ID],TasksTable[Start Date],"")),"◆",""))</x:f>
      </x:c>
      <x:c r="X54" s="90" t="str">
        <x:f>IF($A54="","",IF(AND($G54="Yes",X$2=XLOOKUP($A54,TasksTable[Task ID],TasksTable[Start Date],"")),"◆",""))</x:f>
      </x:c>
      <x:c r="Y54" s="90" t="str">
        <x:f>IF($A54="","",IF(AND($G54="Yes",Y$2=XLOOKUP($A54,TasksTable[Task ID],TasksTable[Start Date],"")),"◆",""))</x:f>
      </x:c>
      <x:c r="Z54" s="90" t="str">
        <x:f>IF($A54="","",IF(AND($G54="Yes",Z$2=XLOOKUP($A54,TasksTable[Task ID],TasksTable[Start Date],"")),"◆",""))</x:f>
      </x:c>
      <x:c r="AA54" s="90" t="str">
        <x:f>IF($A54="","",IF(AND($G54="Yes",AA$2=XLOOKUP($A54,TasksTable[Task ID],TasksTable[Start Date],"")),"◆",""))</x:f>
      </x:c>
      <x:c r="AB54" s="90" t="str">
        <x:f>IF($A54="","",IF(AND($G54="Yes",AB$2=XLOOKUP($A54,TasksTable[Task ID],TasksTable[Start Date],"")),"◆",""))</x:f>
      </x:c>
      <x:c r="AC54" s="90" t="str">
        <x:f>IF($A54="","",IF(AND($G54="Yes",AC$2=XLOOKUP($A54,TasksTable[Task ID],TasksTable[Start Date],"")),"◆",""))</x:f>
      </x:c>
      <x:c r="AD54" s="90" t="str">
        <x:f>IF($A54="","",IF(AND($G54="Yes",AD$2=XLOOKUP($A54,TasksTable[Task ID],TasksTable[Start Date],"")),"◆",""))</x:f>
      </x:c>
      <x:c r="AE54" s="90" t="str">
        <x:f>IF($A54="","",IF(AND($G54="Yes",AE$2=XLOOKUP($A54,TasksTable[Task ID],TasksTable[Start Date],"")),"◆",""))</x:f>
      </x:c>
      <x:c r="AF54" s="90" t="str">
        <x:f>IF($A54="","",IF(AND($G54="Yes",AF$2=XLOOKUP($A54,TasksTable[Task ID],TasksTable[Start Date],"")),"◆",""))</x:f>
      </x:c>
      <x:c r="AG54" s="90" t="str">
        <x:f>IF($A54="","",IF(AND($G54="Yes",AG$2=XLOOKUP($A54,TasksTable[Task ID],TasksTable[Start Date],"")),"◆",""))</x:f>
      </x:c>
      <x:c r="AH54" s="90" t="str">
        <x:f>IF($A54="","",IF(AND($G54="Yes",AH$2=XLOOKUP($A54,TasksTable[Task ID],TasksTable[Start Date],"")),"◆",""))</x:f>
      </x:c>
      <x:c r="AI54" s="90" t="str">
        <x:f>IF($A54="","",IF(AND($G54="Yes",AI$2=XLOOKUP($A54,TasksTable[Task ID],TasksTable[Start Date],"")),"◆",""))</x:f>
      </x:c>
      <x:c r="AJ54" s="90" t="str">
        <x:f>IF($A54="","",IF(AND($G54="Yes",AJ$2=XLOOKUP($A54,TasksTable[Task ID],TasksTable[Start Date],"")),"◆",""))</x:f>
      </x:c>
      <x:c r="AK54" s="90" t="str">
        <x:f>IF($A54="","",IF(AND($G54="Yes",AK$2=XLOOKUP($A54,TasksTable[Task ID],TasksTable[Start Date],"")),"◆",""))</x:f>
      </x:c>
      <x:c r="AL54" s="90" t="str">
        <x:f>IF($A54="","",IF(AND($G54="Yes",AL$2=XLOOKUP($A54,TasksTable[Task ID],TasksTable[Start Date],"")),"◆",""))</x:f>
      </x:c>
      <x:c r="AM54" s="90" t="str">
        <x:f>IF($A54="","",IF(AND($G54="Yes",AM$2=XLOOKUP($A54,TasksTable[Task ID],TasksTable[Start Date],"")),"◆",""))</x:f>
      </x:c>
      <x:c r="AN54" s="90" t="str">
        <x:f>IF($A54="","",IF(AND($G54="Yes",AN$2=XLOOKUP($A54,TasksTable[Task ID],TasksTable[Start Date],"")),"◆",""))</x:f>
      </x:c>
      <x:c r="AO54" s="90" t="str">
        <x:f>IF($A54="","",IF(AND($G54="Yes",AO$2=XLOOKUP($A54,TasksTable[Task ID],TasksTable[Start Date],"")),"◆",""))</x:f>
      </x:c>
    </x:row>
    <x:row r="55">
      <x:c r="A55" s="10" t="str">
        <x:f>IFERROR(INDEX(TasksTable[Task ID],ROWS($A$4:A55)),"")</x:f>
      </x:c>
      <x:c r="B55" s="10" t="str">
        <x:f>IF($A55="","",IFERROR(XLOOKUP($A55,TasksTable[Task ID],TasksTable[Phase],""),""))</x:f>
      </x:c>
      <x:c r="C55" s="10" t="str">
        <x:f>IF($A55="","",IFERROR(XLOOKUP($A55,TasksTable[Task ID],TasksTable[Task Name],""),""))</x:f>
      </x:c>
      <x:c r="D55" s="10" t="str">
        <x:f>IF($A55="","",IFERROR(XLOOKUP($A55,TasksTable[Task ID],TasksTable[Status],""),""))</x:f>
      </x:c>
      <x:c r="E55" s="86" t="str">
        <x:f>IF($A55="","",IFERROR(XLOOKUP($A55,TasksTable[Task ID],TasksTable[Progress %],0),0))</x:f>
      </x:c>
      <x:c r="F55" s="10" t="str">
        <x:f>IF($A55="","",IFERROR(XLOOKUP($A55,TasksTable[Task ID],TasksTable[Schedule Health],""),""))</x:f>
      </x:c>
      <x:c r="G55" s="10" t="str">
        <x:f>IF($A55="","",IFERROR(XLOOKUP($A55,TasksTable[Task ID],TasksTable[Milestone],""),""))</x:f>
      </x:c>
      <x:c r="H55" s="90" t="str">
        <x:f>IF($A55="","",IF(AND($G55="Yes",H$2=XLOOKUP($A55,TasksTable[Task ID],TasksTable[Start Date],"")),"◆",""))</x:f>
      </x:c>
      <x:c r="I55" s="90" t="str">
        <x:f>IF($A55="","",IF(AND($G55="Yes",I$2=XLOOKUP($A55,TasksTable[Task ID],TasksTable[Start Date],"")),"◆",""))</x:f>
      </x:c>
      <x:c r="J55" s="90" t="str">
        <x:f>IF($A55="","",IF(AND($G55="Yes",J$2=XLOOKUP($A55,TasksTable[Task ID],TasksTable[Start Date],"")),"◆",""))</x:f>
      </x:c>
      <x:c r="K55" s="90" t="str">
        <x:f>IF($A55="","",IF(AND($G55="Yes",K$2=XLOOKUP($A55,TasksTable[Task ID],TasksTable[Start Date],"")),"◆",""))</x:f>
      </x:c>
      <x:c r="L55" s="90" t="str">
        <x:f>IF($A55="","",IF(AND($G55="Yes",L$2=XLOOKUP($A55,TasksTable[Task ID],TasksTable[Start Date],"")),"◆",""))</x:f>
      </x:c>
      <x:c r="M55" s="90" t="str">
        <x:f>IF($A55="","",IF(AND($G55="Yes",M$2=XLOOKUP($A55,TasksTable[Task ID],TasksTable[Start Date],"")),"◆",""))</x:f>
      </x:c>
      <x:c r="N55" s="90" t="str">
        <x:f>IF($A55="","",IF(AND($G55="Yes",N$2=XLOOKUP($A55,TasksTable[Task ID],TasksTable[Start Date],"")),"◆",""))</x:f>
      </x:c>
      <x:c r="O55" s="90" t="str">
        <x:f>IF($A55="","",IF(AND($G55="Yes",O$2=XLOOKUP($A55,TasksTable[Task ID],TasksTable[Start Date],"")),"◆",""))</x:f>
      </x:c>
      <x:c r="P55" s="90" t="str">
        <x:f>IF($A55="","",IF(AND($G55="Yes",P$2=XLOOKUP($A55,TasksTable[Task ID],TasksTable[Start Date],"")),"◆",""))</x:f>
      </x:c>
      <x:c r="Q55" s="90" t="str">
        <x:f>IF($A55="","",IF(AND($G55="Yes",Q$2=XLOOKUP($A55,TasksTable[Task ID],TasksTable[Start Date],"")),"◆",""))</x:f>
      </x:c>
      <x:c r="R55" s="90" t="str">
        <x:f>IF($A55="","",IF(AND($G55="Yes",R$2=XLOOKUP($A55,TasksTable[Task ID],TasksTable[Start Date],"")),"◆",""))</x:f>
      </x:c>
      <x:c r="S55" s="90" t="str">
        <x:f>IF($A55="","",IF(AND($G55="Yes",S$2=XLOOKUP($A55,TasksTable[Task ID],TasksTable[Start Date],"")),"◆",""))</x:f>
      </x:c>
      <x:c r="T55" s="90" t="str">
        <x:f>IF($A55="","",IF(AND($G55="Yes",T$2=XLOOKUP($A55,TasksTable[Task ID],TasksTable[Start Date],"")),"◆",""))</x:f>
      </x:c>
      <x:c r="U55" s="90" t="str">
        <x:f>IF($A55="","",IF(AND($G55="Yes",U$2=XLOOKUP($A55,TasksTable[Task ID],TasksTable[Start Date],"")),"◆",""))</x:f>
      </x:c>
      <x:c r="V55" s="90" t="str">
        <x:f>IF($A55="","",IF(AND($G55="Yes",V$2=XLOOKUP($A55,TasksTable[Task ID],TasksTable[Start Date],"")),"◆",""))</x:f>
      </x:c>
      <x:c r="W55" s="90" t="str">
        <x:f>IF($A55="","",IF(AND($G55="Yes",W$2=XLOOKUP($A55,TasksTable[Task ID],TasksTable[Start Date],"")),"◆",""))</x:f>
      </x:c>
      <x:c r="X55" s="90" t="str">
        <x:f>IF($A55="","",IF(AND($G55="Yes",X$2=XLOOKUP($A55,TasksTable[Task ID],TasksTable[Start Date],"")),"◆",""))</x:f>
      </x:c>
      <x:c r="Y55" s="90" t="str">
        <x:f>IF($A55="","",IF(AND($G55="Yes",Y$2=XLOOKUP($A55,TasksTable[Task ID],TasksTable[Start Date],"")),"◆",""))</x:f>
      </x:c>
      <x:c r="Z55" s="90" t="str">
        <x:f>IF($A55="","",IF(AND($G55="Yes",Z$2=XLOOKUP($A55,TasksTable[Task ID],TasksTable[Start Date],"")),"◆",""))</x:f>
      </x:c>
      <x:c r="AA55" s="90" t="str">
        <x:f>IF($A55="","",IF(AND($G55="Yes",AA$2=XLOOKUP($A55,TasksTable[Task ID],TasksTable[Start Date],"")),"◆",""))</x:f>
      </x:c>
      <x:c r="AB55" s="90" t="str">
        <x:f>IF($A55="","",IF(AND($G55="Yes",AB$2=XLOOKUP($A55,TasksTable[Task ID],TasksTable[Start Date],"")),"◆",""))</x:f>
      </x:c>
      <x:c r="AC55" s="90" t="str">
        <x:f>IF($A55="","",IF(AND($G55="Yes",AC$2=XLOOKUP($A55,TasksTable[Task ID],TasksTable[Start Date],"")),"◆",""))</x:f>
      </x:c>
      <x:c r="AD55" s="90" t="str">
        <x:f>IF($A55="","",IF(AND($G55="Yes",AD$2=XLOOKUP($A55,TasksTable[Task ID],TasksTable[Start Date],"")),"◆",""))</x:f>
      </x:c>
      <x:c r="AE55" s="90" t="str">
        <x:f>IF($A55="","",IF(AND($G55="Yes",AE$2=XLOOKUP($A55,TasksTable[Task ID],TasksTable[Start Date],"")),"◆",""))</x:f>
      </x:c>
      <x:c r="AF55" s="90" t="str">
        <x:f>IF($A55="","",IF(AND($G55="Yes",AF$2=XLOOKUP($A55,TasksTable[Task ID],TasksTable[Start Date],"")),"◆",""))</x:f>
      </x:c>
      <x:c r="AG55" s="90" t="str">
        <x:f>IF($A55="","",IF(AND($G55="Yes",AG$2=XLOOKUP($A55,TasksTable[Task ID],TasksTable[Start Date],"")),"◆",""))</x:f>
      </x:c>
      <x:c r="AH55" s="90" t="str">
        <x:f>IF($A55="","",IF(AND($G55="Yes",AH$2=XLOOKUP($A55,TasksTable[Task ID],TasksTable[Start Date],"")),"◆",""))</x:f>
      </x:c>
      <x:c r="AI55" s="90" t="str">
        <x:f>IF($A55="","",IF(AND($G55="Yes",AI$2=XLOOKUP($A55,TasksTable[Task ID],TasksTable[Start Date],"")),"◆",""))</x:f>
      </x:c>
      <x:c r="AJ55" s="90" t="str">
        <x:f>IF($A55="","",IF(AND($G55="Yes",AJ$2=XLOOKUP($A55,TasksTable[Task ID],TasksTable[Start Date],"")),"◆",""))</x:f>
      </x:c>
      <x:c r="AK55" s="90" t="str">
        <x:f>IF($A55="","",IF(AND($G55="Yes",AK$2=XLOOKUP($A55,TasksTable[Task ID],TasksTable[Start Date],"")),"◆",""))</x:f>
      </x:c>
      <x:c r="AL55" s="90" t="str">
        <x:f>IF($A55="","",IF(AND($G55="Yes",AL$2=XLOOKUP($A55,TasksTable[Task ID],TasksTable[Start Date],"")),"◆",""))</x:f>
      </x:c>
      <x:c r="AM55" s="90" t="str">
        <x:f>IF($A55="","",IF(AND($G55="Yes",AM$2=XLOOKUP($A55,TasksTable[Task ID],TasksTable[Start Date],"")),"◆",""))</x:f>
      </x:c>
      <x:c r="AN55" s="90" t="str">
        <x:f>IF($A55="","",IF(AND($G55="Yes",AN$2=XLOOKUP($A55,TasksTable[Task ID],TasksTable[Start Date],"")),"◆",""))</x:f>
      </x:c>
      <x:c r="AO55" s="90" t="str">
        <x:f>IF($A55="","",IF(AND($G55="Yes",AO$2=XLOOKUP($A55,TasksTable[Task ID],TasksTable[Start Date],"")),"◆",""))</x:f>
      </x:c>
    </x:row>
    <x:row r="56">
      <x:c r="A56" s="10" t="str">
        <x:f>IFERROR(INDEX(TasksTable[Task ID],ROWS($A$4:A56)),"")</x:f>
      </x:c>
      <x:c r="B56" s="10" t="str">
        <x:f>IF($A56="","",IFERROR(XLOOKUP($A56,TasksTable[Task ID],TasksTable[Phase],""),""))</x:f>
      </x:c>
      <x:c r="C56" s="10" t="str">
        <x:f>IF($A56="","",IFERROR(XLOOKUP($A56,TasksTable[Task ID],TasksTable[Task Name],""),""))</x:f>
      </x:c>
      <x:c r="D56" s="10" t="str">
        <x:f>IF($A56="","",IFERROR(XLOOKUP($A56,TasksTable[Task ID],TasksTable[Status],""),""))</x:f>
      </x:c>
      <x:c r="E56" s="86" t="str">
        <x:f>IF($A56="","",IFERROR(XLOOKUP($A56,TasksTable[Task ID],TasksTable[Progress %],0),0))</x:f>
      </x:c>
      <x:c r="F56" s="10" t="str">
        <x:f>IF($A56="","",IFERROR(XLOOKUP($A56,TasksTable[Task ID],TasksTable[Schedule Health],""),""))</x:f>
      </x:c>
      <x:c r="G56" s="10" t="str">
        <x:f>IF($A56="","",IFERROR(XLOOKUP($A56,TasksTable[Task ID],TasksTable[Milestone],""),""))</x:f>
      </x:c>
      <x:c r="H56" s="90" t="str">
        <x:f>IF($A56="","",IF(AND($G56="Yes",H$2=XLOOKUP($A56,TasksTable[Task ID],TasksTable[Start Date],"")),"◆",""))</x:f>
      </x:c>
      <x:c r="I56" s="90" t="str">
        <x:f>IF($A56="","",IF(AND($G56="Yes",I$2=XLOOKUP($A56,TasksTable[Task ID],TasksTable[Start Date],"")),"◆",""))</x:f>
      </x:c>
      <x:c r="J56" s="90" t="str">
        <x:f>IF($A56="","",IF(AND($G56="Yes",J$2=XLOOKUP($A56,TasksTable[Task ID],TasksTable[Start Date],"")),"◆",""))</x:f>
      </x:c>
      <x:c r="K56" s="90" t="str">
        <x:f>IF($A56="","",IF(AND($G56="Yes",K$2=XLOOKUP($A56,TasksTable[Task ID],TasksTable[Start Date],"")),"◆",""))</x:f>
      </x:c>
      <x:c r="L56" s="90" t="str">
        <x:f>IF($A56="","",IF(AND($G56="Yes",L$2=XLOOKUP($A56,TasksTable[Task ID],TasksTable[Start Date],"")),"◆",""))</x:f>
      </x:c>
      <x:c r="M56" s="90" t="str">
        <x:f>IF($A56="","",IF(AND($G56="Yes",M$2=XLOOKUP($A56,TasksTable[Task ID],TasksTable[Start Date],"")),"◆",""))</x:f>
      </x:c>
      <x:c r="N56" s="90" t="str">
        <x:f>IF($A56="","",IF(AND($G56="Yes",N$2=XLOOKUP($A56,TasksTable[Task ID],TasksTable[Start Date],"")),"◆",""))</x:f>
      </x:c>
      <x:c r="O56" s="90" t="str">
        <x:f>IF($A56="","",IF(AND($G56="Yes",O$2=XLOOKUP($A56,TasksTable[Task ID],TasksTable[Start Date],"")),"◆",""))</x:f>
      </x:c>
      <x:c r="P56" s="90" t="str">
        <x:f>IF($A56="","",IF(AND($G56="Yes",P$2=XLOOKUP($A56,TasksTable[Task ID],TasksTable[Start Date],"")),"◆",""))</x:f>
      </x:c>
      <x:c r="Q56" s="90" t="str">
        <x:f>IF($A56="","",IF(AND($G56="Yes",Q$2=XLOOKUP($A56,TasksTable[Task ID],TasksTable[Start Date],"")),"◆",""))</x:f>
      </x:c>
      <x:c r="R56" s="90" t="str">
        <x:f>IF($A56="","",IF(AND($G56="Yes",R$2=XLOOKUP($A56,TasksTable[Task ID],TasksTable[Start Date],"")),"◆",""))</x:f>
      </x:c>
      <x:c r="S56" s="90" t="str">
        <x:f>IF($A56="","",IF(AND($G56="Yes",S$2=XLOOKUP($A56,TasksTable[Task ID],TasksTable[Start Date],"")),"◆",""))</x:f>
      </x:c>
      <x:c r="T56" s="90" t="str">
        <x:f>IF($A56="","",IF(AND($G56="Yes",T$2=XLOOKUP($A56,TasksTable[Task ID],TasksTable[Start Date],"")),"◆",""))</x:f>
      </x:c>
      <x:c r="U56" s="90" t="str">
        <x:f>IF($A56="","",IF(AND($G56="Yes",U$2=XLOOKUP($A56,TasksTable[Task ID],TasksTable[Start Date],"")),"◆",""))</x:f>
      </x:c>
      <x:c r="V56" s="90" t="str">
        <x:f>IF($A56="","",IF(AND($G56="Yes",V$2=XLOOKUP($A56,TasksTable[Task ID],TasksTable[Start Date],"")),"◆",""))</x:f>
      </x:c>
      <x:c r="W56" s="90" t="str">
        <x:f>IF($A56="","",IF(AND($G56="Yes",W$2=XLOOKUP($A56,TasksTable[Task ID],TasksTable[Start Date],"")),"◆",""))</x:f>
      </x:c>
      <x:c r="X56" s="90" t="str">
        <x:f>IF($A56="","",IF(AND($G56="Yes",X$2=XLOOKUP($A56,TasksTable[Task ID],TasksTable[Start Date],"")),"◆",""))</x:f>
      </x:c>
      <x:c r="Y56" s="90" t="str">
        <x:f>IF($A56="","",IF(AND($G56="Yes",Y$2=XLOOKUP($A56,TasksTable[Task ID],TasksTable[Start Date],"")),"◆",""))</x:f>
      </x:c>
      <x:c r="Z56" s="90" t="str">
        <x:f>IF($A56="","",IF(AND($G56="Yes",Z$2=XLOOKUP($A56,TasksTable[Task ID],TasksTable[Start Date],"")),"◆",""))</x:f>
      </x:c>
      <x:c r="AA56" s="90" t="str">
        <x:f>IF($A56="","",IF(AND($G56="Yes",AA$2=XLOOKUP($A56,TasksTable[Task ID],TasksTable[Start Date],"")),"◆",""))</x:f>
      </x:c>
      <x:c r="AB56" s="90" t="str">
        <x:f>IF($A56="","",IF(AND($G56="Yes",AB$2=XLOOKUP($A56,TasksTable[Task ID],TasksTable[Start Date],"")),"◆",""))</x:f>
      </x:c>
      <x:c r="AC56" s="90" t="str">
        <x:f>IF($A56="","",IF(AND($G56="Yes",AC$2=XLOOKUP($A56,TasksTable[Task ID],TasksTable[Start Date],"")),"◆",""))</x:f>
      </x:c>
      <x:c r="AD56" s="90" t="str">
        <x:f>IF($A56="","",IF(AND($G56="Yes",AD$2=XLOOKUP($A56,TasksTable[Task ID],TasksTable[Start Date],"")),"◆",""))</x:f>
      </x:c>
      <x:c r="AE56" s="90" t="str">
        <x:f>IF($A56="","",IF(AND($G56="Yes",AE$2=XLOOKUP($A56,TasksTable[Task ID],TasksTable[Start Date],"")),"◆",""))</x:f>
      </x:c>
      <x:c r="AF56" s="90" t="str">
        <x:f>IF($A56="","",IF(AND($G56="Yes",AF$2=XLOOKUP($A56,TasksTable[Task ID],TasksTable[Start Date],"")),"◆",""))</x:f>
      </x:c>
      <x:c r="AG56" s="90" t="str">
        <x:f>IF($A56="","",IF(AND($G56="Yes",AG$2=XLOOKUP($A56,TasksTable[Task ID],TasksTable[Start Date],"")),"◆",""))</x:f>
      </x:c>
      <x:c r="AH56" s="90" t="str">
        <x:f>IF($A56="","",IF(AND($G56="Yes",AH$2=XLOOKUP($A56,TasksTable[Task ID],TasksTable[Start Date],"")),"◆",""))</x:f>
      </x:c>
      <x:c r="AI56" s="90" t="str">
        <x:f>IF($A56="","",IF(AND($G56="Yes",AI$2=XLOOKUP($A56,TasksTable[Task ID],TasksTable[Start Date],"")),"◆",""))</x:f>
      </x:c>
      <x:c r="AJ56" s="90" t="str">
        <x:f>IF($A56="","",IF(AND($G56="Yes",AJ$2=XLOOKUP($A56,TasksTable[Task ID],TasksTable[Start Date],"")),"◆",""))</x:f>
      </x:c>
      <x:c r="AK56" s="90" t="str">
        <x:f>IF($A56="","",IF(AND($G56="Yes",AK$2=XLOOKUP($A56,TasksTable[Task ID],TasksTable[Start Date],"")),"◆",""))</x:f>
      </x:c>
      <x:c r="AL56" s="90" t="str">
        <x:f>IF($A56="","",IF(AND($G56="Yes",AL$2=XLOOKUP($A56,TasksTable[Task ID],TasksTable[Start Date],"")),"◆",""))</x:f>
      </x:c>
      <x:c r="AM56" s="90" t="str">
        <x:f>IF($A56="","",IF(AND($G56="Yes",AM$2=XLOOKUP($A56,TasksTable[Task ID],TasksTable[Start Date],"")),"◆",""))</x:f>
      </x:c>
      <x:c r="AN56" s="90" t="str">
        <x:f>IF($A56="","",IF(AND($G56="Yes",AN$2=XLOOKUP($A56,TasksTable[Task ID],TasksTable[Start Date],"")),"◆",""))</x:f>
      </x:c>
      <x:c r="AO56" s="90" t="str">
        <x:f>IF($A56="","",IF(AND($G56="Yes",AO$2=XLOOKUP($A56,TasksTable[Task ID],TasksTable[Start Date],"")),"◆",""))</x:f>
      </x:c>
    </x:row>
    <x:row r="57">
      <x:c r="A57" s="10" t="str">
        <x:f>IFERROR(INDEX(TasksTable[Task ID],ROWS($A$4:A57)),"")</x:f>
      </x:c>
      <x:c r="B57" s="10" t="str">
        <x:f>IF($A57="","",IFERROR(XLOOKUP($A57,TasksTable[Task ID],TasksTable[Phase],""),""))</x:f>
      </x:c>
      <x:c r="C57" s="10" t="str">
        <x:f>IF($A57="","",IFERROR(XLOOKUP($A57,TasksTable[Task ID],TasksTable[Task Name],""),""))</x:f>
      </x:c>
      <x:c r="D57" s="10" t="str">
        <x:f>IF($A57="","",IFERROR(XLOOKUP($A57,TasksTable[Task ID],TasksTable[Status],""),""))</x:f>
      </x:c>
      <x:c r="E57" s="86" t="str">
        <x:f>IF($A57="","",IFERROR(XLOOKUP($A57,TasksTable[Task ID],TasksTable[Progress %],0),0))</x:f>
      </x:c>
      <x:c r="F57" s="10" t="str">
        <x:f>IF($A57="","",IFERROR(XLOOKUP($A57,TasksTable[Task ID],TasksTable[Schedule Health],""),""))</x:f>
      </x:c>
      <x:c r="G57" s="10" t="str">
        <x:f>IF($A57="","",IFERROR(XLOOKUP($A57,TasksTable[Task ID],TasksTable[Milestone],""),""))</x:f>
      </x:c>
      <x:c r="H57" s="90" t="str">
        <x:f>IF($A57="","",IF(AND($G57="Yes",H$2=XLOOKUP($A57,TasksTable[Task ID],TasksTable[Start Date],"")),"◆",""))</x:f>
      </x:c>
      <x:c r="I57" s="90" t="str">
        <x:f>IF($A57="","",IF(AND($G57="Yes",I$2=XLOOKUP($A57,TasksTable[Task ID],TasksTable[Start Date],"")),"◆",""))</x:f>
      </x:c>
      <x:c r="J57" s="90" t="str">
        <x:f>IF($A57="","",IF(AND($G57="Yes",J$2=XLOOKUP($A57,TasksTable[Task ID],TasksTable[Start Date],"")),"◆",""))</x:f>
      </x:c>
      <x:c r="K57" s="90" t="str">
        <x:f>IF($A57="","",IF(AND($G57="Yes",K$2=XLOOKUP($A57,TasksTable[Task ID],TasksTable[Start Date],"")),"◆",""))</x:f>
      </x:c>
      <x:c r="L57" s="90" t="str">
        <x:f>IF($A57="","",IF(AND($G57="Yes",L$2=XLOOKUP($A57,TasksTable[Task ID],TasksTable[Start Date],"")),"◆",""))</x:f>
      </x:c>
      <x:c r="M57" s="90" t="str">
        <x:f>IF($A57="","",IF(AND($G57="Yes",M$2=XLOOKUP($A57,TasksTable[Task ID],TasksTable[Start Date],"")),"◆",""))</x:f>
      </x:c>
      <x:c r="N57" s="90" t="str">
        <x:f>IF($A57="","",IF(AND($G57="Yes",N$2=XLOOKUP($A57,TasksTable[Task ID],TasksTable[Start Date],"")),"◆",""))</x:f>
      </x:c>
      <x:c r="O57" s="90" t="str">
        <x:f>IF($A57="","",IF(AND($G57="Yes",O$2=XLOOKUP($A57,TasksTable[Task ID],TasksTable[Start Date],"")),"◆",""))</x:f>
      </x:c>
      <x:c r="P57" s="90" t="str">
        <x:f>IF($A57="","",IF(AND($G57="Yes",P$2=XLOOKUP($A57,TasksTable[Task ID],TasksTable[Start Date],"")),"◆",""))</x:f>
      </x:c>
      <x:c r="Q57" s="90" t="str">
        <x:f>IF($A57="","",IF(AND($G57="Yes",Q$2=XLOOKUP($A57,TasksTable[Task ID],TasksTable[Start Date],"")),"◆",""))</x:f>
      </x:c>
      <x:c r="R57" s="90" t="str">
        <x:f>IF($A57="","",IF(AND($G57="Yes",R$2=XLOOKUP($A57,TasksTable[Task ID],TasksTable[Start Date],"")),"◆",""))</x:f>
      </x:c>
      <x:c r="S57" s="90" t="str">
        <x:f>IF($A57="","",IF(AND($G57="Yes",S$2=XLOOKUP($A57,TasksTable[Task ID],TasksTable[Start Date],"")),"◆",""))</x:f>
      </x:c>
      <x:c r="T57" s="90" t="str">
        <x:f>IF($A57="","",IF(AND($G57="Yes",T$2=XLOOKUP($A57,TasksTable[Task ID],TasksTable[Start Date],"")),"◆",""))</x:f>
      </x:c>
      <x:c r="U57" s="90" t="str">
        <x:f>IF($A57="","",IF(AND($G57="Yes",U$2=XLOOKUP($A57,TasksTable[Task ID],TasksTable[Start Date],"")),"◆",""))</x:f>
      </x:c>
      <x:c r="V57" s="90" t="str">
        <x:f>IF($A57="","",IF(AND($G57="Yes",V$2=XLOOKUP($A57,TasksTable[Task ID],TasksTable[Start Date],"")),"◆",""))</x:f>
      </x:c>
      <x:c r="W57" s="90" t="str">
        <x:f>IF($A57="","",IF(AND($G57="Yes",W$2=XLOOKUP($A57,TasksTable[Task ID],TasksTable[Start Date],"")),"◆",""))</x:f>
      </x:c>
      <x:c r="X57" s="90" t="str">
        <x:f>IF($A57="","",IF(AND($G57="Yes",X$2=XLOOKUP($A57,TasksTable[Task ID],TasksTable[Start Date],"")),"◆",""))</x:f>
      </x:c>
      <x:c r="Y57" s="90" t="str">
        <x:f>IF($A57="","",IF(AND($G57="Yes",Y$2=XLOOKUP($A57,TasksTable[Task ID],TasksTable[Start Date],"")),"◆",""))</x:f>
      </x:c>
      <x:c r="Z57" s="90" t="str">
        <x:f>IF($A57="","",IF(AND($G57="Yes",Z$2=XLOOKUP($A57,TasksTable[Task ID],TasksTable[Start Date],"")),"◆",""))</x:f>
      </x:c>
      <x:c r="AA57" s="90" t="str">
        <x:f>IF($A57="","",IF(AND($G57="Yes",AA$2=XLOOKUP($A57,TasksTable[Task ID],TasksTable[Start Date],"")),"◆",""))</x:f>
      </x:c>
      <x:c r="AB57" s="90" t="str">
        <x:f>IF($A57="","",IF(AND($G57="Yes",AB$2=XLOOKUP($A57,TasksTable[Task ID],TasksTable[Start Date],"")),"◆",""))</x:f>
      </x:c>
      <x:c r="AC57" s="90" t="str">
        <x:f>IF($A57="","",IF(AND($G57="Yes",AC$2=XLOOKUP($A57,TasksTable[Task ID],TasksTable[Start Date],"")),"◆",""))</x:f>
      </x:c>
      <x:c r="AD57" s="90" t="str">
        <x:f>IF($A57="","",IF(AND($G57="Yes",AD$2=XLOOKUP($A57,TasksTable[Task ID],TasksTable[Start Date],"")),"◆",""))</x:f>
      </x:c>
      <x:c r="AE57" s="90" t="str">
        <x:f>IF($A57="","",IF(AND($G57="Yes",AE$2=XLOOKUP($A57,TasksTable[Task ID],TasksTable[Start Date],"")),"◆",""))</x:f>
      </x:c>
      <x:c r="AF57" s="90" t="str">
        <x:f>IF($A57="","",IF(AND($G57="Yes",AF$2=XLOOKUP($A57,TasksTable[Task ID],TasksTable[Start Date],"")),"◆",""))</x:f>
      </x:c>
      <x:c r="AG57" s="90" t="str">
        <x:f>IF($A57="","",IF(AND($G57="Yes",AG$2=XLOOKUP($A57,TasksTable[Task ID],TasksTable[Start Date],"")),"◆",""))</x:f>
      </x:c>
      <x:c r="AH57" s="90" t="str">
        <x:f>IF($A57="","",IF(AND($G57="Yes",AH$2=XLOOKUP($A57,TasksTable[Task ID],TasksTable[Start Date],"")),"◆",""))</x:f>
      </x:c>
      <x:c r="AI57" s="90" t="str">
        <x:f>IF($A57="","",IF(AND($G57="Yes",AI$2=XLOOKUP($A57,TasksTable[Task ID],TasksTable[Start Date],"")),"◆",""))</x:f>
      </x:c>
      <x:c r="AJ57" s="90" t="str">
        <x:f>IF($A57="","",IF(AND($G57="Yes",AJ$2=XLOOKUP($A57,TasksTable[Task ID],TasksTable[Start Date],"")),"◆",""))</x:f>
      </x:c>
      <x:c r="AK57" s="90" t="str">
        <x:f>IF($A57="","",IF(AND($G57="Yes",AK$2=XLOOKUP($A57,TasksTable[Task ID],TasksTable[Start Date],"")),"◆",""))</x:f>
      </x:c>
      <x:c r="AL57" s="90" t="str">
        <x:f>IF($A57="","",IF(AND($G57="Yes",AL$2=XLOOKUP($A57,TasksTable[Task ID],TasksTable[Start Date],"")),"◆",""))</x:f>
      </x:c>
      <x:c r="AM57" s="90" t="str">
        <x:f>IF($A57="","",IF(AND($G57="Yes",AM$2=XLOOKUP($A57,TasksTable[Task ID],TasksTable[Start Date],"")),"◆",""))</x:f>
      </x:c>
      <x:c r="AN57" s="90" t="str">
        <x:f>IF($A57="","",IF(AND($G57="Yes",AN$2=XLOOKUP($A57,TasksTable[Task ID],TasksTable[Start Date],"")),"◆",""))</x:f>
      </x:c>
      <x:c r="AO57" s="90" t="str">
        <x:f>IF($A57="","",IF(AND($G57="Yes",AO$2=XLOOKUP($A57,TasksTable[Task ID],TasksTable[Start Date],"")),"◆",""))</x:f>
      </x:c>
    </x:row>
    <x:row r="58">
      <x:c r="A58" s="10" t="str">
        <x:f>IFERROR(INDEX(TasksTable[Task ID],ROWS($A$4:A58)),"")</x:f>
      </x:c>
      <x:c r="B58" s="10" t="str">
        <x:f>IF($A58="","",IFERROR(XLOOKUP($A58,TasksTable[Task ID],TasksTable[Phase],""),""))</x:f>
      </x:c>
      <x:c r="C58" s="10" t="str">
        <x:f>IF($A58="","",IFERROR(XLOOKUP($A58,TasksTable[Task ID],TasksTable[Task Name],""),""))</x:f>
      </x:c>
      <x:c r="D58" s="10" t="str">
        <x:f>IF($A58="","",IFERROR(XLOOKUP($A58,TasksTable[Task ID],TasksTable[Status],""),""))</x:f>
      </x:c>
      <x:c r="E58" s="86" t="str">
        <x:f>IF($A58="","",IFERROR(XLOOKUP($A58,TasksTable[Task ID],TasksTable[Progress %],0),0))</x:f>
      </x:c>
      <x:c r="F58" s="10" t="str">
        <x:f>IF($A58="","",IFERROR(XLOOKUP($A58,TasksTable[Task ID],TasksTable[Schedule Health],""),""))</x:f>
      </x:c>
      <x:c r="G58" s="10" t="str">
        <x:f>IF($A58="","",IFERROR(XLOOKUP($A58,TasksTable[Task ID],TasksTable[Milestone],""),""))</x:f>
      </x:c>
      <x:c r="H58" s="90" t="str">
        <x:f>IF($A58="","",IF(AND($G58="Yes",H$2=XLOOKUP($A58,TasksTable[Task ID],TasksTable[Start Date],"")),"◆",""))</x:f>
      </x:c>
      <x:c r="I58" s="90" t="str">
        <x:f>IF($A58="","",IF(AND($G58="Yes",I$2=XLOOKUP($A58,TasksTable[Task ID],TasksTable[Start Date],"")),"◆",""))</x:f>
      </x:c>
      <x:c r="J58" s="90" t="str">
        <x:f>IF($A58="","",IF(AND($G58="Yes",J$2=XLOOKUP($A58,TasksTable[Task ID],TasksTable[Start Date],"")),"◆",""))</x:f>
      </x:c>
      <x:c r="K58" s="90" t="str">
        <x:f>IF($A58="","",IF(AND($G58="Yes",K$2=XLOOKUP($A58,TasksTable[Task ID],TasksTable[Start Date],"")),"◆",""))</x:f>
      </x:c>
      <x:c r="L58" s="90" t="str">
        <x:f>IF($A58="","",IF(AND($G58="Yes",L$2=XLOOKUP($A58,TasksTable[Task ID],TasksTable[Start Date],"")),"◆",""))</x:f>
      </x:c>
      <x:c r="M58" s="90" t="str">
        <x:f>IF($A58="","",IF(AND($G58="Yes",M$2=XLOOKUP($A58,TasksTable[Task ID],TasksTable[Start Date],"")),"◆",""))</x:f>
      </x:c>
      <x:c r="N58" s="90" t="str">
        <x:f>IF($A58="","",IF(AND($G58="Yes",N$2=XLOOKUP($A58,TasksTable[Task ID],TasksTable[Start Date],"")),"◆",""))</x:f>
      </x:c>
      <x:c r="O58" s="90" t="str">
        <x:f>IF($A58="","",IF(AND($G58="Yes",O$2=XLOOKUP($A58,TasksTable[Task ID],TasksTable[Start Date],"")),"◆",""))</x:f>
      </x:c>
      <x:c r="P58" s="90" t="str">
        <x:f>IF($A58="","",IF(AND($G58="Yes",P$2=XLOOKUP($A58,TasksTable[Task ID],TasksTable[Start Date],"")),"◆",""))</x:f>
      </x:c>
      <x:c r="Q58" s="90" t="str">
        <x:f>IF($A58="","",IF(AND($G58="Yes",Q$2=XLOOKUP($A58,TasksTable[Task ID],TasksTable[Start Date],"")),"◆",""))</x:f>
      </x:c>
      <x:c r="R58" s="90" t="str">
        <x:f>IF($A58="","",IF(AND($G58="Yes",R$2=XLOOKUP($A58,TasksTable[Task ID],TasksTable[Start Date],"")),"◆",""))</x:f>
      </x:c>
      <x:c r="S58" s="90" t="str">
        <x:f>IF($A58="","",IF(AND($G58="Yes",S$2=XLOOKUP($A58,TasksTable[Task ID],TasksTable[Start Date],"")),"◆",""))</x:f>
      </x:c>
      <x:c r="T58" s="90" t="str">
        <x:f>IF($A58="","",IF(AND($G58="Yes",T$2=XLOOKUP($A58,TasksTable[Task ID],TasksTable[Start Date],"")),"◆",""))</x:f>
      </x:c>
      <x:c r="U58" s="90" t="str">
        <x:f>IF($A58="","",IF(AND($G58="Yes",U$2=XLOOKUP($A58,TasksTable[Task ID],TasksTable[Start Date],"")),"◆",""))</x:f>
      </x:c>
      <x:c r="V58" s="90" t="str">
        <x:f>IF($A58="","",IF(AND($G58="Yes",V$2=XLOOKUP($A58,TasksTable[Task ID],TasksTable[Start Date],"")),"◆",""))</x:f>
      </x:c>
      <x:c r="W58" s="90" t="str">
        <x:f>IF($A58="","",IF(AND($G58="Yes",W$2=XLOOKUP($A58,TasksTable[Task ID],TasksTable[Start Date],"")),"◆",""))</x:f>
      </x:c>
      <x:c r="X58" s="90" t="str">
        <x:f>IF($A58="","",IF(AND($G58="Yes",X$2=XLOOKUP($A58,TasksTable[Task ID],TasksTable[Start Date],"")),"◆",""))</x:f>
      </x:c>
      <x:c r="Y58" s="90" t="str">
        <x:f>IF($A58="","",IF(AND($G58="Yes",Y$2=XLOOKUP($A58,TasksTable[Task ID],TasksTable[Start Date],"")),"◆",""))</x:f>
      </x:c>
      <x:c r="Z58" s="90" t="str">
        <x:f>IF($A58="","",IF(AND($G58="Yes",Z$2=XLOOKUP($A58,TasksTable[Task ID],TasksTable[Start Date],"")),"◆",""))</x:f>
      </x:c>
      <x:c r="AA58" s="90" t="str">
        <x:f>IF($A58="","",IF(AND($G58="Yes",AA$2=XLOOKUP($A58,TasksTable[Task ID],TasksTable[Start Date],"")),"◆",""))</x:f>
      </x:c>
      <x:c r="AB58" s="90" t="str">
        <x:f>IF($A58="","",IF(AND($G58="Yes",AB$2=XLOOKUP($A58,TasksTable[Task ID],TasksTable[Start Date],"")),"◆",""))</x:f>
      </x:c>
      <x:c r="AC58" s="90" t="str">
        <x:f>IF($A58="","",IF(AND($G58="Yes",AC$2=XLOOKUP($A58,TasksTable[Task ID],TasksTable[Start Date],"")),"◆",""))</x:f>
      </x:c>
      <x:c r="AD58" s="90" t="str">
        <x:f>IF($A58="","",IF(AND($G58="Yes",AD$2=XLOOKUP($A58,TasksTable[Task ID],TasksTable[Start Date],"")),"◆",""))</x:f>
      </x:c>
      <x:c r="AE58" s="90" t="str">
        <x:f>IF($A58="","",IF(AND($G58="Yes",AE$2=XLOOKUP($A58,TasksTable[Task ID],TasksTable[Start Date],"")),"◆",""))</x:f>
      </x:c>
      <x:c r="AF58" s="90" t="str">
        <x:f>IF($A58="","",IF(AND($G58="Yes",AF$2=XLOOKUP($A58,TasksTable[Task ID],TasksTable[Start Date],"")),"◆",""))</x:f>
      </x:c>
      <x:c r="AG58" s="90" t="str">
        <x:f>IF($A58="","",IF(AND($G58="Yes",AG$2=XLOOKUP($A58,TasksTable[Task ID],TasksTable[Start Date],"")),"◆",""))</x:f>
      </x:c>
      <x:c r="AH58" s="90" t="str">
        <x:f>IF($A58="","",IF(AND($G58="Yes",AH$2=XLOOKUP($A58,TasksTable[Task ID],TasksTable[Start Date],"")),"◆",""))</x:f>
      </x:c>
      <x:c r="AI58" s="90" t="str">
        <x:f>IF($A58="","",IF(AND($G58="Yes",AI$2=XLOOKUP($A58,TasksTable[Task ID],TasksTable[Start Date],"")),"◆",""))</x:f>
      </x:c>
      <x:c r="AJ58" s="90" t="str">
        <x:f>IF($A58="","",IF(AND($G58="Yes",AJ$2=XLOOKUP($A58,TasksTable[Task ID],TasksTable[Start Date],"")),"◆",""))</x:f>
      </x:c>
      <x:c r="AK58" s="90" t="str">
        <x:f>IF($A58="","",IF(AND($G58="Yes",AK$2=XLOOKUP($A58,TasksTable[Task ID],TasksTable[Start Date],"")),"◆",""))</x:f>
      </x:c>
      <x:c r="AL58" s="90" t="str">
        <x:f>IF($A58="","",IF(AND($G58="Yes",AL$2=XLOOKUP($A58,TasksTable[Task ID],TasksTable[Start Date],"")),"◆",""))</x:f>
      </x:c>
      <x:c r="AM58" s="90" t="str">
        <x:f>IF($A58="","",IF(AND($G58="Yes",AM$2=XLOOKUP($A58,TasksTable[Task ID],TasksTable[Start Date],"")),"◆",""))</x:f>
      </x:c>
      <x:c r="AN58" s="90" t="str">
        <x:f>IF($A58="","",IF(AND($G58="Yes",AN$2=XLOOKUP($A58,TasksTable[Task ID],TasksTable[Start Date],"")),"◆",""))</x:f>
      </x:c>
      <x:c r="AO58" s="90" t="str">
        <x:f>IF($A58="","",IF(AND($G58="Yes",AO$2=XLOOKUP($A58,TasksTable[Task ID],TasksTable[Start Date],"")),"◆",""))</x:f>
      </x:c>
    </x:row>
    <x:row r="59">
      <x:c r="A59" s="10" t="str">
        <x:f>IFERROR(INDEX(TasksTable[Task ID],ROWS($A$4:A59)),"")</x:f>
      </x:c>
      <x:c r="B59" s="10" t="str">
        <x:f>IF($A59="","",IFERROR(XLOOKUP($A59,TasksTable[Task ID],TasksTable[Phase],""),""))</x:f>
      </x:c>
      <x:c r="C59" s="10" t="str">
        <x:f>IF($A59="","",IFERROR(XLOOKUP($A59,TasksTable[Task ID],TasksTable[Task Name],""),""))</x:f>
      </x:c>
      <x:c r="D59" s="10" t="str">
        <x:f>IF($A59="","",IFERROR(XLOOKUP($A59,TasksTable[Task ID],TasksTable[Status],""),""))</x:f>
      </x:c>
      <x:c r="E59" s="86" t="str">
        <x:f>IF($A59="","",IFERROR(XLOOKUP($A59,TasksTable[Task ID],TasksTable[Progress %],0),0))</x:f>
      </x:c>
      <x:c r="F59" s="10" t="str">
        <x:f>IF($A59="","",IFERROR(XLOOKUP($A59,TasksTable[Task ID],TasksTable[Schedule Health],""),""))</x:f>
      </x:c>
      <x:c r="G59" s="10" t="str">
        <x:f>IF($A59="","",IFERROR(XLOOKUP($A59,TasksTable[Task ID],TasksTable[Milestone],""),""))</x:f>
      </x:c>
      <x:c r="H59" s="90" t="str">
        <x:f>IF($A59="","",IF(AND($G59="Yes",H$2=XLOOKUP($A59,TasksTable[Task ID],TasksTable[Start Date],"")),"◆",""))</x:f>
      </x:c>
      <x:c r="I59" s="90" t="str">
        <x:f>IF($A59="","",IF(AND($G59="Yes",I$2=XLOOKUP($A59,TasksTable[Task ID],TasksTable[Start Date],"")),"◆",""))</x:f>
      </x:c>
      <x:c r="J59" s="90" t="str">
        <x:f>IF($A59="","",IF(AND($G59="Yes",J$2=XLOOKUP($A59,TasksTable[Task ID],TasksTable[Start Date],"")),"◆",""))</x:f>
      </x:c>
      <x:c r="K59" s="90" t="str">
        <x:f>IF($A59="","",IF(AND($G59="Yes",K$2=XLOOKUP($A59,TasksTable[Task ID],TasksTable[Start Date],"")),"◆",""))</x:f>
      </x:c>
      <x:c r="L59" s="90" t="str">
        <x:f>IF($A59="","",IF(AND($G59="Yes",L$2=XLOOKUP($A59,TasksTable[Task ID],TasksTable[Start Date],"")),"◆",""))</x:f>
      </x:c>
      <x:c r="M59" s="90" t="str">
        <x:f>IF($A59="","",IF(AND($G59="Yes",M$2=XLOOKUP($A59,TasksTable[Task ID],TasksTable[Start Date],"")),"◆",""))</x:f>
      </x:c>
      <x:c r="N59" s="90" t="str">
        <x:f>IF($A59="","",IF(AND($G59="Yes",N$2=XLOOKUP($A59,TasksTable[Task ID],TasksTable[Start Date],"")),"◆",""))</x:f>
      </x:c>
      <x:c r="O59" s="90" t="str">
        <x:f>IF($A59="","",IF(AND($G59="Yes",O$2=XLOOKUP($A59,TasksTable[Task ID],TasksTable[Start Date],"")),"◆",""))</x:f>
      </x:c>
      <x:c r="P59" s="90" t="str">
        <x:f>IF($A59="","",IF(AND($G59="Yes",P$2=XLOOKUP($A59,TasksTable[Task ID],TasksTable[Start Date],"")),"◆",""))</x:f>
      </x:c>
      <x:c r="Q59" s="90" t="str">
        <x:f>IF($A59="","",IF(AND($G59="Yes",Q$2=XLOOKUP($A59,TasksTable[Task ID],TasksTable[Start Date],"")),"◆",""))</x:f>
      </x:c>
      <x:c r="R59" s="90" t="str">
        <x:f>IF($A59="","",IF(AND($G59="Yes",R$2=XLOOKUP($A59,TasksTable[Task ID],TasksTable[Start Date],"")),"◆",""))</x:f>
      </x:c>
      <x:c r="S59" s="90" t="str">
        <x:f>IF($A59="","",IF(AND($G59="Yes",S$2=XLOOKUP($A59,TasksTable[Task ID],TasksTable[Start Date],"")),"◆",""))</x:f>
      </x:c>
      <x:c r="T59" s="90" t="str">
        <x:f>IF($A59="","",IF(AND($G59="Yes",T$2=XLOOKUP($A59,TasksTable[Task ID],TasksTable[Start Date],"")),"◆",""))</x:f>
      </x:c>
      <x:c r="U59" s="90" t="str">
        <x:f>IF($A59="","",IF(AND($G59="Yes",U$2=XLOOKUP($A59,TasksTable[Task ID],TasksTable[Start Date],"")),"◆",""))</x:f>
      </x:c>
      <x:c r="V59" s="90" t="str">
        <x:f>IF($A59="","",IF(AND($G59="Yes",V$2=XLOOKUP($A59,TasksTable[Task ID],TasksTable[Start Date],"")),"◆",""))</x:f>
      </x:c>
      <x:c r="W59" s="90" t="str">
        <x:f>IF($A59="","",IF(AND($G59="Yes",W$2=XLOOKUP($A59,TasksTable[Task ID],TasksTable[Start Date],"")),"◆",""))</x:f>
      </x:c>
      <x:c r="X59" s="90" t="str">
        <x:f>IF($A59="","",IF(AND($G59="Yes",X$2=XLOOKUP($A59,TasksTable[Task ID],TasksTable[Start Date],"")),"◆",""))</x:f>
      </x:c>
      <x:c r="Y59" s="90" t="str">
        <x:f>IF($A59="","",IF(AND($G59="Yes",Y$2=XLOOKUP($A59,TasksTable[Task ID],TasksTable[Start Date],"")),"◆",""))</x:f>
      </x:c>
      <x:c r="Z59" s="90" t="str">
        <x:f>IF($A59="","",IF(AND($G59="Yes",Z$2=XLOOKUP($A59,TasksTable[Task ID],TasksTable[Start Date],"")),"◆",""))</x:f>
      </x:c>
      <x:c r="AA59" s="90" t="str">
        <x:f>IF($A59="","",IF(AND($G59="Yes",AA$2=XLOOKUP($A59,TasksTable[Task ID],TasksTable[Start Date],"")),"◆",""))</x:f>
      </x:c>
      <x:c r="AB59" s="90" t="str">
        <x:f>IF($A59="","",IF(AND($G59="Yes",AB$2=XLOOKUP($A59,TasksTable[Task ID],TasksTable[Start Date],"")),"◆",""))</x:f>
      </x:c>
      <x:c r="AC59" s="90" t="str">
        <x:f>IF($A59="","",IF(AND($G59="Yes",AC$2=XLOOKUP($A59,TasksTable[Task ID],TasksTable[Start Date],"")),"◆",""))</x:f>
      </x:c>
      <x:c r="AD59" s="90" t="str">
        <x:f>IF($A59="","",IF(AND($G59="Yes",AD$2=XLOOKUP($A59,TasksTable[Task ID],TasksTable[Start Date],"")),"◆",""))</x:f>
      </x:c>
      <x:c r="AE59" s="90" t="str">
        <x:f>IF($A59="","",IF(AND($G59="Yes",AE$2=XLOOKUP($A59,TasksTable[Task ID],TasksTable[Start Date],"")),"◆",""))</x:f>
      </x:c>
      <x:c r="AF59" s="90" t="str">
        <x:f>IF($A59="","",IF(AND($G59="Yes",AF$2=XLOOKUP($A59,TasksTable[Task ID],TasksTable[Start Date],"")),"◆",""))</x:f>
      </x:c>
      <x:c r="AG59" s="90" t="str">
        <x:f>IF($A59="","",IF(AND($G59="Yes",AG$2=XLOOKUP($A59,TasksTable[Task ID],TasksTable[Start Date],"")),"◆",""))</x:f>
      </x:c>
      <x:c r="AH59" s="90" t="str">
        <x:f>IF($A59="","",IF(AND($G59="Yes",AH$2=XLOOKUP($A59,TasksTable[Task ID],TasksTable[Start Date],"")),"◆",""))</x:f>
      </x:c>
      <x:c r="AI59" s="90" t="str">
        <x:f>IF($A59="","",IF(AND($G59="Yes",AI$2=XLOOKUP($A59,TasksTable[Task ID],TasksTable[Start Date],"")),"◆",""))</x:f>
      </x:c>
      <x:c r="AJ59" s="90" t="str">
        <x:f>IF($A59="","",IF(AND($G59="Yes",AJ$2=XLOOKUP($A59,TasksTable[Task ID],TasksTable[Start Date],"")),"◆",""))</x:f>
      </x:c>
      <x:c r="AK59" s="90" t="str">
        <x:f>IF($A59="","",IF(AND($G59="Yes",AK$2=XLOOKUP($A59,TasksTable[Task ID],TasksTable[Start Date],"")),"◆",""))</x:f>
      </x:c>
      <x:c r="AL59" s="90" t="str">
        <x:f>IF($A59="","",IF(AND($G59="Yes",AL$2=XLOOKUP($A59,TasksTable[Task ID],TasksTable[Start Date],"")),"◆",""))</x:f>
      </x:c>
      <x:c r="AM59" s="90" t="str">
        <x:f>IF($A59="","",IF(AND($G59="Yes",AM$2=XLOOKUP($A59,TasksTable[Task ID],TasksTable[Start Date],"")),"◆",""))</x:f>
      </x:c>
      <x:c r="AN59" s="90" t="str">
        <x:f>IF($A59="","",IF(AND($G59="Yes",AN$2=XLOOKUP($A59,TasksTable[Task ID],TasksTable[Start Date],"")),"◆",""))</x:f>
      </x:c>
      <x:c r="AO59" s="90" t="str">
        <x:f>IF($A59="","",IF(AND($G59="Yes",AO$2=XLOOKUP($A59,TasksTable[Task ID],TasksTable[Start Date],"")),"◆",""))</x:f>
      </x:c>
    </x:row>
    <x:row r="60">
      <x:c r="A60" s="10" t="str">
        <x:f>IFERROR(INDEX(TasksTable[Task ID],ROWS($A$4:A60)),"")</x:f>
      </x:c>
      <x:c r="B60" s="10" t="str">
        <x:f>IF($A60="","",IFERROR(XLOOKUP($A60,TasksTable[Task ID],TasksTable[Phase],""),""))</x:f>
      </x:c>
      <x:c r="C60" s="10" t="str">
        <x:f>IF($A60="","",IFERROR(XLOOKUP($A60,TasksTable[Task ID],TasksTable[Task Name],""),""))</x:f>
      </x:c>
      <x:c r="D60" s="10" t="str">
        <x:f>IF($A60="","",IFERROR(XLOOKUP($A60,TasksTable[Task ID],TasksTable[Status],""),""))</x:f>
      </x:c>
      <x:c r="E60" s="86" t="str">
        <x:f>IF($A60="","",IFERROR(XLOOKUP($A60,TasksTable[Task ID],TasksTable[Progress %],0),0))</x:f>
      </x:c>
      <x:c r="F60" s="10" t="str">
        <x:f>IF($A60="","",IFERROR(XLOOKUP($A60,TasksTable[Task ID],TasksTable[Schedule Health],""),""))</x:f>
      </x:c>
      <x:c r="G60" s="10" t="str">
        <x:f>IF($A60="","",IFERROR(XLOOKUP($A60,TasksTable[Task ID],TasksTable[Milestone],""),""))</x:f>
      </x:c>
      <x:c r="H60" s="90" t="str">
        <x:f>IF($A60="","",IF(AND($G60="Yes",H$2=XLOOKUP($A60,TasksTable[Task ID],TasksTable[Start Date],"")),"◆",""))</x:f>
      </x:c>
      <x:c r="I60" s="90" t="str">
        <x:f>IF($A60="","",IF(AND($G60="Yes",I$2=XLOOKUP($A60,TasksTable[Task ID],TasksTable[Start Date],"")),"◆",""))</x:f>
      </x:c>
      <x:c r="J60" s="90" t="str">
        <x:f>IF($A60="","",IF(AND($G60="Yes",J$2=XLOOKUP($A60,TasksTable[Task ID],TasksTable[Start Date],"")),"◆",""))</x:f>
      </x:c>
      <x:c r="K60" s="90" t="str">
        <x:f>IF($A60="","",IF(AND($G60="Yes",K$2=XLOOKUP($A60,TasksTable[Task ID],TasksTable[Start Date],"")),"◆",""))</x:f>
      </x:c>
      <x:c r="L60" s="90" t="str">
        <x:f>IF($A60="","",IF(AND($G60="Yes",L$2=XLOOKUP($A60,TasksTable[Task ID],TasksTable[Start Date],"")),"◆",""))</x:f>
      </x:c>
      <x:c r="M60" s="90" t="str">
        <x:f>IF($A60="","",IF(AND($G60="Yes",M$2=XLOOKUP($A60,TasksTable[Task ID],TasksTable[Start Date],"")),"◆",""))</x:f>
      </x:c>
      <x:c r="N60" s="90" t="str">
        <x:f>IF($A60="","",IF(AND($G60="Yes",N$2=XLOOKUP($A60,TasksTable[Task ID],TasksTable[Start Date],"")),"◆",""))</x:f>
      </x:c>
      <x:c r="O60" s="90" t="str">
        <x:f>IF($A60="","",IF(AND($G60="Yes",O$2=XLOOKUP($A60,TasksTable[Task ID],TasksTable[Start Date],"")),"◆",""))</x:f>
      </x:c>
      <x:c r="P60" s="90" t="str">
        <x:f>IF($A60="","",IF(AND($G60="Yes",P$2=XLOOKUP($A60,TasksTable[Task ID],TasksTable[Start Date],"")),"◆",""))</x:f>
      </x:c>
      <x:c r="Q60" s="90" t="str">
        <x:f>IF($A60="","",IF(AND($G60="Yes",Q$2=XLOOKUP($A60,TasksTable[Task ID],TasksTable[Start Date],"")),"◆",""))</x:f>
      </x:c>
      <x:c r="R60" s="90" t="str">
        <x:f>IF($A60="","",IF(AND($G60="Yes",R$2=XLOOKUP($A60,TasksTable[Task ID],TasksTable[Start Date],"")),"◆",""))</x:f>
      </x:c>
      <x:c r="S60" s="90" t="str">
        <x:f>IF($A60="","",IF(AND($G60="Yes",S$2=XLOOKUP($A60,TasksTable[Task ID],TasksTable[Start Date],"")),"◆",""))</x:f>
      </x:c>
      <x:c r="T60" s="90" t="str">
        <x:f>IF($A60="","",IF(AND($G60="Yes",T$2=XLOOKUP($A60,TasksTable[Task ID],TasksTable[Start Date],"")),"◆",""))</x:f>
      </x:c>
      <x:c r="U60" s="90" t="str">
        <x:f>IF($A60="","",IF(AND($G60="Yes",U$2=XLOOKUP($A60,TasksTable[Task ID],TasksTable[Start Date],"")),"◆",""))</x:f>
      </x:c>
      <x:c r="V60" s="90" t="str">
        <x:f>IF($A60="","",IF(AND($G60="Yes",V$2=XLOOKUP($A60,TasksTable[Task ID],TasksTable[Start Date],"")),"◆",""))</x:f>
      </x:c>
      <x:c r="W60" s="90" t="str">
        <x:f>IF($A60="","",IF(AND($G60="Yes",W$2=XLOOKUP($A60,TasksTable[Task ID],TasksTable[Start Date],"")),"◆",""))</x:f>
      </x:c>
      <x:c r="X60" s="90" t="str">
        <x:f>IF($A60="","",IF(AND($G60="Yes",X$2=XLOOKUP($A60,TasksTable[Task ID],TasksTable[Start Date],"")),"◆",""))</x:f>
      </x:c>
      <x:c r="Y60" s="90" t="str">
        <x:f>IF($A60="","",IF(AND($G60="Yes",Y$2=XLOOKUP($A60,TasksTable[Task ID],TasksTable[Start Date],"")),"◆",""))</x:f>
      </x:c>
      <x:c r="Z60" s="90" t="str">
        <x:f>IF($A60="","",IF(AND($G60="Yes",Z$2=XLOOKUP($A60,TasksTable[Task ID],TasksTable[Start Date],"")),"◆",""))</x:f>
      </x:c>
      <x:c r="AA60" s="90" t="str">
        <x:f>IF($A60="","",IF(AND($G60="Yes",AA$2=XLOOKUP($A60,TasksTable[Task ID],TasksTable[Start Date],"")),"◆",""))</x:f>
      </x:c>
      <x:c r="AB60" s="90" t="str">
        <x:f>IF($A60="","",IF(AND($G60="Yes",AB$2=XLOOKUP($A60,TasksTable[Task ID],TasksTable[Start Date],"")),"◆",""))</x:f>
      </x:c>
      <x:c r="AC60" s="90" t="str">
        <x:f>IF($A60="","",IF(AND($G60="Yes",AC$2=XLOOKUP($A60,TasksTable[Task ID],TasksTable[Start Date],"")),"◆",""))</x:f>
      </x:c>
      <x:c r="AD60" s="90" t="str">
        <x:f>IF($A60="","",IF(AND($G60="Yes",AD$2=XLOOKUP($A60,TasksTable[Task ID],TasksTable[Start Date],"")),"◆",""))</x:f>
      </x:c>
      <x:c r="AE60" s="90" t="str">
        <x:f>IF($A60="","",IF(AND($G60="Yes",AE$2=XLOOKUP($A60,TasksTable[Task ID],TasksTable[Start Date],"")),"◆",""))</x:f>
      </x:c>
      <x:c r="AF60" s="90" t="str">
        <x:f>IF($A60="","",IF(AND($G60="Yes",AF$2=XLOOKUP($A60,TasksTable[Task ID],TasksTable[Start Date],"")),"◆",""))</x:f>
      </x:c>
      <x:c r="AG60" s="90" t="str">
        <x:f>IF($A60="","",IF(AND($G60="Yes",AG$2=XLOOKUP($A60,TasksTable[Task ID],TasksTable[Start Date],"")),"◆",""))</x:f>
      </x:c>
      <x:c r="AH60" s="90" t="str">
        <x:f>IF($A60="","",IF(AND($G60="Yes",AH$2=XLOOKUP($A60,TasksTable[Task ID],TasksTable[Start Date],"")),"◆",""))</x:f>
      </x:c>
      <x:c r="AI60" s="90" t="str">
        <x:f>IF($A60="","",IF(AND($G60="Yes",AI$2=XLOOKUP($A60,TasksTable[Task ID],TasksTable[Start Date],"")),"◆",""))</x:f>
      </x:c>
      <x:c r="AJ60" s="90" t="str">
        <x:f>IF($A60="","",IF(AND($G60="Yes",AJ$2=XLOOKUP($A60,TasksTable[Task ID],TasksTable[Start Date],"")),"◆",""))</x:f>
      </x:c>
      <x:c r="AK60" s="90" t="str">
        <x:f>IF($A60="","",IF(AND($G60="Yes",AK$2=XLOOKUP($A60,TasksTable[Task ID],TasksTable[Start Date],"")),"◆",""))</x:f>
      </x:c>
      <x:c r="AL60" s="90" t="str">
        <x:f>IF($A60="","",IF(AND($G60="Yes",AL$2=XLOOKUP($A60,TasksTable[Task ID],TasksTable[Start Date],"")),"◆",""))</x:f>
      </x:c>
      <x:c r="AM60" s="90" t="str">
        <x:f>IF($A60="","",IF(AND($G60="Yes",AM$2=XLOOKUP($A60,TasksTable[Task ID],TasksTable[Start Date],"")),"◆",""))</x:f>
      </x:c>
      <x:c r="AN60" s="90" t="str">
        <x:f>IF($A60="","",IF(AND($G60="Yes",AN$2=XLOOKUP($A60,TasksTable[Task ID],TasksTable[Start Date],"")),"◆",""))</x:f>
      </x:c>
      <x:c r="AO60" s="90" t="str">
        <x:f>IF($A60="","",IF(AND($G60="Yes",AO$2=XLOOKUP($A60,TasksTable[Task ID],TasksTable[Start Date],"")),"◆",""))</x:f>
      </x:c>
    </x:row>
    <x:row r="61">
      <x:c r="A61" s="10" t="str">
        <x:f>IFERROR(INDEX(TasksTable[Task ID],ROWS($A$4:A61)),"")</x:f>
      </x:c>
      <x:c r="B61" s="10" t="str">
        <x:f>IF($A61="","",IFERROR(XLOOKUP($A61,TasksTable[Task ID],TasksTable[Phase],""),""))</x:f>
      </x:c>
      <x:c r="C61" s="10" t="str">
        <x:f>IF($A61="","",IFERROR(XLOOKUP($A61,TasksTable[Task ID],TasksTable[Task Name],""),""))</x:f>
      </x:c>
      <x:c r="D61" s="10" t="str">
        <x:f>IF($A61="","",IFERROR(XLOOKUP($A61,TasksTable[Task ID],TasksTable[Status],""),""))</x:f>
      </x:c>
      <x:c r="E61" s="86" t="str">
        <x:f>IF($A61="","",IFERROR(XLOOKUP($A61,TasksTable[Task ID],TasksTable[Progress %],0),0))</x:f>
      </x:c>
      <x:c r="F61" s="10" t="str">
        <x:f>IF($A61="","",IFERROR(XLOOKUP($A61,TasksTable[Task ID],TasksTable[Schedule Health],""),""))</x:f>
      </x:c>
      <x:c r="G61" s="10" t="str">
        <x:f>IF($A61="","",IFERROR(XLOOKUP($A61,TasksTable[Task ID],TasksTable[Milestone],""),""))</x:f>
      </x:c>
      <x:c r="H61" s="90" t="str">
        <x:f>IF($A61="","",IF(AND($G61="Yes",H$2=XLOOKUP($A61,TasksTable[Task ID],TasksTable[Start Date],"")),"◆",""))</x:f>
      </x:c>
      <x:c r="I61" s="90" t="str">
        <x:f>IF($A61="","",IF(AND($G61="Yes",I$2=XLOOKUP($A61,TasksTable[Task ID],TasksTable[Start Date],"")),"◆",""))</x:f>
      </x:c>
      <x:c r="J61" s="90" t="str">
        <x:f>IF($A61="","",IF(AND($G61="Yes",J$2=XLOOKUP($A61,TasksTable[Task ID],TasksTable[Start Date],"")),"◆",""))</x:f>
      </x:c>
      <x:c r="K61" s="90" t="str">
        <x:f>IF($A61="","",IF(AND($G61="Yes",K$2=XLOOKUP($A61,TasksTable[Task ID],TasksTable[Start Date],"")),"◆",""))</x:f>
      </x:c>
      <x:c r="L61" s="90" t="str">
        <x:f>IF($A61="","",IF(AND($G61="Yes",L$2=XLOOKUP($A61,TasksTable[Task ID],TasksTable[Start Date],"")),"◆",""))</x:f>
      </x:c>
      <x:c r="M61" s="90" t="str">
        <x:f>IF($A61="","",IF(AND($G61="Yes",M$2=XLOOKUP($A61,TasksTable[Task ID],TasksTable[Start Date],"")),"◆",""))</x:f>
      </x:c>
      <x:c r="N61" s="90" t="str">
        <x:f>IF($A61="","",IF(AND($G61="Yes",N$2=XLOOKUP($A61,TasksTable[Task ID],TasksTable[Start Date],"")),"◆",""))</x:f>
      </x:c>
      <x:c r="O61" s="90" t="str">
        <x:f>IF($A61="","",IF(AND($G61="Yes",O$2=XLOOKUP($A61,TasksTable[Task ID],TasksTable[Start Date],"")),"◆",""))</x:f>
      </x:c>
      <x:c r="P61" s="90" t="str">
        <x:f>IF($A61="","",IF(AND($G61="Yes",P$2=XLOOKUP($A61,TasksTable[Task ID],TasksTable[Start Date],"")),"◆",""))</x:f>
      </x:c>
      <x:c r="Q61" s="90" t="str">
        <x:f>IF($A61="","",IF(AND($G61="Yes",Q$2=XLOOKUP($A61,TasksTable[Task ID],TasksTable[Start Date],"")),"◆",""))</x:f>
      </x:c>
      <x:c r="R61" s="90" t="str">
        <x:f>IF($A61="","",IF(AND($G61="Yes",R$2=XLOOKUP($A61,TasksTable[Task ID],TasksTable[Start Date],"")),"◆",""))</x:f>
      </x:c>
      <x:c r="S61" s="90" t="str">
        <x:f>IF($A61="","",IF(AND($G61="Yes",S$2=XLOOKUP($A61,TasksTable[Task ID],TasksTable[Start Date],"")),"◆",""))</x:f>
      </x:c>
      <x:c r="T61" s="90" t="str">
        <x:f>IF($A61="","",IF(AND($G61="Yes",T$2=XLOOKUP($A61,TasksTable[Task ID],TasksTable[Start Date],"")),"◆",""))</x:f>
      </x:c>
      <x:c r="U61" s="90" t="str">
        <x:f>IF($A61="","",IF(AND($G61="Yes",U$2=XLOOKUP($A61,TasksTable[Task ID],TasksTable[Start Date],"")),"◆",""))</x:f>
      </x:c>
      <x:c r="V61" s="90" t="str">
        <x:f>IF($A61="","",IF(AND($G61="Yes",V$2=XLOOKUP($A61,TasksTable[Task ID],TasksTable[Start Date],"")),"◆",""))</x:f>
      </x:c>
      <x:c r="W61" s="90" t="str">
        <x:f>IF($A61="","",IF(AND($G61="Yes",W$2=XLOOKUP($A61,TasksTable[Task ID],TasksTable[Start Date],"")),"◆",""))</x:f>
      </x:c>
      <x:c r="X61" s="90" t="str">
        <x:f>IF($A61="","",IF(AND($G61="Yes",X$2=XLOOKUP($A61,TasksTable[Task ID],TasksTable[Start Date],"")),"◆",""))</x:f>
      </x:c>
      <x:c r="Y61" s="90" t="str">
        <x:f>IF($A61="","",IF(AND($G61="Yes",Y$2=XLOOKUP($A61,TasksTable[Task ID],TasksTable[Start Date],"")),"◆",""))</x:f>
      </x:c>
      <x:c r="Z61" s="90" t="str">
        <x:f>IF($A61="","",IF(AND($G61="Yes",Z$2=XLOOKUP($A61,TasksTable[Task ID],TasksTable[Start Date],"")),"◆",""))</x:f>
      </x:c>
      <x:c r="AA61" s="90" t="str">
        <x:f>IF($A61="","",IF(AND($G61="Yes",AA$2=XLOOKUP($A61,TasksTable[Task ID],TasksTable[Start Date],"")),"◆",""))</x:f>
      </x:c>
      <x:c r="AB61" s="90" t="str">
        <x:f>IF($A61="","",IF(AND($G61="Yes",AB$2=XLOOKUP($A61,TasksTable[Task ID],TasksTable[Start Date],"")),"◆",""))</x:f>
      </x:c>
      <x:c r="AC61" s="90" t="str">
        <x:f>IF($A61="","",IF(AND($G61="Yes",AC$2=XLOOKUP($A61,TasksTable[Task ID],TasksTable[Start Date],"")),"◆",""))</x:f>
      </x:c>
      <x:c r="AD61" s="90" t="str">
        <x:f>IF($A61="","",IF(AND($G61="Yes",AD$2=XLOOKUP($A61,TasksTable[Task ID],TasksTable[Start Date],"")),"◆",""))</x:f>
      </x:c>
      <x:c r="AE61" s="90" t="str">
        <x:f>IF($A61="","",IF(AND($G61="Yes",AE$2=XLOOKUP($A61,TasksTable[Task ID],TasksTable[Start Date],"")),"◆",""))</x:f>
      </x:c>
      <x:c r="AF61" s="90" t="str">
        <x:f>IF($A61="","",IF(AND($G61="Yes",AF$2=XLOOKUP($A61,TasksTable[Task ID],TasksTable[Start Date],"")),"◆",""))</x:f>
      </x:c>
      <x:c r="AG61" s="90" t="str">
        <x:f>IF($A61="","",IF(AND($G61="Yes",AG$2=XLOOKUP($A61,TasksTable[Task ID],TasksTable[Start Date],"")),"◆",""))</x:f>
      </x:c>
      <x:c r="AH61" s="90" t="str">
        <x:f>IF($A61="","",IF(AND($G61="Yes",AH$2=XLOOKUP($A61,TasksTable[Task ID],TasksTable[Start Date],"")),"◆",""))</x:f>
      </x:c>
      <x:c r="AI61" s="90" t="str">
        <x:f>IF($A61="","",IF(AND($G61="Yes",AI$2=XLOOKUP($A61,TasksTable[Task ID],TasksTable[Start Date],"")),"◆",""))</x:f>
      </x:c>
      <x:c r="AJ61" s="90" t="str">
        <x:f>IF($A61="","",IF(AND($G61="Yes",AJ$2=XLOOKUP($A61,TasksTable[Task ID],TasksTable[Start Date],"")),"◆",""))</x:f>
      </x:c>
      <x:c r="AK61" s="90" t="str">
        <x:f>IF($A61="","",IF(AND($G61="Yes",AK$2=XLOOKUP($A61,TasksTable[Task ID],TasksTable[Start Date],"")),"◆",""))</x:f>
      </x:c>
      <x:c r="AL61" s="90" t="str">
        <x:f>IF($A61="","",IF(AND($G61="Yes",AL$2=XLOOKUP($A61,TasksTable[Task ID],TasksTable[Start Date],"")),"◆",""))</x:f>
      </x:c>
      <x:c r="AM61" s="90" t="str">
        <x:f>IF($A61="","",IF(AND($G61="Yes",AM$2=XLOOKUP($A61,TasksTable[Task ID],TasksTable[Start Date],"")),"◆",""))</x:f>
      </x:c>
      <x:c r="AN61" s="90" t="str">
        <x:f>IF($A61="","",IF(AND($G61="Yes",AN$2=XLOOKUP($A61,TasksTable[Task ID],TasksTable[Start Date],"")),"◆",""))</x:f>
      </x:c>
      <x:c r="AO61" s="90" t="str">
        <x:f>IF($A61="","",IF(AND($G61="Yes",AO$2=XLOOKUP($A61,TasksTable[Task ID],TasksTable[Start Date],"")),"◆",""))</x:f>
      </x:c>
    </x:row>
    <x:row r="62">
      <x:c r="A62" s="10" t="str">
        <x:f>IFERROR(INDEX(TasksTable[Task ID],ROWS($A$4:A62)),"")</x:f>
      </x:c>
      <x:c r="B62" s="10" t="str">
        <x:f>IF($A62="","",IFERROR(XLOOKUP($A62,TasksTable[Task ID],TasksTable[Phase],""),""))</x:f>
      </x:c>
      <x:c r="C62" s="10" t="str">
        <x:f>IF($A62="","",IFERROR(XLOOKUP($A62,TasksTable[Task ID],TasksTable[Task Name],""),""))</x:f>
      </x:c>
      <x:c r="D62" s="10" t="str">
        <x:f>IF($A62="","",IFERROR(XLOOKUP($A62,TasksTable[Task ID],TasksTable[Status],""),""))</x:f>
      </x:c>
      <x:c r="E62" s="86" t="str">
        <x:f>IF($A62="","",IFERROR(XLOOKUP($A62,TasksTable[Task ID],TasksTable[Progress %],0),0))</x:f>
      </x:c>
      <x:c r="F62" s="10" t="str">
        <x:f>IF($A62="","",IFERROR(XLOOKUP($A62,TasksTable[Task ID],TasksTable[Schedule Health],""),""))</x:f>
      </x:c>
      <x:c r="G62" s="10" t="str">
        <x:f>IF($A62="","",IFERROR(XLOOKUP($A62,TasksTable[Task ID],TasksTable[Milestone],""),""))</x:f>
      </x:c>
      <x:c r="H62" s="90" t="str">
        <x:f>IF($A62="","",IF(AND($G62="Yes",H$2=XLOOKUP($A62,TasksTable[Task ID],TasksTable[Start Date],"")),"◆",""))</x:f>
      </x:c>
      <x:c r="I62" s="90" t="str">
        <x:f>IF($A62="","",IF(AND($G62="Yes",I$2=XLOOKUP($A62,TasksTable[Task ID],TasksTable[Start Date],"")),"◆",""))</x:f>
      </x:c>
      <x:c r="J62" s="90" t="str">
        <x:f>IF($A62="","",IF(AND($G62="Yes",J$2=XLOOKUP($A62,TasksTable[Task ID],TasksTable[Start Date],"")),"◆",""))</x:f>
      </x:c>
      <x:c r="K62" s="90" t="str">
        <x:f>IF($A62="","",IF(AND($G62="Yes",K$2=XLOOKUP($A62,TasksTable[Task ID],TasksTable[Start Date],"")),"◆",""))</x:f>
      </x:c>
      <x:c r="L62" s="90" t="str">
        <x:f>IF($A62="","",IF(AND($G62="Yes",L$2=XLOOKUP($A62,TasksTable[Task ID],TasksTable[Start Date],"")),"◆",""))</x:f>
      </x:c>
      <x:c r="M62" s="90" t="str">
        <x:f>IF($A62="","",IF(AND($G62="Yes",M$2=XLOOKUP($A62,TasksTable[Task ID],TasksTable[Start Date],"")),"◆",""))</x:f>
      </x:c>
      <x:c r="N62" s="90" t="str">
        <x:f>IF($A62="","",IF(AND($G62="Yes",N$2=XLOOKUP($A62,TasksTable[Task ID],TasksTable[Start Date],"")),"◆",""))</x:f>
      </x:c>
      <x:c r="O62" s="90" t="str">
        <x:f>IF($A62="","",IF(AND($G62="Yes",O$2=XLOOKUP($A62,TasksTable[Task ID],TasksTable[Start Date],"")),"◆",""))</x:f>
      </x:c>
      <x:c r="P62" s="90" t="str">
        <x:f>IF($A62="","",IF(AND($G62="Yes",P$2=XLOOKUP($A62,TasksTable[Task ID],TasksTable[Start Date],"")),"◆",""))</x:f>
      </x:c>
      <x:c r="Q62" s="90" t="str">
        <x:f>IF($A62="","",IF(AND($G62="Yes",Q$2=XLOOKUP($A62,TasksTable[Task ID],TasksTable[Start Date],"")),"◆",""))</x:f>
      </x:c>
      <x:c r="R62" s="90" t="str">
        <x:f>IF($A62="","",IF(AND($G62="Yes",R$2=XLOOKUP($A62,TasksTable[Task ID],TasksTable[Start Date],"")),"◆",""))</x:f>
      </x:c>
      <x:c r="S62" s="90" t="str">
        <x:f>IF($A62="","",IF(AND($G62="Yes",S$2=XLOOKUP($A62,TasksTable[Task ID],TasksTable[Start Date],"")),"◆",""))</x:f>
      </x:c>
      <x:c r="T62" s="90" t="str">
        <x:f>IF($A62="","",IF(AND($G62="Yes",T$2=XLOOKUP($A62,TasksTable[Task ID],TasksTable[Start Date],"")),"◆",""))</x:f>
      </x:c>
      <x:c r="U62" s="90" t="str">
        <x:f>IF($A62="","",IF(AND($G62="Yes",U$2=XLOOKUP($A62,TasksTable[Task ID],TasksTable[Start Date],"")),"◆",""))</x:f>
      </x:c>
      <x:c r="V62" s="90" t="str">
        <x:f>IF($A62="","",IF(AND($G62="Yes",V$2=XLOOKUP($A62,TasksTable[Task ID],TasksTable[Start Date],"")),"◆",""))</x:f>
      </x:c>
      <x:c r="W62" s="90" t="str">
        <x:f>IF($A62="","",IF(AND($G62="Yes",W$2=XLOOKUP($A62,TasksTable[Task ID],TasksTable[Start Date],"")),"◆",""))</x:f>
      </x:c>
      <x:c r="X62" s="90" t="str">
        <x:f>IF($A62="","",IF(AND($G62="Yes",X$2=XLOOKUP($A62,TasksTable[Task ID],TasksTable[Start Date],"")),"◆",""))</x:f>
      </x:c>
      <x:c r="Y62" s="90" t="str">
        <x:f>IF($A62="","",IF(AND($G62="Yes",Y$2=XLOOKUP($A62,TasksTable[Task ID],TasksTable[Start Date],"")),"◆",""))</x:f>
      </x:c>
      <x:c r="Z62" s="90" t="str">
        <x:f>IF($A62="","",IF(AND($G62="Yes",Z$2=XLOOKUP($A62,TasksTable[Task ID],TasksTable[Start Date],"")),"◆",""))</x:f>
      </x:c>
      <x:c r="AA62" s="90" t="str">
        <x:f>IF($A62="","",IF(AND($G62="Yes",AA$2=XLOOKUP($A62,TasksTable[Task ID],TasksTable[Start Date],"")),"◆",""))</x:f>
      </x:c>
      <x:c r="AB62" s="90" t="str">
        <x:f>IF($A62="","",IF(AND($G62="Yes",AB$2=XLOOKUP($A62,TasksTable[Task ID],TasksTable[Start Date],"")),"◆",""))</x:f>
      </x:c>
      <x:c r="AC62" s="90" t="str">
        <x:f>IF($A62="","",IF(AND($G62="Yes",AC$2=XLOOKUP($A62,TasksTable[Task ID],TasksTable[Start Date],"")),"◆",""))</x:f>
      </x:c>
      <x:c r="AD62" s="90" t="str">
        <x:f>IF($A62="","",IF(AND($G62="Yes",AD$2=XLOOKUP($A62,TasksTable[Task ID],TasksTable[Start Date],"")),"◆",""))</x:f>
      </x:c>
      <x:c r="AE62" s="90" t="str">
        <x:f>IF($A62="","",IF(AND($G62="Yes",AE$2=XLOOKUP($A62,TasksTable[Task ID],TasksTable[Start Date],"")),"◆",""))</x:f>
      </x:c>
      <x:c r="AF62" s="90" t="str">
        <x:f>IF($A62="","",IF(AND($G62="Yes",AF$2=XLOOKUP($A62,TasksTable[Task ID],TasksTable[Start Date],"")),"◆",""))</x:f>
      </x:c>
      <x:c r="AG62" s="90" t="str">
        <x:f>IF($A62="","",IF(AND($G62="Yes",AG$2=XLOOKUP($A62,TasksTable[Task ID],TasksTable[Start Date],"")),"◆",""))</x:f>
      </x:c>
      <x:c r="AH62" s="90" t="str">
        <x:f>IF($A62="","",IF(AND($G62="Yes",AH$2=XLOOKUP($A62,TasksTable[Task ID],TasksTable[Start Date],"")),"◆",""))</x:f>
      </x:c>
      <x:c r="AI62" s="90" t="str">
        <x:f>IF($A62="","",IF(AND($G62="Yes",AI$2=XLOOKUP($A62,TasksTable[Task ID],TasksTable[Start Date],"")),"◆",""))</x:f>
      </x:c>
      <x:c r="AJ62" s="90" t="str">
        <x:f>IF($A62="","",IF(AND($G62="Yes",AJ$2=XLOOKUP($A62,TasksTable[Task ID],TasksTable[Start Date],"")),"◆",""))</x:f>
      </x:c>
      <x:c r="AK62" s="90" t="str">
        <x:f>IF($A62="","",IF(AND($G62="Yes",AK$2=XLOOKUP($A62,TasksTable[Task ID],TasksTable[Start Date],"")),"◆",""))</x:f>
      </x:c>
      <x:c r="AL62" s="90" t="str">
        <x:f>IF($A62="","",IF(AND($G62="Yes",AL$2=XLOOKUP($A62,TasksTable[Task ID],TasksTable[Start Date],"")),"◆",""))</x:f>
      </x:c>
      <x:c r="AM62" s="90" t="str">
        <x:f>IF($A62="","",IF(AND($G62="Yes",AM$2=XLOOKUP($A62,TasksTable[Task ID],TasksTable[Start Date],"")),"◆",""))</x:f>
      </x:c>
      <x:c r="AN62" s="90" t="str">
        <x:f>IF($A62="","",IF(AND($G62="Yes",AN$2=XLOOKUP($A62,TasksTable[Task ID],TasksTable[Start Date],"")),"◆",""))</x:f>
      </x:c>
      <x:c r="AO62" s="90" t="str">
        <x:f>IF($A62="","",IF(AND($G62="Yes",AO$2=XLOOKUP($A62,TasksTable[Task ID],TasksTable[Start Date],"")),"◆",""))</x:f>
      </x:c>
    </x:row>
    <x:row r="63">
      <x:c r="A63" s="10" t="str">
        <x:f>IFERROR(INDEX(TasksTable[Task ID],ROWS($A$4:A63)),"")</x:f>
      </x:c>
      <x:c r="B63" s="10" t="str">
        <x:f>IF($A63="","",IFERROR(XLOOKUP($A63,TasksTable[Task ID],TasksTable[Phase],""),""))</x:f>
      </x:c>
      <x:c r="C63" s="10" t="str">
        <x:f>IF($A63="","",IFERROR(XLOOKUP($A63,TasksTable[Task ID],TasksTable[Task Name],""),""))</x:f>
      </x:c>
      <x:c r="D63" s="10" t="str">
        <x:f>IF($A63="","",IFERROR(XLOOKUP($A63,TasksTable[Task ID],TasksTable[Status],""),""))</x:f>
      </x:c>
      <x:c r="E63" s="86" t="str">
        <x:f>IF($A63="","",IFERROR(XLOOKUP($A63,TasksTable[Task ID],TasksTable[Progress %],0),0))</x:f>
      </x:c>
      <x:c r="F63" s="10" t="str">
        <x:f>IF($A63="","",IFERROR(XLOOKUP($A63,TasksTable[Task ID],TasksTable[Schedule Health],""),""))</x:f>
      </x:c>
      <x:c r="G63" s="10" t="str">
        <x:f>IF($A63="","",IFERROR(XLOOKUP($A63,TasksTable[Task ID],TasksTable[Milestone],""),""))</x:f>
      </x:c>
      <x:c r="H63" s="90" t="str">
        <x:f>IF($A63="","",IF(AND($G63="Yes",H$2=XLOOKUP($A63,TasksTable[Task ID],TasksTable[Start Date],"")),"◆",""))</x:f>
      </x:c>
      <x:c r="I63" s="90" t="str">
        <x:f>IF($A63="","",IF(AND($G63="Yes",I$2=XLOOKUP($A63,TasksTable[Task ID],TasksTable[Start Date],"")),"◆",""))</x:f>
      </x:c>
      <x:c r="J63" s="90" t="str">
        <x:f>IF($A63="","",IF(AND($G63="Yes",J$2=XLOOKUP($A63,TasksTable[Task ID],TasksTable[Start Date],"")),"◆",""))</x:f>
      </x:c>
      <x:c r="K63" s="90" t="str">
        <x:f>IF($A63="","",IF(AND($G63="Yes",K$2=XLOOKUP($A63,TasksTable[Task ID],TasksTable[Start Date],"")),"◆",""))</x:f>
      </x:c>
      <x:c r="L63" s="90" t="str">
        <x:f>IF($A63="","",IF(AND($G63="Yes",L$2=XLOOKUP($A63,TasksTable[Task ID],TasksTable[Start Date],"")),"◆",""))</x:f>
      </x:c>
      <x:c r="M63" s="90" t="str">
        <x:f>IF($A63="","",IF(AND($G63="Yes",M$2=XLOOKUP($A63,TasksTable[Task ID],TasksTable[Start Date],"")),"◆",""))</x:f>
      </x:c>
      <x:c r="N63" s="90" t="str">
        <x:f>IF($A63="","",IF(AND($G63="Yes",N$2=XLOOKUP($A63,TasksTable[Task ID],TasksTable[Start Date],"")),"◆",""))</x:f>
      </x:c>
      <x:c r="O63" s="90" t="str">
        <x:f>IF($A63="","",IF(AND($G63="Yes",O$2=XLOOKUP($A63,TasksTable[Task ID],TasksTable[Start Date],"")),"◆",""))</x:f>
      </x:c>
      <x:c r="P63" s="90" t="str">
        <x:f>IF($A63="","",IF(AND($G63="Yes",P$2=XLOOKUP($A63,TasksTable[Task ID],TasksTable[Start Date],"")),"◆",""))</x:f>
      </x:c>
      <x:c r="Q63" s="90" t="str">
        <x:f>IF($A63="","",IF(AND($G63="Yes",Q$2=XLOOKUP($A63,TasksTable[Task ID],TasksTable[Start Date],"")),"◆",""))</x:f>
      </x:c>
      <x:c r="R63" s="90" t="str">
        <x:f>IF($A63="","",IF(AND($G63="Yes",R$2=XLOOKUP($A63,TasksTable[Task ID],TasksTable[Start Date],"")),"◆",""))</x:f>
      </x:c>
      <x:c r="S63" s="90" t="str">
        <x:f>IF($A63="","",IF(AND($G63="Yes",S$2=XLOOKUP($A63,TasksTable[Task ID],TasksTable[Start Date],"")),"◆",""))</x:f>
      </x:c>
      <x:c r="T63" s="90" t="str">
        <x:f>IF($A63="","",IF(AND($G63="Yes",T$2=XLOOKUP($A63,TasksTable[Task ID],TasksTable[Start Date],"")),"◆",""))</x:f>
      </x:c>
      <x:c r="U63" s="90" t="str">
        <x:f>IF($A63="","",IF(AND($G63="Yes",U$2=XLOOKUP($A63,TasksTable[Task ID],TasksTable[Start Date],"")),"◆",""))</x:f>
      </x:c>
      <x:c r="V63" s="90" t="str">
        <x:f>IF($A63="","",IF(AND($G63="Yes",V$2=XLOOKUP($A63,TasksTable[Task ID],TasksTable[Start Date],"")),"◆",""))</x:f>
      </x:c>
      <x:c r="W63" s="90" t="str">
        <x:f>IF($A63="","",IF(AND($G63="Yes",W$2=XLOOKUP($A63,TasksTable[Task ID],TasksTable[Start Date],"")),"◆",""))</x:f>
      </x:c>
      <x:c r="X63" s="90" t="str">
        <x:f>IF($A63="","",IF(AND($G63="Yes",X$2=XLOOKUP($A63,TasksTable[Task ID],TasksTable[Start Date],"")),"◆",""))</x:f>
      </x:c>
      <x:c r="Y63" s="90" t="str">
        <x:f>IF($A63="","",IF(AND($G63="Yes",Y$2=XLOOKUP($A63,TasksTable[Task ID],TasksTable[Start Date],"")),"◆",""))</x:f>
      </x:c>
      <x:c r="Z63" s="90" t="str">
        <x:f>IF($A63="","",IF(AND($G63="Yes",Z$2=XLOOKUP($A63,TasksTable[Task ID],TasksTable[Start Date],"")),"◆",""))</x:f>
      </x:c>
      <x:c r="AA63" s="90" t="str">
        <x:f>IF($A63="","",IF(AND($G63="Yes",AA$2=XLOOKUP($A63,TasksTable[Task ID],TasksTable[Start Date],"")),"◆",""))</x:f>
      </x:c>
      <x:c r="AB63" s="90" t="str">
        <x:f>IF($A63="","",IF(AND($G63="Yes",AB$2=XLOOKUP($A63,TasksTable[Task ID],TasksTable[Start Date],"")),"◆",""))</x:f>
      </x:c>
      <x:c r="AC63" s="90" t="str">
        <x:f>IF($A63="","",IF(AND($G63="Yes",AC$2=XLOOKUP($A63,TasksTable[Task ID],TasksTable[Start Date],"")),"◆",""))</x:f>
      </x:c>
      <x:c r="AD63" s="90" t="str">
        <x:f>IF($A63="","",IF(AND($G63="Yes",AD$2=XLOOKUP($A63,TasksTable[Task ID],TasksTable[Start Date],"")),"◆",""))</x:f>
      </x:c>
      <x:c r="AE63" s="90" t="str">
        <x:f>IF($A63="","",IF(AND($G63="Yes",AE$2=XLOOKUP($A63,TasksTable[Task ID],TasksTable[Start Date],"")),"◆",""))</x:f>
      </x:c>
      <x:c r="AF63" s="90" t="str">
        <x:f>IF($A63="","",IF(AND($G63="Yes",AF$2=XLOOKUP($A63,TasksTable[Task ID],TasksTable[Start Date],"")),"◆",""))</x:f>
      </x:c>
      <x:c r="AG63" s="90" t="str">
        <x:f>IF($A63="","",IF(AND($G63="Yes",AG$2=XLOOKUP($A63,TasksTable[Task ID],TasksTable[Start Date],"")),"◆",""))</x:f>
      </x:c>
      <x:c r="AH63" s="90" t="str">
        <x:f>IF($A63="","",IF(AND($G63="Yes",AH$2=XLOOKUP($A63,TasksTable[Task ID],TasksTable[Start Date],"")),"◆",""))</x:f>
      </x:c>
      <x:c r="AI63" s="90" t="str">
        <x:f>IF($A63="","",IF(AND($G63="Yes",AI$2=XLOOKUP($A63,TasksTable[Task ID],TasksTable[Start Date],"")),"◆",""))</x:f>
      </x:c>
      <x:c r="AJ63" s="90" t="str">
        <x:f>IF($A63="","",IF(AND($G63="Yes",AJ$2=XLOOKUP($A63,TasksTable[Task ID],TasksTable[Start Date],"")),"◆",""))</x:f>
      </x:c>
      <x:c r="AK63" s="90" t="str">
        <x:f>IF($A63="","",IF(AND($G63="Yes",AK$2=XLOOKUP($A63,TasksTable[Task ID],TasksTable[Start Date],"")),"◆",""))</x:f>
      </x:c>
      <x:c r="AL63" s="90" t="str">
        <x:f>IF($A63="","",IF(AND($G63="Yes",AL$2=XLOOKUP($A63,TasksTable[Task ID],TasksTable[Start Date],"")),"◆",""))</x:f>
      </x:c>
      <x:c r="AM63" s="90" t="str">
        <x:f>IF($A63="","",IF(AND($G63="Yes",AM$2=XLOOKUP($A63,TasksTable[Task ID],TasksTable[Start Date],"")),"◆",""))</x:f>
      </x:c>
      <x:c r="AN63" s="90" t="str">
        <x:f>IF($A63="","",IF(AND($G63="Yes",AN$2=XLOOKUP($A63,TasksTable[Task ID],TasksTable[Start Date],"")),"◆",""))</x:f>
      </x:c>
      <x:c r="AO63" s="90" t="str">
        <x:f>IF($A63="","",IF(AND($G63="Yes",AO$2=XLOOKUP($A63,TasksTable[Task ID],TasksTable[Start Date],"")),"◆",""))</x:f>
      </x:c>
    </x:row>
    <x:row r="64">
      <x:c r="A64" s="10" t="str">
        <x:f>IFERROR(INDEX(TasksTable[Task ID],ROWS($A$4:A64)),"")</x:f>
      </x:c>
      <x:c r="B64" s="10" t="str">
        <x:f>IF($A64="","",IFERROR(XLOOKUP($A64,TasksTable[Task ID],TasksTable[Phase],""),""))</x:f>
      </x:c>
      <x:c r="C64" s="10" t="str">
        <x:f>IF($A64="","",IFERROR(XLOOKUP($A64,TasksTable[Task ID],TasksTable[Task Name],""),""))</x:f>
      </x:c>
      <x:c r="D64" s="10" t="str">
        <x:f>IF($A64="","",IFERROR(XLOOKUP($A64,TasksTable[Task ID],TasksTable[Status],""),""))</x:f>
      </x:c>
      <x:c r="E64" s="86" t="str">
        <x:f>IF($A64="","",IFERROR(XLOOKUP($A64,TasksTable[Task ID],TasksTable[Progress %],0),0))</x:f>
      </x:c>
      <x:c r="F64" s="10" t="str">
        <x:f>IF($A64="","",IFERROR(XLOOKUP($A64,TasksTable[Task ID],TasksTable[Schedule Health],""),""))</x:f>
      </x:c>
      <x:c r="G64" s="10" t="str">
        <x:f>IF($A64="","",IFERROR(XLOOKUP($A64,TasksTable[Task ID],TasksTable[Milestone],""),""))</x:f>
      </x:c>
      <x:c r="H64" s="90" t="str">
        <x:f>IF($A64="","",IF(AND($G64="Yes",H$2=XLOOKUP($A64,TasksTable[Task ID],TasksTable[Start Date],"")),"◆",""))</x:f>
      </x:c>
      <x:c r="I64" s="90" t="str">
        <x:f>IF($A64="","",IF(AND($G64="Yes",I$2=XLOOKUP($A64,TasksTable[Task ID],TasksTable[Start Date],"")),"◆",""))</x:f>
      </x:c>
      <x:c r="J64" s="90" t="str">
        <x:f>IF($A64="","",IF(AND($G64="Yes",J$2=XLOOKUP($A64,TasksTable[Task ID],TasksTable[Start Date],"")),"◆",""))</x:f>
      </x:c>
      <x:c r="K64" s="90" t="str">
        <x:f>IF($A64="","",IF(AND($G64="Yes",K$2=XLOOKUP($A64,TasksTable[Task ID],TasksTable[Start Date],"")),"◆",""))</x:f>
      </x:c>
      <x:c r="L64" s="90" t="str">
        <x:f>IF($A64="","",IF(AND($G64="Yes",L$2=XLOOKUP($A64,TasksTable[Task ID],TasksTable[Start Date],"")),"◆",""))</x:f>
      </x:c>
      <x:c r="M64" s="90" t="str">
        <x:f>IF($A64="","",IF(AND($G64="Yes",M$2=XLOOKUP($A64,TasksTable[Task ID],TasksTable[Start Date],"")),"◆",""))</x:f>
      </x:c>
      <x:c r="N64" s="90" t="str">
        <x:f>IF($A64="","",IF(AND($G64="Yes",N$2=XLOOKUP($A64,TasksTable[Task ID],TasksTable[Start Date],"")),"◆",""))</x:f>
      </x:c>
      <x:c r="O64" s="90" t="str">
        <x:f>IF($A64="","",IF(AND($G64="Yes",O$2=XLOOKUP($A64,TasksTable[Task ID],TasksTable[Start Date],"")),"◆",""))</x:f>
      </x:c>
      <x:c r="P64" s="90" t="str">
        <x:f>IF($A64="","",IF(AND($G64="Yes",P$2=XLOOKUP($A64,TasksTable[Task ID],TasksTable[Start Date],"")),"◆",""))</x:f>
      </x:c>
      <x:c r="Q64" s="90" t="str">
        <x:f>IF($A64="","",IF(AND($G64="Yes",Q$2=XLOOKUP($A64,TasksTable[Task ID],TasksTable[Start Date],"")),"◆",""))</x:f>
      </x:c>
      <x:c r="R64" s="90" t="str">
        <x:f>IF($A64="","",IF(AND($G64="Yes",R$2=XLOOKUP($A64,TasksTable[Task ID],TasksTable[Start Date],"")),"◆",""))</x:f>
      </x:c>
      <x:c r="S64" s="90" t="str">
        <x:f>IF($A64="","",IF(AND($G64="Yes",S$2=XLOOKUP($A64,TasksTable[Task ID],TasksTable[Start Date],"")),"◆",""))</x:f>
      </x:c>
      <x:c r="T64" s="90" t="str">
        <x:f>IF($A64="","",IF(AND($G64="Yes",T$2=XLOOKUP($A64,TasksTable[Task ID],TasksTable[Start Date],"")),"◆",""))</x:f>
      </x:c>
      <x:c r="U64" s="90" t="str">
        <x:f>IF($A64="","",IF(AND($G64="Yes",U$2=XLOOKUP($A64,TasksTable[Task ID],TasksTable[Start Date],"")),"◆",""))</x:f>
      </x:c>
      <x:c r="V64" s="90" t="str">
        <x:f>IF($A64="","",IF(AND($G64="Yes",V$2=XLOOKUP($A64,TasksTable[Task ID],TasksTable[Start Date],"")),"◆",""))</x:f>
      </x:c>
      <x:c r="W64" s="90" t="str">
        <x:f>IF($A64="","",IF(AND($G64="Yes",W$2=XLOOKUP($A64,TasksTable[Task ID],TasksTable[Start Date],"")),"◆",""))</x:f>
      </x:c>
      <x:c r="X64" s="90" t="str">
        <x:f>IF($A64="","",IF(AND($G64="Yes",X$2=XLOOKUP($A64,TasksTable[Task ID],TasksTable[Start Date],"")),"◆",""))</x:f>
      </x:c>
      <x:c r="Y64" s="90" t="str">
        <x:f>IF($A64="","",IF(AND($G64="Yes",Y$2=XLOOKUP($A64,TasksTable[Task ID],TasksTable[Start Date],"")),"◆",""))</x:f>
      </x:c>
      <x:c r="Z64" s="90" t="str">
        <x:f>IF($A64="","",IF(AND($G64="Yes",Z$2=XLOOKUP($A64,TasksTable[Task ID],TasksTable[Start Date],"")),"◆",""))</x:f>
      </x:c>
      <x:c r="AA64" s="90" t="str">
        <x:f>IF($A64="","",IF(AND($G64="Yes",AA$2=XLOOKUP($A64,TasksTable[Task ID],TasksTable[Start Date],"")),"◆",""))</x:f>
      </x:c>
      <x:c r="AB64" s="90" t="str">
        <x:f>IF($A64="","",IF(AND($G64="Yes",AB$2=XLOOKUP($A64,TasksTable[Task ID],TasksTable[Start Date],"")),"◆",""))</x:f>
      </x:c>
      <x:c r="AC64" s="90" t="str">
        <x:f>IF($A64="","",IF(AND($G64="Yes",AC$2=XLOOKUP($A64,TasksTable[Task ID],TasksTable[Start Date],"")),"◆",""))</x:f>
      </x:c>
      <x:c r="AD64" s="90" t="str">
        <x:f>IF($A64="","",IF(AND($G64="Yes",AD$2=XLOOKUP($A64,TasksTable[Task ID],TasksTable[Start Date],"")),"◆",""))</x:f>
      </x:c>
      <x:c r="AE64" s="90" t="str">
        <x:f>IF($A64="","",IF(AND($G64="Yes",AE$2=XLOOKUP($A64,TasksTable[Task ID],TasksTable[Start Date],"")),"◆",""))</x:f>
      </x:c>
      <x:c r="AF64" s="90" t="str">
        <x:f>IF($A64="","",IF(AND($G64="Yes",AF$2=XLOOKUP($A64,TasksTable[Task ID],TasksTable[Start Date],"")),"◆",""))</x:f>
      </x:c>
      <x:c r="AG64" s="90" t="str">
        <x:f>IF($A64="","",IF(AND($G64="Yes",AG$2=XLOOKUP($A64,TasksTable[Task ID],TasksTable[Start Date],"")),"◆",""))</x:f>
      </x:c>
      <x:c r="AH64" s="90" t="str">
        <x:f>IF($A64="","",IF(AND($G64="Yes",AH$2=XLOOKUP($A64,TasksTable[Task ID],TasksTable[Start Date],"")),"◆",""))</x:f>
      </x:c>
      <x:c r="AI64" s="90" t="str">
        <x:f>IF($A64="","",IF(AND($G64="Yes",AI$2=XLOOKUP($A64,TasksTable[Task ID],TasksTable[Start Date],"")),"◆",""))</x:f>
      </x:c>
      <x:c r="AJ64" s="90" t="str">
        <x:f>IF($A64="","",IF(AND($G64="Yes",AJ$2=XLOOKUP($A64,TasksTable[Task ID],TasksTable[Start Date],"")),"◆",""))</x:f>
      </x:c>
      <x:c r="AK64" s="90" t="str">
        <x:f>IF($A64="","",IF(AND($G64="Yes",AK$2=XLOOKUP($A64,TasksTable[Task ID],TasksTable[Start Date],"")),"◆",""))</x:f>
      </x:c>
      <x:c r="AL64" s="90" t="str">
        <x:f>IF($A64="","",IF(AND($G64="Yes",AL$2=XLOOKUP($A64,TasksTable[Task ID],TasksTable[Start Date],"")),"◆",""))</x:f>
      </x:c>
      <x:c r="AM64" s="90" t="str">
        <x:f>IF($A64="","",IF(AND($G64="Yes",AM$2=XLOOKUP($A64,TasksTable[Task ID],TasksTable[Start Date],"")),"◆",""))</x:f>
      </x:c>
      <x:c r="AN64" s="90" t="str">
        <x:f>IF($A64="","",IF(AND($G64="Yes",AN$2=XLOOKUP($A64,TasksTable[Task ID],TasksTable[Start Date],"")),"◆",""))</x:f>
      </x:c>
      <x:c r="AO64" s="90" t="str">
        <x:f>IF($A64="","",IF(AND($G64="Yes",AO$2=XLOOKUP($A64,TasksTable[Task ID],TasksTable[Start Date],"")),"◆",""))</x:f>
      </x:c>
    </x:row>
    <x:row r="65">
      <x:c r="A65" s="10" t="str">
        <x:f>IFERROR(INDEX(TasksTable[Task ID],ROWS($A$4:A65)),"")</x:f>
      </x:c>
      <x:c r="B65" s="10" t="str">
        <x:f>IF($A65="","",IFERROR(XLOOKUP($A65,TasksTable[Task ID],TasksTable[Phase],""),""))</x:f>
      </x:c>
      <x:c r="C65" s="10" t="str">
        <x:f>IF($A65="","",IFERROR(XLOOKUP($A65,TasksTable[Task ID],TasksTable[Task Name],""),""))</x:f>
      </x:c>
      <x:c r="D65" s="10" t="str">
        <x:f>IF($A65="","",IFERROR(XLOOKUP($A65,TasksTable[Task ID],TasksTable[Status],""),""))</x:f>
      </x:c>
      <x:c r="E65" s="86" t="str">
        <x:f>IF($A65="","",IFERROR(XLOOKUP($A65,TasksTable[Task ID],TasksTable[Progress %],0),0))</x:f>
      </x:c>
      <x:c r="F65" s="10" t="str">
        <x:f>IF($A65="","",IFERROR(XLOOKUP($A65,TasksTable[Task ID],TasksTable[Schedule Health],""),""))</x:f>
      </x:c>
      <x:c r="G65" s="10" t="str">
        <x:f>IF($A65="","",IFERROR(XLOOKUP($A65,TasksTable[Task ID],TasksTable[Milestone],""),""))</x:f>
      </x:c>
      <x:c r="H65" s="90" t="str">
        <x:f>IF($A65="","",IF(AND($G65="Yes",H$2=XLOOKUP($A65,TasksTable[Task ID],TasksTable[Start Date],"")),"◆",""))</x:f>
      </x:c>
      <x:c r="I65" s="90" t="str">
        <x:f>IF($A65="","",IF(AND($G65="Yes",I$2=XLOOKUP($A65,TasksTable[Task ID],TasksTable[Start Date],"")),"◆",""))</x:f>
      </x:c>
      <x:c r="J65" s="90" t="str">
        <x:f>IF($A65="","",IF(AND($G65="Yes",J$2=XLOOKUP($A65,TasksTable[Task ID],TasksTable[Start Date],"")),"◆",""))</x:f>
      </x:c>
      <x:c r="K65" s="90" t="str">
        <x:f>IF($A65="","",IF(AND($G65="Yes",K$2=XLOOKUP($A65,TasksTable[Task ID],TasksTable[Start Date],"")),"◆",""))</x:f>
      </x:c>
      <x:c r="L65" s="90" t="str">
        <x:f>IF($A65="","",IF(AND($G65="Yes",L$2=XLOOKUP($A65,TasksTable[Task ID],TasksTable[Start Date],"")),"◆",""))</x:f>
      </x:c>
      <x:c r="M65" s="90" t="str">
        <x:f>IF($A65="","",IF(AND($G65="Yes",M$2=XLOOKUP($A65,TasksTable[Task ID],TasksTable[Start Date],"")),"◆",""))</x:f>
      </x:c>
      <x:c r="N65" s="90" t="str">
        <x:f>IF($A65="","",IF(AND($G65="Yes",N$2=XLOOKUP($A65,TasksTable[Task ID],TasksTable[Start Date],"")),"◆",""))</x:f>
      </x:c>
      <x:c r="O65" s="90" t="str">
        <x:f>IF($A65="","",IF(AND($G65="Yes",O$2=XLOOKUP($A65,TasksTable[Task ID],TasksTable[Start Date],"")),"◆",""))</x:f>
      </x:c>
      <x:c r="P65" s="90" t="str">
        <x:f>IF($A65="","",IF(AND($G65="Yes",P$2=XLOOKUP($A65,TasksTable[Task ID],TasksTable[Start Date],"")),"◆",""))</x:f>
      </x:c>
      <x:c r="Q65" s="90" t="str">
        <x:f>IF($A65="","",IF(AND($G65="Yes",Q$2=XLOOKUP($A65,TasksTable[Task ID],TasksTable[Start Date],"")),"◆",""))</x:f>
      </x:c>
      <x:c r="R65" s="90" t="str">
        <x:f>IF($A65="","",IF(AND($G65="Yes",R$2=XLOOKUP($A65,TasksTable[Task ID],TasksTable[Start Date],"")),"◆",""))</x:f>
      </x:c>
      <x:c r="S65" s="90" t="str">
        <x:f>IF($A65="","",IF(AND($G65="Yes",S$2=XLOOKUP($A65,TasksTable[Task ID],TasksTable[Start Date],"")),"◆",""))</x:f>
      </x:c>
      <x:c r="T65" s="90" t="str">
        <x:f>IF($A65="","",IF(AND($G65="Yes",T$2=XLOOKUP($A65,TasksTable[Task ID],TasksTable[Start Date],"")),"◆",""))</x:f>
      </x:c>
      <x:c r="U65" s="90" t="str">
        <x:f>IF($A65="","",IF(AND($G65="Yes",U$2=XLOOKUP($A65,TasksTable[Task ID],TasksTable[Start Date],"")),"◆",""))</x:f>
      </x:c>
      <x:c r="V65" s="90" t="str">
        <x:f>IF($A65="","",IF(AND($G65="Yes",V$2=XLOOKUP($A65,TasksTable[Task ID],TasksTable[Start Date],"")),"◆",""))</x:f>
      </x:c>
      <x:c r="W65" s="90" t="str">
        <x:f>IF($A65="","",IF(AND($G65="Yes",W$2=XLOOKUP($A65,TasksTable[Task ID],TasksTable[Start Date],"")),"◆",""))</x:f>
      </x:c>
      <x:c r="X65" s="90" t="str">
        <x:f>IF($A65="","",IF(AND($G65="Yes",X$2=XLOOKUP($A65,TasksTable[Task ID],TasksTable[Start Date],"")),"◆",""))</x:f>
      </x:c>
      <x:c r="Y65" s="90" t="str">
        <x:f>IF($A65="","",IF(AND($G65="Yes",Y$2=XLOOKUP($A65,TasksTable[Task ID],TasksTable[Start Date],"")),"◆",""))</x:f>
      </x:c>
      <x:c r="Z65" s="90" t="str">
        <x:f>IF($A65="","",IF(AND($G65="Yes",Z$2=XLOOKUP($A65,TasksTable[Task ID],TasksTable[Start Date],"")),"◆",""))</x:f>
      </x:c>
      <x:c r="AA65" s="90" t="str">
        <x:f>IF($A65="","",IF(AND($G65="Yes",AA$2=XLOOKUP($A65,TasksTable[Task ID],TasksTable[Start Date],"")),"◆",""))</x:f>
      </x:c>
      <x:c r="AB65" s="90" t="str">
        <x:f>IF($A65="","",IF(AND($G65="Yes",AB$2=XLOOKUP($A65,TasksTable[Task ID],TasksTable[Start Date],"")),"◆",""))</x:f>
      </x:c>
      <x:c r="AC65" s="90" t="str">
        <x:f>IF($A65="","",IF(AND($G65="Yes",AC$2=XLOOKUP($A65,TasksTable[Task ID],TasksTable[Start Date],"")),"◆",""))</x:f>
      </x:c>
      <x:c r="AD65" s="90" t="str">
        <x:f>IF($A65="","",IF(AND($G65="Yes",AD$2=XLOOKUP($A65,TasksTable[Task ID],TasksTable[Start Date],"")),"◆",""))</x:f>
      </x:c>
      <x:c r="AE65" s="90" t="str">
        <x:f>IF($A65="","",IF(AND($G65="Yes",AE$2=XLOOKUP($A65,TasksTable[Task ID],TasksTable[Start Date],"")),"◆",""))</x:f>
      </x:c>
      <x:c r="AF65" s="90" t="str">
        <x:f>IF($A65="","",IF(AND($G65="Yes",AF$2=XLOOKUP($A65,TasksTable[Task ID],TasksTable[Start Date],"")),"◆",""))</x:f>
      </x:c>
      <x:c r="AG65" s="90" t="str">
        <x:f>IF($A65="","",IF(AND($G65="Yes",AG$2=XLOOKUP($A65,TasksTable[Task ID],TasksTable[Start Date],"")),"◆",""))</x:f>
      </x:c>
      <x:c r="AH65" s="90" t="str">
        <x:f>IF($A65="","",IF(AND($G65="Yes",AH$2=XLOOKUP($A65,TasksTable[Task ID],TasksTable[Start Date],"")),"◆",""))</x:f>
      </x:c>
      <x:c r="AI65" s="90" t="str">
        <x:f>IF($A65="","",IF(AND($G65="Yes",AI$2=XLOOKUP($A65,TasksTable[Task ID],TasksTable[Start Date],"")),"◆",""))</x:f>
      </x:c>
      <x:c r="AJ65" s="90" t="str">
        <x:f>IF($A65="","",IF(AND($G65="Yes",AJ$2=XLOOKUP($A65,TasksTable[Task ID],TasksTable[Start Date],"")),"◆",""))</x:f>
      </x:c>
      <x:c r="AK65" s="90" t="str">
        <x:f>IF($A65="","",IF(AND($G65="Yes",AK$2=XLOOKUP($A65,TasksTable[Task ID],TasksTable[Start Date],"")),"◆",""))</x:f>
      </x:c>
      <x:c r="AL65" s="90" t="str">
        <x:f>IF($A65="","",IF(AND($G65="Yes",AL$2=XLOOKUP($A65,TasksTable[Task ID],TasksTable[Start Date],"")),"◆",""))</x:f>
      </x:c>
      <x:c r="AM65" s="90" t="str">
        <x:f>IF($A65="","",IF(AND($G65="Yes",AM$2=XLOOKUP($A65,TasksTable[Task ID],TasksTable[Start Date],"")),"◆",""))</x:f>
      </x:c>
      <x:c r="AN65" s="90" t="str">
        <x:f>IF($A65="","",IF(AND($G65="Yes",AN$2=XLOOKUP($A65,TasksTable[Task ID],TasksTable[Start Date],"")),"◆",""))</x:f>
      </x:c>
      <x:c r="AO65" s="90" t="str">
        <x:f>IF($A65="","",IF(AND($G65="Yes",AO$2=XLOOKUP($A65,TasksTable[Task ID],TasksTable[Start Date],"")),"◆",""))</x:f>
      </x:c>
    </x:row>
    <x:row r="66">
      <x:c r="A66" s="10" t="str">
        <x:f>IFERROR(INDEX(TasksTable[Task ID],ROWS($A$4:A66)),"")</x:f>
      </x:c>
      <x:c r="B66" s="10" t="str">
        <x:f>IF($A66="","",IFERROR(XLOOKUP($A66,TasksTable[Task ID],TasksTable[Phase],""),""))</x:f>
      </x:c>
      <x:c r="C66" s="10" t="str">
        <x:f>IF($A66="","",IFERROR(XLOOKUP($A66,TasksTable[Task ID],TasksTable[Task Name],""),""))</x:f>
      </x:c>
      <x:c r="D66" s="10" t="str">
        <x:f>IF($A66="","",IFERROR(XLOOKUP($A66,TasksTable[Task ID],TasksTable[Status],""),""))</x:f>
      </x:c>
      <x:c r="E66" s="86" t="str">
        <x:f>IF($A66="","",IFERROR(XLOOKUP($A66,TasksTable[Task ID],TasksTable[Progress %],0),0))</x:f>
      </x:c>
      <x:c r="F66" s="10" t="str">
        <x:f>IF($A66="","",IFERROR(XLOOKUP($A66,TasksTable[Task ID],TasksTable[Schedule Health],""),""))</x:f>
      </x:c>
      <x:c r="G66" s="10" t="str">
        <x:f>IF($A66="","",IFERROR(XLOOKUP($A66,TasksTable[Task ID],TasksTable[Milestone],""),""))</x:f>
      </x:c>
      <x:c r="H66" s="90" t="str">
        <x:f>IF($A66="","",IF(AND($G66="Yes",H$2=XLOOKUP($A66,TasksTable[Task ID],TasksTable[Start Date],"")),"◆",""))</x:f>
      </x:c>
      <x:c r="I66" s="90" t="str">
        <x:f>IF($A66="","",IF(AND($G66="Yes",I$2=XLOOKUP($A66,TasksTable[Task ID],TasksTable[Start Date],"")),"◆",""))</x:f>
      </x:c>
      <x:c r="J66" s="90" t="str">
        <x:f>IF($A66="","",IF(AND($G66="Yes",J$2=XLOOKUP($A66,TasksTable[Task ID],TasksTable[Start Date],"")),"◆",""))</x:f>
      </x:c>
      <x:c r="K66" s="90" t="str">
        <x:f>IF($A66="","",IF(AND($G66="Yes",K$2=XLOOKUP($A66,TasksTable[Task ID],TasksTable[Start Date],"")),"◆",""))</x:f>
      </x:c>
      <x:c r="L66" s="90" t="str">
        <x:f>IF($A66="","",IF(AND($G66="Yes",L$2=XLOOKUP($A66,TasksTable[Task ID],TasksTable[Start Date],"")),"◆",""))</x:f>
      </x:c>
      <x:c r="M66" s="90" t="str">
        <x:f>IF($A66="","",IF(AND($G66="Yes",M$2=XLOOKUP($A66,TasksTable[Task ID],TasksTable[Start Date],"")),"◆",""))</x:f>
      </x:c>
      <x:c r="N66" s="90" t="str">
        <x:f>IF($A66="","",IF(AND($G66="Yes",N$2=XLOOKUP($A66,TasksTable[Task ID],TasksTable[Start Date],"")),"◆",""))</x:f>
      </x:c>
      <x:c r="O66" s="90" t="str">
        <x:f>IF($A66="","",IF(AND($G66="Yes",O$2=XLOOKUP($A66,TasksTable[Task ID],TasksTable[Start Date],"")),"◆",""))</x:f>
      </x:c>
      <x:c r="P66" s="90" t="str">
        <x:f>IF($A66="","",IF(AND($G66="Yes",P$2=XLOOKUP($A66,TasksTable[Task ID],TasksTable[Start Date],"")),"◆",""))</x:f>
      </x:c>
      <x:c r="Q66" s="90" t="str">
        <x:f>IF($A66="","",IF(AND($G66="Yes",Q$2=XLOOKUP($A66,TasksTable[Task ID],TasksTable[Start Date],"")),"◆",""))</x:f>
      </x:c>
      <x:c r="R66" s="90" t="str">
        <x:f>IF($A66="","",IF(AND($G66="Yes",R$2=XLOOKUP($A66,TasksTable[Task ID],TasksTable[Start Date],"")),"◆",""))</x:f>
      </x:c>
      <x:c r="S66" s="90" t="str">
        <x:f>IF($A66="","",IF(AND($G66="Yes",S$2=XLOOKUP($A66,TasksTable[Task ID],TasksTable[Start Date],"")),"◆",""))</x:f>
      </x:c>
      <x:c r="T66" s="90" t="str">
        <x:f>IF($A66="","",IF(AND($G66="Yes",T$2=XLOOKUP($A66,TasksTable[Task ID],TasksTable[Start Date],"")),"◆",""))</x:f>
      </x:c>
      <x:c r="U66" s="90" t="str">
        <x:f>IF($A66="","",IF(AND($G66="Yes",U$2=XLOOKUP($A66,TasksTable[Task ID],TasksTable[Start Date],"")),"◆",""))</x:f>
      </x:c>
      <x:c r="V66" s="90" t="str">
        <x:f>IF($A66="","",IF(AND($G66="Yes",V$2=XLOOKUP($A66,TasksTable[Task ID],TasksTable[Start Date],"")),"◆",""))</x:f>
      </x:c>
      <x:c r="W66" s="90" t="str">
        <x:f>IF($A66="","",IF(AND($G66="Yes",W$2=XLOOKUP($A66,TasksTable[Task ID],TasksTable[Start Date],"")),"◆",""))</x:f>
      </x:c>
      <x:c r="X66" s="90" t="str">
        <x:f>IF($A66="","",IF(AND($G66="Yes",X$2=XLOOKUP($A66,TasksTable[Task ID],TasksTable[Start Date],"")),"◆",""))</x:f>
      </x:c>
      <x:c r="Y66" s="90" t="str">
        <x:f>IF($A66="","",IF(AND($G66="Yes",Y$2=XLOOKUP($A66,TasksTable[Task ID],TasksTable[Start Date],"")),"◆",""))</x:f>
      </x:c>
      <x:c r="Z66" s="90" t="str">
        <x:f>IF($A66="","",IF(AND($G66="Yes",Z$2=XLOOKUP($A66,TasksTable[Task ID],TasksTable[Start Date],"")),"◆",""))</x:f>
      </x:c>
      <x:c r="AA66" s="90" t="str">
        <x:f>IF($A66="","",IF(AND($G66="Yes",AA$2=XLOOKUP($A66,TasksTable[Task ID],TasksTable[Start Date],"")),"◆",""))</x:f>
      </x:c>
      <x:c r="AB66" s="90" t="str">
        <x:f>IF($A66="","",IF(AND($G66="Yes",AB$2=XLOOKUP($A66,TasksTable[Task ID],TasksTable[Start Date],"")),"◆",""))</x:f>
      </x:c>
      <x:c r="AC66" s="90" t="str">
        <x:f>IF($A66="","",IF(AND($G66="Yes",AC$2=XLOOKUP($A66,TasksTable[Task ID],TasksTable[Start Date],"")),"◆",""))</x:f>
      </x:c>
      <x:c r="AD66" s="90" t="str">
        <x:f>IF($A66="","",IF(AND($G66="Yes",AD$2=XLOOKUP($A66,TasksTable[Task ID],TasksTable[Start Date],"")),"◆",""))</x:f>
      </x:c>
      <x:c r="AE66" s="90" t="str">
        <x:f>IF($A66="","",IF(AND($G66="Yes",AE$2=XLOOKUP($A66,TasksTable[Task ID],TasksTable[Start Date],"")),"◆",""))</x:f>
      </x:c>
      <x:c r="AF66" s="90" t="str">
        <x:f>IF($A66="","",IF(AND($G66="Yes",AF$2=XLOOKUP($A66,TasksTable[Task ID],TasksTable[Start Date],"")),"◆",""))</x:f>
      </x:c>
      <x:c r="AG66" s="90" t="str">
        <x:f>IF($A66="","",IF(AND($G66="Yes",AG$2=XLOOKUP($A66,TasksTable[Task ID],TasksTable[Start Date],"")),"◆",""))</x:f>
      </x:c>
      <x:c r="AH66" s="90" t="str">
        <x:f>IF($A66="","",IF(AND($G66="Yes",AH$2=XLOOKUP($A66,TasksTable[Task ID],TasksTable[Start Date],"")),"◆",""))</x:f>
      </x:c>
      <x:c r="AI66" s="90" t="str">
        <x:f>IF($A66="","",IF(AND($G66="Yes",AI$2=XLOOKUP($A66,TasksTable[Task ID],TasksTable[Start Date],"")),"◆",""))</x:f>
      </x:c>
      <x:c r="AJ66" s="90" t="str">
        <x:f>IF($A66="","",IF(AND($G66="Yes",AJ$2=XLOOKUP($A66,TasksTable[Task ID],TasksTable[Start Date],"")),"◆",""))</x:f>
      </x:c>
      <x:c r="AK66" s="90" t="str">
        <x:f>IF($A66="","",IF(AND($G66="Yes",AK$2=XLOOKUP($A66,TasksTable[Task ID],TasksTable[Start Date],"")),"◆",""))</x:f>
      </x:c>
      <x:c r="AL66" s="90" t="str">
        <x:f>IF($A66="","",IF(AND($G66="Yes",AL$2=XLOOKUP($A66,TasksTable[Task ID],TasksTable[Start Date],"")),"◆",""))</x:f>
      </x:c>
      <x:c r="AM66" s="90" t="str">
        <x:f>IF($A66="","",IF(AND($G66="Yes",AM$2=XLOOKUP($A66,TasksTable[Task ID],TasksTable[Start Date],"")),"◆",""))</x:f>
      </x:c>
      <x:c r="AN66" s="90" t="str">
        <x:f>IF($A66="","",IF(AND($G66="Yes",AN$2=XLOOKUP($A66,TasksTable[Task ID],TasksTable[Start Date],"")),"◆",""))</x:f>
      </x:c>
      <x:c r="AO66" s="90" t="str">
        <x:f>IF($A66="","",IF(AND($G66="Yes",AO$2=XLOOKUP($A66,TasksTable[Task ID],TasksTable[Start Date],"")),"◆",""))</x:f>
      </x:c>
    </x:row>
    <x:row r="67">
      <x:c r="A67" s="10" t="str">
        <x:f>IFERROR(INDEX(TasksTable[Task ID],ROWS($A$4:A67)),"")</x:f>
      </x:c>
      <x:c r="B67" s="10" t="str">
        <x:f>IF($A67="","",IFERROR(XLOOKUP($A67,TasksTable[Task ID],TasksTable[Phase],""),""))</x:f>
      </x:c>
      <x:c r="C67" s="10" t="str">
        <x:f>IF($A67="","",IFERROR(XLOOKUP($A67,TasksTable[Task ID],TasksTable[Task Name],""),""))</x:f>
      </x:c>
      <x:c r="D67" s="10" t="str">
        <x:f>IF($A67="","",IFERROR(XLOOKUP($A67,TasksTable[Task ID],TasksTable[Status],""),""))</x:f>
      </x:c>
      <x:c r="E67" s="86" t="str">
        <x:f>IF($A67="","",IFERROR(XLOOKUP($A67,TasksTable[Task ID],TasksTable[Progress %],0),0))</x:f>
      </x:c>
      <x:c r="F67" s="10" t="str">
        <x:f>IF($A67="","",IFERROR(XLOOKUP($A67,TasksTable[Task ID],TasksTable[Schedule Health],""),""))</x:f>
      </x:c>
      <x:c r="G67" s="10" t="str">
        <x:f>IF($A67="","",IFERROR(XLOOKUP($A67,TasksTable[Task ID],TasksTable[Milestone],""),""))</x:f>
      </x:c>
      <x:c r="H67" s="90" t="str">
        <x:f>IF($A67="","",IF(AND($G67="Yes",H$2=XLOOKUP($A67,TasksTable[Task ID],TasksTable[Start Date],"")),"◆",""))</x:f>
      </x:c>
      <x:c r="I67" s="90" t="str">
        <x:f>IF($A67="","",IF(AND($G67="Yes",I$2=XLOOKUP($A67,TasksTable[Task ID],TasksTable[Start Date],"")),"◆",""))</x:f>
      </x:c>
      <x:c r="J67" s="90" t="str">
        <x:f>IF($A67="","",IF(AND($G67="Yes",J$2=XLOOKUP($A67,TasksTable[Task ID],TasksTable[Start Date],"")),"◆",""))</x:f>
      </x:c>
      <x:c r="K67" s="90" t="str">
        <x:f>IF($A67="","",IF(AND($G67="Yes",K$2=XLOOKUP($A67,TasksTable[Task ID],TasksTable[Start Date],"")),"◆",""))</x:f>
      </x:c>
      <x:c r="L67" s="90" t="str">
        <x:f>IF($A67="","",IF(AND($G67="Yes",L$2=XLOOKUP($A67,TasksTable[Task ID],TasksTable[Start Date],"")),"◆",""))</x:f>
      </x:c>
      <x:c r="M67" s="90" t="str">
        <x:f>IF($A67="","",IF(AND($G67="Yes",M$2=XLOOKUP($A67,TasksTable[Task ID],TasksTable[Start Date],"")),"◆",""))</x:f>
      </x:c>
      <x:c r="N67" s="90" t="str">
        <x:f>IF($A67="","",IF(AND($G67="Yes",N$2=XLOOKUP($A67,TasksTable[Task ID],TasksTable[Start Date],"")),"◆",""))</x:f>
      </x:c>
      <x:c r="O67" s="90" t="str">
        <x:f>IF($A67="","",IF(AND($G67="Yes",O$2=XLOOKUP($A67,TasksTable[Task ID],TasksTable[Start Date],"")),"◆",""))</x:f>
      </x:c>
      <x:c r="P67" s="90" t="str">
        <x:f>IF($A67="","",IF(AND($G67="Yes",P$2=XLOOKUP($A67,TasksTable[Task ID],TasksTable[Start Date],"")),"◆",""))</x:f>
      </x:c>
      <x:c r="Q67" s="90" t="str">
        <x:f>IF($A67="","",IF(AND($G67="Yes",Q$2=XLOOKUP($A67,TasksTable[Task ID],TasksTable[Start Date],"")),"◆",""))</x:f>
      </x:c>
      <x:c r="R67" s="90" t="str">
        <x:f>IF($A67="","",IF(AND($G67="Yes",R$2=XLOOKUP($A67,TasksTable[Task ID],TasksTable[Start Date],"")),"◆",""))</x:f>
      </x:c>
      <x:c r="S67" s="90" t="str">
        <x:f>IF($A67="","",IF(AND($G67="Yes",S$2=XLOOKUP($A67,TasksTable[Task ID],TasksTable[Start Date],"")),"◆",""))</x:f>
      </x:c>
      <x:c r="T67" s="90" t="str">
        <x:f>IF($A67="","",IF(AND($G67="Yes",T$2=XLOOKUP($A67,TasksTable[Task ID],TasksTable[Start Date],"")),"◆",""))</x:f>
      </x:c>
      <x:c r="U67" s="90" t="str">
        <x:f>IF($A67="","",IF(AND($G67="Yes",U$2=XLOOKUP($A67,TasksTable[Task ID],TasksTable[Start Date],"")),"◆",""))</x:f>
      </x:c>
      <x:c r="V67" s="90" t="str">
        <x:f>IF($A67="","",IF(AND($G67="Yes",V$2=XLOOKUP($A67,TasksTable[Task ID],TasksTable[Start Date],"")),"◆",""))</x:f>
      </x:c>
      <x:c r="W67" s="90" t="str">
        <x:f>IF($A67="","",IF(AND($G67="Yes",W$2=XLOOKUP($A67,TasksTable[Task ID],TasksTable[Start Date],"")),"◆",""))</x:f>
      </x:c>
      <x:c r="X67" s="90" t="str">
        <x:f>IF($A67="","",IF(AND($G67="Yes",X$2=XLOOKUP($A67,TasksTable[Task ID],TasksTable[Start Date],"")),"◆",""))</x:f>
      </x:c>
      <x:c r="Y67" s="90" t="str">
        <x:f>IF($A67="","",IF(AND($G67="Yes",Y$2=XLOOKUP($A67,TasksTable[Task ID],TasksTable[Start Date],"")),"◆",""))</x:f>
      </x:c>
      <x:c r="Z67" s="90" t="str">
        <x:f>IF($A67="","",IF(AND($G67="Yes",Z$2=XLOOKUP($A67,TasksTable[Task ID],TasksTable[Start Date],"")),"◆",""))</x:f>
      </x:c>
      <x:c r="AA67" s="90" t="str">
        <x:f>IF($A67="","",IF(AND($G67="Yes",AA$2=XLOOKUP($A67,TasksTable[Task ID],TasksTable[Start Date],"")),"◆",""))</x:f>
      </x:c>
      <x:c r="AB67" s="90" t="str">
        <x:f>IF($A67="","",IF(AND($G67="Yes",AB$2=XLOOKUP($A67,TasksTable[Task ID],TasksTable[Start Date],"")),"◆",""))</x:f>
      </x:c>
      <x:c r="AC67" s="90" t="str">
        <x:f>IF($A67="","",IF(AND($G67="Yes",AC$2=XLOOKUP($A67,TasksTable[Task ID],TasksTable[Start Date],"")),"◆",""))</x:f>
      </x:c>
      <x:c r="AD67" s="90" t="str">
        <x:f>IF($A67="","",IF(AND($G67="Yes",AD$2=XLOOKUP($A67,TasksTable[Task ID],TasksTable[Start Date],"")),"◆",""))</x:f>
      </x:c>
      <x:c r="AE67" s="90" t="str">
        <x:f>IF($A67="","",IF(AND($G67="Yes",AE$2=XLOOKUP($A67,TasksTable[Task ID],TasksTable[Start Date],"")),"◆",""))</x:f>
      </x:c>
      <x:c r="AF67" s="90" t="str">
        <x:f>IF($A67="","",IF(AND($G67="Yes",AF$2=XLOOKUP($A67,TasksTable[Task ID],TasksTable[Start Date],"")),"◆",""))</x:f>
      </x:c>
      <x:c r="AG67" s="90" t="str">
        <x:f>IF($A67="","",IF(AND($G67="Yes",AG$2=XLOOKUP($A67,TasksTable[Task ID],TasksTable[Start Date],"")),"◆",""))</x:f>
      </x:c>
      <x:c r="AH67" s="90" t="str">
        <x:f>IF($A67="","",IF(AND($G67="Yes",AH$2=XLOOKUP($A67,TasksTable[Task ID],TasksTable[Start Date],"")),"◆",""))</x:f>
      </x:c>
      <x:c r="AI67" s="90" t="str">
        <x:f>IF($A67="","",IF(AND($G67="Yes",AI$2=XLOOKUP($A67,TasksTable[Task ID],TasksTable[Start Date],"")),"◆",""))</x:f>
      </x:c>
      <x:c r="AJ67" s="90" t="str">
        <x:f>IF($A67="","",IF(AND($G67="Yes",AJ$2=XLOOKUP($A67,TasksTable[Task ID],TasksTable[Start Date],"")),"◆",""))</x:f>
      </x:c>
      <x:c r="AK67" s="90" t="str">
        <x:f>IF($A67="","",IF(AND($G67="Yes",AK$2=XLOOKUP($A67,TasksTable[Task ID],TasksTable[Start Date],"")),"◆",""))</x:f>
      </x:c>
      <x:c r="AL67" s="90" t="str">
        <x:f>IF($A67="","",IF(AND($G67="Yes",AL$2=XLOOKUP($A67,TasksTable[Task ID],TasksTable[Start Date],"")),"◆",""))</x:f>
      </x:c>
      <x:c r="AM67" s="90" t="str">
        <x:f>IF($A67="","",IF(AND($G67="Yes",AM$2=XLOOKUP($A67,TasksTable[Task ID],TasksTable[Start Date],"")),"◆",""))</x:f>
      </x:c>
      <x:c r="AN67" s="90" t="str">
        <x:f>IF($A67="","",IF(AND($G67="Yes",AN$2=XLOOKUP($A67,TasksTable[Task ID],TasksTable[Start Date],"")),"◆",""))</x:f>
      </x:c>
      <x:c r="AO67" s="90" t="str">
        <x:f>IF($A67="","",IF(AND($G67="Yes",AO$2=XLOOKUP($A67,TasksTable[Task ID],TasksTable[Start Date],"")),"◆",""))</x:f>
      </x:c>
    </x:row>
    <x:row r="68">
      <x:c r="A68" s="10" t="str">
        <x:f>IFERROR(INDEX(TasksTable[Task ID],ROWS($A$4:A68)),"")</x:f>
      </x:c>
      <x:c r="B68" s="10" t="str">
        <x:f>IF($A68="","",IFERROR(XLOOKUP($A68,TasksTable[Task ID],TasksTable[Phase],""),""))</x:f>
      </x:c>
      <x:c r="C68" s="10" t="str">
        <x:f>IF($A68="","",IFERROR(XLOOKUP($A68,TasksTable[Task ID],TasksTable[Task Name],""),""))</x:f>
      </x:c>
      <x:c r="D68" s="10" t="str">
        <x:f>IF($A68="","",IFERROR(XLOOKUP($A68,TasksTable[Task ID],TasksTable[Status],""),""))</x:f>
      </x:c>
      <x:c r="E68" s="86" t="str">
        <x:f>IF($A68="","",IFERROR(XLOOKUP($A68,TasksTable[Task ID],TasksTable[Progress %],0),0))</x:f>
      </x:c>
      <x:c r="F68" s="10" t="str">
        <x:f>IF($A68="","",IFERROR(XLOOKUP($A68,TasksTable[Task ID],TasksTable[Schedule Health],""),""))</x:f>
      </x:c>
      <x:c r="G68" s="10" t="str">
        <x:f>IF($A68="","",IFERROR(XLOOKUP($A68,TasksTable[Task ID],TasksTable[Milestone],""),""))</x:f>
      </x:c>
      <x:c r="H68" s="90" t="str">
        <x:f>IF($A68="","",IF(AND($G68="Yes",H$2=XLOOKUP($A68,TasksTable[Task ID],TasksTable[Start Date],"")),"◆",""))</x:f>
      </x:c>
      <x:c r="I68" s="90" t="str">
        <x:f>IF($A68="","",IF(AND($G68="Yes",I$2=XLOOKUP($A68,TasksTable[Task ID],TasksTable[Start Date],"")),"◆",""))</x:f>
      </x:c>
      <x:c r="J68" s="90" t="str">
        <x:f>IF($A68="","",IF(AND($G68="Yes",J$2=XLOOKUP($A68,TasksTable[Task ID],TasksTable[Start Date],"")),"◆",""))</x:f>
      </x:c>
      <x:c r="K68" s="90" t="str">
        <x:f>IF($A68="","",IF(AND($G68="Yes",K$2=XLOOKUP($A68,TasksTable[Task ID],TasksTable[Start Date],"")),"◆",""))</x:f>
      </x:c>
      <x:c r="L68" s="90" t="str">
        <x:f>IF($A68="","",IF(AND($G68="Yes",L$2=XLOOKUP($A68,TasksTable[Task ID],TasksTable[Start Date],"")),"◆",""))</x:f>
      </x:c>
      <x:c r="M68" s="90" t="str">
        <x:f>IF($A68="","",IF(AND($G68="Yes",M$2=XLOOKUP($A68,TasksTable[Task ID],TasksTable[Start Date],"")),"◆",""))</x:f>
      </x:c>
      <x:c r="N68" s="90" t="str">
        <x:f>IF($A68="","",IF(AND($G68="Yes",N$2=XLOOKUP($A68,TasksTable[Task ID],TasksTable[Start Date],"")),"◆",""))</x:f>
      </x:c>
      <x:c r="O68" s="90" t="str">
        <x:f>IF($A68="","",IF(AND($G68="Yes",O$2=XLOOKUP($A68,TasksTable[Task ID],TasksTable[Start Date],"")),"◆",""))</x:f>
      </x:c>
      <x:c r="P68" s="90" t="str">
        <x:f>IF($A68="","",IF(AND($G68="Yes",P$2=XLOOKUP($A68,TasksTable[Task ID],TasksTable[Start Date],"")),"◆",""))</x:f>
      </x:c>
      <x:c r="Q68" s="90" t="str">
        <x:f>IF($A68="","",IF(AND($G68="Yes",Q$2=XLOOKUP($A68,TasksTable[Task ID],TasksTable[Start Date],"")),"◆",""))</x:f>
      </x:c>
      <x:c r="R68" s="90" t="str">
        <x:f>IF($A68="","",IF(AND($G68="Yes",R$2=XLOOKUP($A68,TasksTable[Task ID],TasksTable[Start Date],"")),"◆",""))</x:f>
      </x:c>
      <x:c r="S68" s="90" t="str">
        <x:f>IF($A68="","",IF(AND($G68="Yes",S$2=XLOOKUP($A68,TasksTable[Task ID],TasksTable[Start Date],"")),"◆",""))</x:f>
      </x:c>
      <x:c r="T68" s="90" t="str">
        <x:f>IF($A68="","",IF(AND($G68="Yes",T$2=XLOOKUP($A68,TasksTable[Task ID],TasksTable[Start Date],"")),"◆",""))</x:f>
      </x:c>
      <x:c r="U68" s="90" t="str">
        <x:f>IF($A68="","",IF(AND($G68="Yes",U$2=XLOOKUP($A68,TasksTable[Task ID],TasksTable[Start Date],"")),"◆",""))</x:f>
      </x:c>
      <x:c r="V68" s="90" t="str">
        <x:f>IF($A68="","",IF(AND($G68="Yes",V$2=XLOOKUP($A68,TasksTable[Task ID],TasksTable[Start Date],"")),"◆",""))</x:f>
      </x:c>
      <x:c r="W68" s="90" t="str">
        <x:f>IF($A68="","",IF(AND($G68="Yes",W$2=XLOOKUP($A68,TasksTable[Task ID],TasksTable[Start Date],"")),"◆",""))</x:f>
      </x:c>
      <x:c r="X68" s="90" t="str">
        <x:f>IF($A68="","",IF(AND($G68="Yes",X$2=XLOOKUP($A68,TasksTable[Task ID],TasksTable[Start Date],"")),"◆",""))</x:f>
      </x:c>
      <x:c r="Y68" s="90" t="str">
        <x:f>IF($A68="","",IF(AND($G68="Yes",Y$2=XLOOKUP($A68,TasksTable[Task ID],TasksTable[Start Date],"")),"◆",""))</x:f>
      </x:c>
      <x:c r="Z68" s="90" t="str">
        <x:f>IF($A68="","",IF(AND($G68="Yes",Z$2=XLOOKUP($A68,TasksTable[Task ID],TasksTable[Start Date],"")),"◆",""))</x:f>
      </x:c>
      <x:c r="AA68" s="90" t="str">
        <x:f>IF($A68="","",IF(AND($G68="Yes",AA$2=XLOOKUP($A68,TasksTable[Task ID],TasksTable[Start Date],"")),"◆",""))</x:f>
      </x:c>
      <x:c r="AB68" s="90" t="str">
        <x:f>IF($A68="","",IF(AND($G68="Yes",AB$2=XLOOKUP($A68,TasksTable[Task ID],TasksTable[Start Date],"")),"◆",""))</x:f>
      </x:c>
      <x:c r="AC68" s="90" t="str">
        <x:f>IF($A68="","",IF(AND($G68="Yes",AC$2=XLOOKUP($A68,TasksTable[Task ID],TasksTable[Start Date],"")),"◆",""))</x:f>
      </x:c>
      <x:c r="AD68" s="90" t="str">
        <x:f>IF($A68="","",IF(AND($G68="Yes",AD$2=XLOOKUP($A68,TasksTable[Task ID],TasksTable[Start Date],"")),"◆",""))</x:f>
      </x:c>
      <x:c r="AE68" s="90" t="str">
        <x:f>IF($A68="","",IF(AND($G68="Yes",AE$2=XLOOKUP($A68,TasksTable[Task ID],TasksTable[Start Date],"")),"◆",""))</x:f>
      </x:c>
      <x:c r="AF68" s="90" t="str">
        <x:f>IF($A68="","",IF(AND($G68="Yes",AF$2=XLOOKUP($A68,TasksTable[Task ID],TasksTable[Start Date],"")),"◆",""))</x:f>
      </x:c>
      <x:c r="AG68" s="90" t="str">
        <x:f>IF($A68="","",IF(AND($G68="Yes",AG$2=XLOOKUP($A68,TasksTable[Task ID],TasksTable[Start Date],"")),"◆",""))</x:f>
      </x:c>
      <x:c r="AH68" s="90" t="str">
        <x:f>IF($A68="","",IF(AND($G68="Yes",AH$2=XLOOKUP($A68,TasksTable[Task ID],TasksTable[Start Date],"")),"◆",""))</x:f>
      </x:c>
      <x:c r="AI68" s="90" t="str">
        <x:f>IF($A68="","",IF(AND($G68="Yes",AI$2=XLOOKUP($A68,TasksTable[Task ID],TasksTable[Start Date],"")),"◆",""))</x:f>
      </x:c>
      <x:c r="AJ68" s="90" t="str">
        <x:f>IF($A68="","",IF(AND($G68="Yes",AJ$2=XLOOKUP($A68,TasksTable[Task ID],TasksTable[Start Date],"")),"◆",""))</x:f>
      </x:c>
      <x:c r="AK68" s="90" t="str">
        <x:f>IF($A68="","",IF(AND($G68="Yes",AK$2=XLOOKUP($A68,TasksTable[Task ID],TasksTable[Start Date],"")),"◆",""))</x:f>
      </x:c>
      <x:c r="AL68" s="90" t="str">
        <x:f>IF($A68="","",IF(AND($G68="Yes",AL$2=XLOOKUP($A68,TasksTable[Task ID],TasksTable[Start Date],"")),"◆",""))</x:f>
      </x:c>
      <x:c r="AM68" s="90" t="str">
        <x:f>IF($A68="","",IF(AND($G68="Yes",AM$2=XLOOKUP($A68,TasksTable[Task ID],TasksTable[Start Date],"")),"◆",""))</x:f>
      </x:c>
      <x:c r="AN68" s="90" t="str">
        <x:f>IF($A68="","",IF(AND($G68="Yes",AN$2=XLOOKUP($A68,TasksTable[Task ID],TasksTable[Start Date],"")),"◆",""))</x:f>
      </x:c>
      <x:c r="AO68" s="90" t="str">
        <x:f>IF($A68="","",IF(AND($G68="Yes",AO$2=XLOOKUP($A68,TasksTable[Task ID],TasksTable[Start Date],"")),"◆",""))</x:f>
      </x:c>
    </x:row>
    <x:row r="69">
      <x:c r="A69" s="10" t="str">
        <x:f>IFERROR(INDEX(TasksTable[Task ID],ROWS($A$4:A69)),"")</x:f>
      </x:c>
      <x:c r="B69" s="10" t="str">
        <x:f>IF($A69="","",IFERROR(XLOOKUP($A69,TasksTable[Task ID],TasksTable[Phase],""),""))</x:f>
      </x:c>
      <x:c r="C69" s="10" t="str">
        <x:f>IF($A69="","",IFERROR(XLOOKUP($A69,TasksTable[Task ID],TasksTable[Task Name],""),""))</x:f>
      </x:c>
      <x:c r="D69" s="10" t="str">
        <x:f>IF($A69="","",IFERROR(XLOOKUP($A69,TasksTable[Task ID],TasksTable[Status],""),""))</x:f>
      </x:c>
      <x:c r="E69" s="86" t="str">
        <x:f>IF($A69="","",IFERROR(XLOOKUP($A69,TasksTable[Task ID],TasksTable[Progress %],0),0))</x:f>
      </x:c>
      <x:c r="F69" s="10" t="str">
        <x:f>IF($A69="","",IFERROR(XLOOKUP($A69,TasksTable[Task ID],TasksTable[Schedule Health],""),""))</x:f>
      </x:c>
      <x:c r="G69" s="10" t="str">
        <x:f>IF($A69="","",IFERROR(XLOOKUP($A69,TasksTable[Task ID],TasksTable[Milestone],""),""))</x:f>
      </x:c>
      <x:c r="H69" s="90" t="str">
        <x:f>IF($A69="","",IF(AND($G69="Yes",H$2=XLOOKUP($A69,TasksTable[Task ID],TasksTable[Start Date],"")),"◆",""))</x:f>
      </x:c>
      <x:c r="I69" s="90" t="str">
        <x:f>IF($A69="","",IF(AND($G69="Yes",I$2=XLOOKUP($A69,TasksTable[Task ID],TasksTable[Start Date],"")),"◆",""))</x:f>
      </x:c>
      <x:c r="J69" s="90" t="str">
        <x:f>IF($A69="","",IF(AND($G69="Yes",J$2=XLOOKUP($A69,TasksTable[Task ID],TasksTable[Start Date],"")),"◆",""))</x:f>
      </x:c>
      <x:c r="K69" s="90" t="str">
        <x:f>IF($A69="","",IF(AND($G69="Yes",K$2=XLOOKUP($A69,TasksTable[Task ID],TasksTable[Start Date],"")),"◆",""))</x:f>
      </x:c>
      <x:c r="L69" s="90" t="str">
        <x:f>IF($A69="","",IF(AND($G69="Yes",L$2=XLOOKUP($A69,TasksTable[Task ID],TasksTable[Start Date],"")),"◆",""))</x:f>
      </x:c>
      <x:c r="M69" s="90" t="str">
        <x:f>IF($A69="","",IF(AND($G69="Yes",M$2=XLOOKUP($A69,TasksTable[Task ID],TasksTable[Start Date],"")),"◆",""))</x:f>
      </x:c>
      <x:c r="N69" s="90" t="str">
        <x:f>IF($A69="","",IF(AND($G69="Yes",N$2=XLOOKUP($A69,TasksTable[Task ID],TasksTable[Start Date],"")),"◆",""))</x:f>
      </x:c>
      <x:c r="O69" s="90" t="str">
        <x:f>IF($A69="","",IF(AND($G69="Yes",O$2=XLOOKUP($A69,TasksTable[Task ID],TasksTable[Start Date],"")),"◆",""))</x:f>
      </x:c>
      <x:c r="P69" s="90" t="str">
        <x:f>IF($A69="","",IF(AND($G69="Yes",P$2=XLOOKUP($A69,TasksTable[Task ID],TasksTable[Start Date],"")),"◆",""))</x:f>
      </x:c>
      <x:c r="Q69" s="90" t="str">
        <x:f>IF($A69="","",IF(AND($G69="Yes",Q$2=XLOOKUP($A69,TasksTable[Task ID],TasksTable[Start Date],"")),"◆",""))</x:f>
      </x:c>
      <x:c r="R69" s="90" t="str">
        <x:f>IF($A69="","",IF(AND($G69="Yes",R$2=XLOOKUP($A69,TasksTable[Task ID],TasksTable[Start Date],"")),"◆",""))</x:f>
      </x:c>
      <x:c r="S69" s="90" t="str">
        <x:f>IF($A69="","",IF(AND($G69="Yes",S$2=XLOOKUP($A69,TasksTable[Task ID],TasksTable[Start Date],"")),"◆",""))</x:f>
      </x:c>
      <x:c r="T69" s="90" t="str">
        <x:f>IF($A69="","",IF(AND($G69="Yes",T$2=XLOOKUP($A69,TasksTable[Task ID],TasksTable[Start Date],"")),"◆",""))</x:f>
      </x:c>
      <x:c r="U69" s="90" t="str">
        <x:f>IF($A69="","",IF(AND($G69="Yes",U$2=XLOOKUP($A69,TasksTable[Task ID],TasksTable[Start Date],"")),"◆",""))</x:f>
      </x:c>
      <x:c r="V69" s="90" t="str">
        <x:f>IF($A69="","",IF(AND($G69="Yes",V$2=XLOOKUP($A69,TasksTable[Task ID],TasksTable[Start Date],"")),"◆",""))</x:f>
      </x:c>
      <x:c r="W69" s="90" t="str">
        <x:f>IF($A69="","",IF(AND($G69="Yes",W$2=XLOOKUP($A69,TasksTable[Task ID],TasksTable[Start Date],"")),"◆",""))</x:f>
      </x:c>
      <x:c r="X69" s="90" t="str">
        <x:f>IF($A69="","",IF(AND($G69="Yes",X$2=XLOOKUP($A69,TasksTable[Task ID],TasksTable[Start Date],"")),"◆",""))</x:f>
      </x:c>
      <x:c r="Y69" s="90" t="str">
        <x:f>IF($A69="","",IF(AND($G69="Yes",Y$2=XLOOKUP($A69,TasksTable[Task ID],TasksTable[Start Date],"")),"◆",""))</x:f>
      </x:c>
      <x:c r="Z69" s="90" t="str">
        <x:f>IF($A69="","",IF(AND($G69="Yes",Z$2=XLOOKUP($A69,TasksTable[Task ID],TasksTable[Start Date],"")),"◆",""))</x:f>
      </x:c>
      <x:c r="AA69" s="90" t="str">
        <x:f>IF($A69="","",IF(AND($G69="Yes",AA$2=XLOOKUP($A69,TasksTable[Task ID],TasksTable[Start Date],"")),"◆",""))</x:f>
      </x:c>
      <x:c r="AB69" s="90" t="str">
        <x:f>IF($A69="","",IF(AND($G69="Yes",AB$2=XLOOKUP($A69,TasksTable[Task ID],TasksTable[Start Date],"")),"◆",""))</x:f>
      </x:c>
      <x:c r="AC69" s="90" t="str">
        <x:f>IF($A69="","",IF(AND($G69="Yes",AC$2=XLOOKUP($A69,TasksTable[Task ID],TasksTable[Start Date],"")),"◆",""))</x:f>
      </x:c>
      <x:c r="AD69" s="90" t="str">
        <x:f>IF($A69="","",IF(AND($G69="Yes",AD$2=XLOOKUP($A69,TasksTable[Task ID],TasksTable[Start Date],"")),"◆",""))</x:f>
      </x:c>
      <x:c r="AE69" s="90" t="str">
        <x:f>IF($A69="","",IF(AND($G69="Yes",AE$2=XLOOKUP($A69,TasksTable[Task ID],TasksTable[Start Date],"")),"◆",""))</x:f>
      </x:c>
      <x:c r="AF69" s="90" t="str">
        <x:f>IF($A69="","",IF(AND($G69="Yes",AF$2=XLOOKUP($A69,TasksTable[Task ID],TasksTable[Start Date],"")),"◆",""))</x:f>
      </x:c>
      <x:c r="AG69" s="90" t="str">
        <x:f>IF($A69="","",IF(AND($G69="Yes",AG$2=XLOOKUP($A69,TasksTable[Task ID],TasksTable[Start Date],"")),"◆",""))</x:f>
      </x:c>
      <x:c r="AH69" s="90" t="str">
        <x:f>IF($A69="","",IF(AND($G69="Yes",AH$2=XLOOKUP($A69,TasksTable[Task ID],TasksTable[Start Date],"")),"◆",""))</x:f>
      </x:c>
      <x:c r="AI69" s="90" t="str">
        <x:f>IF($A69="","",IF(AND($G69="Yes",AI$2=XLOOKUP($A69,TasksTable[Task ID],TasksTable[Start Date],"")),"◆",""))</x:f>
      </x:c>
      <x:c r="AJ69" s="90" t="str">
        <x:f>IF($A69="","",IF(AND($G69="Yes",AJ$2=XLOOKUP($A69,TasksTable[Task ID],TasksTable[Start Date],"")),"◆",""))</x:f>
      </x:c>
      <x:c r="AK69" s="90" t="str">
        <x:f>IF($A69="","",IF(AND($G69="Yes",AK$2=XLOOKUP($A69,TasksTable[Task ID],TasksTable[Start Date],"")),"◆",""))</x:f>
      </x:c>
      <x:c r="AL69" s="90" t="str">
        <x:f>IF($A69="","",IF(AND($G69="Yes",AL$2=XLOOKUP($A69,TasksTable[Task ID],TasksTable[Start Date],"")),"◆",""))</x:f>
      </x:c>
      <x:c r="AM69" s="90" t="str">
        <x:f>IF($A69="","",IF(AND($G69="Yes",AM$2=XLOOKUP($A69,TasksTable[Task ID],TasksTable[Start Date],"")),"◆",""))</x:f>
      </x:c>
      <x:c r="AN69" s="90" t="str">
        <x:f>IF($A69="","",IF(AND($G69="Yes",AN$2=XLOOKUP($A69,TasksTable[Task ID],TasksTable[Start Date],"")),"◆",""))</x:f>
      </x:c>
      <x:c r="AO69" s="90" t="str">
        <x:f>IF($A69="","",IF(AND($G69="Yes",AO$2=XLOOKUP($A69,TasksTable[Task ID],TasksTable[Start Date],"")),"◆",""))</x:f>
      </x:c>
    </x:row>
    <x:row r="70">
      <x:c r="A70" s="10" t="str">
        <x:f>IFERROR(INDEX(TasksTable[Task ID],ROWS($A$4:A70)),"")</x:f>
      </x:c>
      <x:c r="B70" s="10" t="str">
        <x:f>IF($A70="","",IFERROR(XLOOKUP($A70,TasksTable[Task ID],TasksTable[Phase],""),""))</x:f>
      </x:c>
      <x:c r="C70" s="10" t="str">
        <x:f>IF($A70="","",IFERROR(XLOOKUP($A70,TasksTable[Task ID],TasksTable[Task Name],""),""))</x:f>
      </x:c>
      <x:c r="D70" s="10" t="str">
        <x:f>IF($A70="","",IFERROR(XLOOKUP($A70,TasksTable[Task ID],TasksTable[Status],""),""))</x:f>
      </x:c>
      <x:c r="E70" s="86" t="str">
        <x:f>IF($A70="","",IFERROR(XLOOKUP($A70,TasksTable[Task ID],TasksTable[Progress %],0),0))</x:f>
      </x:c>
      <x:c r="F70" s="10" t="str">
        <x:f>IF($A70="","",IFERROR(XLOOKUP($A70,TasksTable[Task ID],TasksTable[Schedule Health],""),""))</x:f>
      </x:c>
      <x:c r="G70" s="10" t="str">
        <x:f>IF($A70="","",IFERROR(XLOOKUP($A70,TasksTable[Task ID],TasksTable[Milestone],""),""))</x:f>
      </x:c>
      <x:c r="H70" s="90" t="str">
        <x:f>IF($A70="","",IF(AND($G70="Yes",H$2=XLOOKUP($A70,TasksTable[Task ID],TasksTable[Start Date],"")),"◆",""))</x:f>
      </x:c>
      <x:c r="I70" s="90" t="str">
        <x:f>IF($A70="","",IF(AND($G70="Yes",I$2=XLOOKUP($A70,TasksTable[Task ID],TasksTable[Start Date],"")),"◆",""))</x:f>
      </x:c>
      <x:c r="J70" s="90" t="str">
        <x:f>IF($A70="","",IF(AND($G70="Yes",J$2=XLOOKUP($A70,TasksTable[Task ID],TasksTable[Start Date],"")),"◆",""))</x:f>
      </x:c>
      <x:c r="K70" s="90" t="str">
        <x:f>IF($A70="","",IF(AND($G70="Yes",K$2=XLOOKUP($A70,TasksTable[Task ID],TasksTable[Start Date],"")),"◆",""))</x:f>
      </x:c>
      <x:c r="L70" s="90" t="str">
        <x:f>IF($A70="","",IF(AND($G70="Yes",L$2=XLOOKUP($A70,TasksTable[Task ID],TasksTable[Start Date],"")),"◆",""))</x:f>
      </x:c>
      <x:c r="M70" s="90" t="str">
        <x:f>IF($A70="","",IF(AND($G70="Yes",M$2=XLOOKUP($A70,TasksTable[Task ID],TasksTable[Start Date],"")),"◆",""))</x:f>
      </x:c>
      <x:c r="N70" s="90" t="str">
        <x:f>IF($A70="","",IF(AND($G70="Yes",N$2=XLOOKUP($A70,TasksTable[Task ID],TasksTable[Start Date],"")),"◆",""))</x:f>
      </x:c>
      <x:c r="O70" s="90" t="str">
        <x:f>IF($A70="","",IF(AND($G70="Yes",O$2=XLOOKUP($A70,TasksTable[Task ID],TasksTable[Start Date],"")),"◆",""))</x:f>
      </x:c>
      <x:c r="P70" s="90" t="str">
        <x:f>IF($A70="","",IF(AND($G70="Yes",P$2=XLOOKUP($A70,TasksTable[Task ID],TasksTable[Start Date],"")),"◆",""))</x:f>
      </x:c>
      <x:c r="Q70" s="90" t="str">
        <x:f>IF($A70="","",IF(AND($G70="Yes",Q$2=XLOOKUP($A70,TasksTable[Task ID],TasksTable[Start Date],"")),"◆",""))</x:f>
      </x:c>
      <x:c r="R70" s="90" t="str">
        <x:f>IF($A70="","",IF(AND($G70="Yes",R$2=XLOOKUP($A70,TasksTable[Task ID],TasksTable[Start Date],"")),"◆",""))</x:f>
      </x:c>
      <x:c r="S70" s="90" t="str">
        <x:f>IF($A70="","",IF(AND($G70="Yes",S$2=XLOOKUP($A70,TasksTable[Task ID],TasksTable[Start Date],"")),"◆",""))</x:f>
      </x:c>
      <x:c r="T70" s="90" t="str">
        <x:f>IF($A70="","",IF(AND($G70="Yes",T$2=XLOOKUP($A70,TasksTable[Task ID],TasksTable[Start Date],"")),"◆",""))</x:f>
      </x:c>
      <x:c r="U70" s="90" t="str">
        <x:f>IF($A70="","",IF(AND($G70="Yes",U$2=XLOOKUP($A70,TasksTable[Task ID],TasksTable[Start Date],"")),"◆",""))</x:f>
      </x:c>
      <x:c r="V70" s="90" t="str">
        <x:f>IF($A70="","",IF(AND($G70="Yes",V$2=XLOOKUP($A70,TasksTable[Task ID],TasksTable[Start Date],"")),"◆",""))</x:f>
      </x:c>
      <x:c r="W70" s="90" t="str">
        <x:f>IF($A70="","",IF(AND($G70="Yes",W$2=XLOOKUP($A70,TasksTable[Task ID],TasksTable[Start Date],"")),"◆",""))</x:f>
      </x:c>
      <x:c r="X70" s="90" t="str">
        <x:f>IF($A70="","",IF(AND($G70="Yes",X$2=XLOOKUP($A70,TasksTable[Task ID],TasksTable[Start Date],"")),"◆",""))</x:f>
      </x:c>
      <x:c r="Y70" s="90" t="str">
        <x:f>IF($A70="","",IF(AND($G70="Yes",Y$2=XLOOKUP($A70,TasksTable[Task ID],TasksTable[Start Date],"")),"◆",""))</x:f>
      </x:c>
      <x:c r="Z70" s="90" t="str">
        <x:f>IF($A70="","",IF(AND($G70="Yes",Z$2=XLOOKUP($A70,TasksTable[Task ID],TasksTable[Start Date],"")),"◆",""))</x:f>
      </x:c>
      <x:c r="AA70" s="90" t="str">
        <x:f>IF($A70="","",IF(AND($G70="Yes",AA$2=XLOOKUP($A70,TasksTable[Task ID],TasksTable[Start Date],"")),"◆",""))</x:f>
      </x:c>
      <x:c r="AB70" s="90" t="str">
        <x:f>IF($A70="","",IF(AND($G70="Yes",AB$2=XLOOKUP($A70,TasksTable[Task ID],TasksTable[Start Date],"")),"◆",""))</x:f>
      </x:c>
      <x:c r="AC70" s="90" t="str">
        <x:f>IF($A70="","",IF(AND($G70="Yes",AC$2=XLOOKUP($A70,TasksTable[Task ID],TasksTable[Start Date],"")),"◆",""))</x:f>
      </x:c>
      <x:c r="AD70" s="90" t="str">
        <x:f>IF($A70="","",IF(AND($G70="Yes",AD$2=XLOOKUP($A70,TasksTable[Task ID],TasksTable[Start Date],"")),"◆",""))</x:f>
      </x:c>
      <x:c r="AE70" s="90" t="str">
        <x:f>IF($A70="","",IF(AND($G70="Yes",AE$2=XLOOKUP($A70,TasksTable[Task ID],TasksTable[Start Date],"")),"◆",""))</x:f>
      </x:c>
      <x:c r="AF70" s="90" t="str">
        <x:f>IF($A70="","",IF(AND($G70="Yes",AF$2=XLOOKUP($A70,TasksTable[Task ID],TasksTable[Start Date],"")),"◆",""))</x:f>
      </x:c>
      <x:c r="AG70" s="90" t="str">
        <x:f>IF($A70="","",IF(AND($G70="Yes",AG$2=XLOOKUP($A70,TasksTable[Task ID],TasksTable[Start Date],"")),"◆",""))</x:f>
      </x:c>
      <x:c r="AH70" s="90" t="str">
        <x:f>IF($A70="","",IF(AND($G70="Yes",AH$2=XLOOKUP($A70,TasksTable[Task ID],TasksTable[Start Date],"")),"◆",""))</x:f>
      </x:c>
      <x:c r="AI70" s="90" t="str">
        <x:f>IF($A70="","",IF(AND($G70="Yes",AI$2=XLOOKUP($A70,TasksTable[Task ID],TasksTable[Start Date],"")),"◆",""))</x:f>
      </x:c>
      <x:c r="AJ70" s="90" t="str">
        <x:f>IF($A70="","",IF(AND($G70="Yes",AJ$2=XLOOKUP($A70,TasksTable[Task ID],TasksTable[Start Date],"")),"◆",""))</x:f>
      </x:c>
      <x:c r="AK70" s="90" t="str">
        <x:f>IF($A70="","",IF(AND($G70="Yes",AK$2=XLOOKUP($A70,TasksTable[Task ID],TasksTable[Start Date],"")),"◆",""))</x:f>
      </x:c>
      <x:c r="AL70" s="90" t="str">
        <x:f>IF($A70="","",IF(AND($G70="Yes",AL$2=XLOOKUP($A70,TasksTable[Task ID],TasksTable[Start Date],"")),"◆",""))</x:f>
      </x:c>
      <x:c r="AM70" s="90" t="str">
        <x:f>IF($A70="","",IF(AND($G70="Yes",AM$2=XLOOKUP($A70,TasksTable[Task ID],TasksTable[Start Date],"")),"◆",""))</x:f>
      </x:c>
      <x:c r="AN70" s="90" t="str">
        <x:f>IF($A70="","",IF(AND($G70="Yes",AN$2=XLOOKUP($A70,TasksTable[Task ID],TasksTable[Start Date],"")),"◆",""))</x:f>
      </x:c>
      <x:c r="AO70" s="90" t="str">
        <x:f>IF($A70="","",IF(AND($G70="Yes",AO$2=XLOOKUP($A70,TasksTable[Task ID],TasksTable[Start Date],"")),"◆",""))</x:f>
      </x:c>
    </x:row>
    <x:row r="71">
      <x:c r="A71" s="10" t="str">
        <x:f>IFERROR(INDEX(TasksTable[Task ID],ROWS($A$4:A71)),"")</x:f>
      </x:c>
      <x:c r="B71" s="10" t="str">
        <x:f>IF($A71="","",IFERROR(XLOOKUP($A71,TasksTable[Task ID],TasksTable[Phase],""),""))</x:f>
      </x:c>
      <x:c r="C71" s="10" t="str">
        <x:f>IF($A71="","",IFERROR(XLOOKUP($A71,TasksTable[Task ID],TasksTable[Task Name],""),""))</x:f>
      </x:c>
      <x:c r="D71" s="10" t="str">
        <x:f>IF($A71="","",IFERROR(XLOOKUP($A71,TasksTable[Task ID],TasksTable[Status],""),""))</x:f>
      </x:c>
      <x:c r="E71" s="86" t="str">
        <x:f>IF($A71="","",IFERROR(XLOOKUP($A71,TasksTable[Task ID],TasksTable[Progress %],0),0))</x:f>
      </x:c>
      <x:c r="F71" s="10" t="str">
        <x:f>IF($A71="","",IFERROR(XLOOKUP($A71,TasksTable[Task ID],TasksTable[Schedule Health],""),""))</x:f>
      </x:c>
      <x:c r="G71" s="10" t="str">
        <x:f>IF($A71="","",IFERROR(XLOOKUP($A71,TasksTable[Task ID],TasksTable[Milestone],""),""))</x:f>
      </x:c>
      <x:c r="H71" s="90" t="str">
        <x:f>IF($A71="","",IF(AND($G71="Yes",H$2=XLOOKUP($A71,TasksTable[Task ID],TasksTable[Start Date],"")),"◆",""))</x:f>
      </x:c>
      <x:c r="I71" s="90" t="str">
        <x:f>IF($A71="","",IF(AND($G71="Yes",I$2=XLOOKUP($A71,TasksTable[Task ID],TasksTable[Start Date],"")),"◆",""))</x:f>
      </x:c>
      <x:c r="J71" s="90" t="str">
        <x:f>IF($A71="","",IF(AND($G71="Yes",J$2=XLOOKUP($A71,TasksTable[Task ID],TasksTable[Start Date],"")),"◆",""))</x:f>
      </x:c>
      <x:c r="K71" s="90" t="str">
        <x:f>IF($A71="","",IF(AND($G71="Yes",K$2=XLOOKUP($A71,TasksTable[Task ID],TasksTable[Start Date],"")),"◆",""))</x:f>
      </x:c>
      <x:c r="L71" s="90" t="str">
        <x:f>IF($A71="","",IF(AND($G71="Yes",L$2=XLOOKUP($A71,TasksTable[Task ID],TasksTable[Start Date],"")),"◆",""))</x:f>
      </x:c>
      <x:c r="M71" s="90" t="str">
        <x:f>IF($A71="","",IF(AND($G71="Yes",M$2=XLOOKUP($A71,TasksTable[Task ID],TasksTable[Start Date],"")),"◆",""))</x:f>
      </x:c>
      <x:c r="N71" s="90" t="str">
        <x:f>IF($A71="","",IF(AND($G71="Yes",N$2=XLOOKUP($A71,TasksTable[Task ID],TasksTable[Start Date],"")),"◆",""))</x:f>
      </x:c>
      <x:c r="O71" s="90" t="str">
        <x:f>IF($A71="","",IF(AND($G71="Yes",O$2=XLOOKUP($A71,TasksTable[Task ID],TasksTable[Start Date],"")),"◆",""))</x:f>
      </x:c>
      <x:c r="P71" s="90" t="str">
        <x:f>IF($A71="","",IF(AND($G71="Yes",P$2=XLOOKUP($A71,TasksTable[Task ID],TasksTable[Start Date],"")),"◆",""))</x:f>
      </x:c>
      <x:c r="Q71" s="90" t="str">
        <x:f>IF($A71="","",IF(AND($G71="Yes",Q$2=XLOOKUP($A71,TasksTable[Task ID],TasksTable[Start Date],"")),"◆",""))</x:f>
      </x:c>
      <x:c r="R71" s="90" t="str">
        <x:f>IF($A71="","",IF(AND($G71="Yes",R$2=XLOOKUP($A71,TasksTable[Task ID],TasksTable[Start Date],"")),"◆",""))</x:f>
      </x:c>
      <x:c r="S71" s="90" t="str">
        <x:f>IF($A71="","",IF(AND($G71="Yes",S$2=XLOOKUP($A71,TasksTable[Task ID],TasksTable[Start Date],"")),"◆",""))</x:f>
      </x:c>
      <x:c r="T71" s="90" t="str">
        <x:f>IF($A71="","",IF(AND($G71="Yes",T$2=XLOOKUP($A71,TasksTable[Task ID],TasksTable[Start Date],"")),"◆",""))</x:f>
      </x:c>
      <x:c r="U71" s="90" t="str">
        <x:f>IF($A71="","",IF(AND($G71="Yes",U$2=XLOOKUP($A71,TasksTable[Task ID],TasksTable[Start Date],"")),"◆",""))</x:f>
      </x:c>
      <x:c r="V71" s="90" t="str">
        <x:f>IF($A71="","",IF(AND($G71="Yes",V$2=XLOOKUP($A71,TasksTable[Task ID],TasksTable[Start Date],"")),"◆",""))</x:f>
      </x:c>
      <x:c r="W71" s="90" t="str">
        <x:f>IF($A71="","",IF(AND($G71="Yes",W$2=XLOOKUP($A71,TasksTable[Task ID],TasksTable[Start Date],"")),"◆",""))</x:f>
      </x:c>
      <x:c r="X71" s="90" t="str">
        <x:f>IF($A71="","",IF(AND($G71="Yes",X$2=XLOOKUP($A71,TasksTable[Task ID],TasksTable[Start Date],"")),"◆",""))</x:f>
      </x:c>
      <x:c r="Y71" s="90" t="str">
        <x:f>IF($A71="","",IF(AND($G71="Yes",Y$2=XLOOKUP($A71,TasksTable[Task ID],TasksTable[Start Date],"")),"◆",""))</x:f>
      </x:c>
      <x:c r="Z71" s="90" t="str">
        <x:f>IF($A71="","",IF(AND($G71="Yes",Z$2=XLOOKUP($A71,TasksTable[Task ID],TasksTable[Start Date],"")),"◆",""))</x:f>
      </x:c>
      <x:c r="AA71" s="90" t="str">
        <x:f>IF($A71="","",IF(AND($G71="Yes",AA$2=XLOOKUP($A71,TasksTable[Task ID],TasksTable[Start Date],"")),"◆",""))</x:f>
      </x:c>
      <x:c r="AB71" s="90" t="str">
        <x:f>IF($A71="","",IF(AND($G71="Yes",AB$2=XLOOKUP($A71,TasksTable[Task ID],TasksTable[Start Date],"")),"◆",""))</x:f>
      </x:c>
      <x:c r="AC71" s="90" t="str">
        <x:f>IF($A71="","",IF(AND($G71="Yes",AC$2=XLOOKUP($A71,TasksTable[Task ID],TasksTable[Start Date],"")),"◆",""))</x:f>
      </x:c>
      <x:c r="AD71" s="90" t="str">
        <x:f>IF($A71="","",IF(AND($G71="Yes",AD$2=XLOOKUP($A71,TasksTable[Task ID],TasksTable[Start Date],"")),"◆",""))</x:f>
      </x:c>
      <x:c r="AE71" s="90" t="str">
        <x:f>IF($A71="","",IF(AND($G71="Yes",AE$2=XLOOKUP($A71,TasksTable[Task ID],TasksTable[Start Date],"")),"◆",""))</x:f>
      </x:c>
      <x:c r="AF71" s="90" t="str">
        <x:f>IF($A71="","",IF(AND($G71="Yes",AF$2=XLOOKUP($A71,TasksTable[Task ID],TasksTable[Start Date],"")),"◆",""))</x:f>
      </x:c>
      <x:c r="AG71" s="90" t="str">
        <x:f>IF($A71="","",IF(AND($G71="Yes",AG$2=XLOOKUP($A71,TasksTable[Task ID],TasksTable[Start Date],"")),"◆",""))</x:f>
      </x:c>
      <x:c r="AH71" s="90" t="str">
        <x:f>IF($A71="","",IF(AND($G71="Yes",AH$2=XLOOKUP($A71,TasksTable[Task ID],TasksTable[Start Date],"")),"◆",""))</x:f>
      </x:c>
      <x:c r="AI71" s="90" t="str">
        <x:f>IF($A71="","",IF(AND($G71="Yes",AI$2=XLOOKUP($A71,TasksTable[Task ID],TasksTable[Start Date],"")),"◆",""))</x:f>
      </x:c>
      <x:c r="AJ71" s="90" t="str">
        <x:f>IF($A71="","",IF(AND($G71="Yes",AJ$2=XLOOKUP($A71,TasksTable[Task ID],TasksTable[Start Date],"")),"◆",""))</x:f>
      </x:c>
      <x:c r="AK71" s="90" t="str">
        <x:f>IF($A71="","",IF(AND($G71="Yes",AK$2=XLOOKUP($A71,TasksTable[Task ID],TasksTable[Start Date],"")),"◆",""))</x:f>
      </x:c>
      <x:c r="AL71" s="90" t="str">
        <x:f>IF($A71="","",IF(AND($G71="Yes",AL$2=XLOOKUP($A71,TasksTable[Task ID],TasksTable[Start Date],"")),"◆",""))</x:f>
      </x:c>
      <x:c r="AM71" s="90" t="str">
        <x:f>IF($A71="","",IF(AND($G71="Yes",AM$2=XLOOKUP($A71,TasksTable[Task ID],TasksTable[Start Date],"")),"◆",""))</x:f>
      </x:c>
      <x:c r="AN71" s="90" t="str">
        <x:f>IF($A71="","",IF(AND($G71="Yes",AN$2=XLOOKUP($A71,TasksTable[Task ID],TasksTable[Start Date],"")),"◆",""))</x:f>
      </x:c>
      <x:c r="AO71" s="90" t="str">
        <x:f>IF($A71="","",IF(AND($G71="Yes",AO$2=XLOOKUP($A71,TasksTable[Task ID],TasksTable[Start Date],"")),"◆",""))</x:f>
      </x:c>
    </x:row>
    <x:row r="72">
      <x:c r="A72" s="10" t="str">
        <x:f>IFERROR(INDEX(TasksTable[Task ID],ROWS($A$4:A72)),"")</x:f>
      </x:c>
      <x:c r="B72" s="10" t="str">
        <x:f>IF($A72="","",IFERROR(XLOOKUP($A72,TasksTable[Task ID],TasksTable[Phase],""),""))</x:f>
      </x:c>
      <x:c r="C72" s="10" t="str">
        <x:f>IF($A72="","",IFERROR(XLOOKUP($A72,TasksTable[Task ID],TasksTable[Task Name],""),""))</x:f>
      </x:c>
      <x:c r="D72" s="10" t="str">
        <x:f>IF($A72="","",IFERROR(XLOOKUP($A72,TasksTable[Task ID],TasksTable[Status],""),""))</x:f>
      </x:c>
      <x:c r="E72" s="86" t="str">
        <x:f>IF($A72="","",IFERROR(XLOOKUP($A72,TasksTable[Task ID],TasksTable[Progress %],0),0))</x:f>
      </x:c>
      <x:c r="F72" s="10" t="str">
        <x:f>IF($A72="","",IFERROR(XLOOKUP($A72,TasksTable[Task ID],TasksTable[Schedule Health],""),""))</x:f>
      </x:c>
      <x:c r="G72" s="10" t="str">
        <x:f>IF($A72="","",IFERROR(XLOOKUP($A72,TasksTable[Task ID],TasksTable[Milestone],""),""))</x:f>
      </x:c>
      <x:c r="H72" s="90" t="str">
        <x:f>IF($A72="","",IF(AND($G72="Yes",H$2=XLOOKUP($A72,TasksTable[Task ID],TasksTable[Start Date],"")),"◆",""))</x:f>
      </x:c>
      <x:c r="I72" s="90" t="str">
        <x:f>IF($A72="","",IF(AND($G72="Yes",I$2=XLOOKUP($A72,TasksTable[Task ID],TasksTable[Start Date],"")),"◆",""))</x:f>
      </x:c>
      <x:c r="J72" s="90" t="str">
        <x:f>IF($A72="","",IF(AND($G72="Yes",J$2=XLOOKUP($A72,TasksTable[Task ID],TasksTable[Start Date],"")),"◆",""))</x:f>
      </x:c>
      <x:c r="K72" s="90" t="str">
        <x:f>IF($A72="","",IF(AND($G72="Yes",K$2=XLOOKUP($A72,TasksTable[Task ID],TasksTable[Start Date],"")),"◆",""))</x:f>
      </x:c>
      <x:c r="L72" s="90" t="str">
        <x:f>IF($A72="","",IF(AND($G72="Yes",L$2=XLOOKUP($A72,TasksTable[Task ID],TasksTable[Start Date],"")),"◆",""))</x:f>
      </x:c>
      <x:c r="M72" s="90" t="str">
        <x:f>IF($A72="","",IF(AND($G72="Yes",M$2=XLOOKUP($A72,TasksTable[Task ID],TasksTable[Start Date],"")),"◆",""))</x:f>
      </x:c>
      <x:c r="N72" s="90" t="str">
        <x:f>IF($A72="","",IF(AND($G72="Yes",N$2=XLOOKUP($A72,TasksTable[Task ID],TasksTable[Start Date],"")),"◆",""))</x:f>
      </x:c>
      <x:c r="O72" s="90" t="str">
        <x:f>IF($A72="","",IF(AND($G72="Yes",O$2=XLOOKUP($A72,TasksTable[Task ID],TasksTable[Start Date],"")),"◆",""))</x:f>
      </x:c>
      <x:c r="P72" s="90" t="str">
        <x:f>IF($A72="","",IF(AND($G72="Yes",P$2=XLOOKUP($A72,TasksTable[Task ID],TasksTable[Start Date],"")),"◆",""))</x:f>
      </x:c>
      <x:c r="Q72" s="90" t="str">
        <x:f>IF($A72="","",IF(AND($G72="Yes",Q$2=XLOOKUP($A72,TasksTable[Task ID],TasksTable[Start Date],"")),"◆",""))</x:f>
      </x:c>
      <x:c r="R72" s="90" t="str">
        <x:f>IF($A72="","",IF(AND($G72="Yes",R$2=XLOOKUP($A72,TasksTable[Task ID],TasksTable[Start Date],"")),"◆",""))</x:f>
      </x:c>
      <x:c r="S72" s="90" t="str">
        <x:f>IF($A72="","",IF(AND($G72="Yes",S$2=XLOOKUP($A72,TasksTable[Task ID],TasksTable[Start Date],"")),"◆",""))</x:f>
      </x:c>
      <x:c r="T72" s="90" t="str">
        <x:f>IF($A72="","",IF(AND($G72="Yes",T$2=XLOOKUP($A72,TasksTable[Task ID],TasksTable[Start Date],"")),"◆",""))</x:f>
      </x:c>
      <x:c r="U72" s="90" t="str">
        <x:f>IF($A72="","",IF(AND($G72="Yes",U$2=XLOOKUP($A72,TasksTable[Task ID],TasksTable[Start Date],"")),"◆",""))</x:f>
      </x:c>
      <x:c r="V72" s="90" t="str">
        <x:f>IF($A72="","",IF(AND($G72="Yes",V$2=XLOOKUP($A72,TasksTable[Task ID],TasksTable[Start Date],"")),"◆",""))</x:f>
      </x:c>
      <x:c r="W72" s="90" t="str">
        <x:f>IF($A72="","",IF(AND($G72="Yes",W$2=XLOOKUP($A72,TasksTable[Task ID],TasksTable[Start Date],"")),"◆",""))</x:f>
      </x:c>
      <x:c r="X72" s="90" t="str">
        <x:f>IF($A72="","",IF(AND($G72="Yes",X$2=XLOOKUP($A72,TasksTable[Task ID],TasksTable[Start Date],"")),"◆",""))</x:f>
      </x:c>
      <x:c r="Y72" s="90" t="str">
        <x:f>IF($A72="","",IF(AND($G72="Yes",Y$2=XLOOKUP($A72,TasksTable[Task ID],TasksTable[Start Date],"")),"◆",""))</x:f>
      </x:c>
      <x:c r="Z72" s="90" t="str">
        <x:f>IF($A72="","",IF(AND($G72="Yes",Z$2=XLOOKUP($A72,TasksTable[Task ID],TasksTable[Start Date],"")),"◆",""))</x:f>
      </x:c>
      <x:c r="AA72" s="90" t="str">
        <x:f>IF($A72="","",IF(AND($G72="Yes",AA$2=XLOOKUP($A72,TasksTable[Task ID],TasksTable[Start Date],"")),"◆",""))</x:f>
      </x:c>
      <x:c r="AB72" s="90" t="str">
        <x:f>IF($A72="","",IF(AND($G72="Yes",AB$2=XLOOKUP($A72,TasksTable[Task ID],TasksTable[Start Date],"")),"◆",""))</x:f>
      </x:c>
      <x:c r="AC72" s="90" t="str">
        <x:f>IF($A72="","",IF(AND($G72="Yes",AC$2=XLOOKUP($A72,TasksTable[Task ID],TasksTable[Start Date],"")),"◆",""))</x:f>
      </x:c>
      <x:c r="AD72" s="90" t="str">
        <x:f>IF($A72="","",IF(AND($G72="Yes",AD$2=XLOOKUP($A72,TasksTable[Task ID],TasksTable[Start Date],"")),"◆",""))</x:f>
      </x:c>
      <x:c r="AE72" s="90" t="str">
        <x:f>IF($A72="","",IF(AND($G72="Yes",AE$2=XLOOKUP($A72,TasksTable[Task ID],TasksTable[Start Date],"")),"◆",""))</x:f>
      </x:c>
      <x:c r="AF72" s="90" t="str">
        <x:f>IF($A72="","",IF(AND($G72="Yes",AF$2=XLOOKUP($A72,TasksTable[Task ID],TasksTable[Start Date],"")),"◆",""))</x:f>
      </x:c>
      <x:c r="AG72" s="90" t="str">
        <x:f>IF($A72="","",IF(AND($G72="Yes",AG$2=XLOOKUP($A72,TasksTable[Task ID],TasksTable[Start Date],"")),"◆",""))</x:f>
      </x:c>
      <x:c r="AH72" s="90" t="str">
        <x:f>IF($A72="","",IF(AND($G72="Yes",AH$2=XLOOKUP($A72,TasksTable[Task ID],TasksTable[Start Date],"")),"◆",""))</x:f>
      </x:c>
      <x:c r="AI72" s="90" t="str">
        <x:f>IF($A72="","",IF(AND($G72="Yes",AI$2=XLOOKUP($A72,TasksTable[Task ID],TasksTable[Start Date],"")),"◆",""))</x:f>
      </x:c>
      <x:c r="AJ72" s="90" t="str">
        <x:f>IF($A72="","",IF(AND($G72="Yes",AJ$2=XLOOKUP($A72,TasksTable[Task ID],TasksTable[Start Date],"")),"◆",""))</x:f>
      </x:c>
      <x:c r="AK72" s="90" t="str">
        <x:f>IF($A72="","",IF(AND($G72="Yes",AK$2=XLOOKUP($A72,TasksTable[Task ID],TasksTable[Start Date],"")),"◆",""))</x:f>
      </x:c>
      <x:c r="AL72" s="90" t="str">
        <x:f>IF($A72="","",IF(AND($G72="Yes",AL$2=XLOOKUP($A72,TasksTable[Task ID],TasksTable[Start Date],"")),"◆",""))</x:f>
      </x:c>
      <x:c r="AM72" s="90" t="str">
        <x:f>IF($A72="","",IF(AND($G72="Yes",AM$2=XLOOKUP($A72,TasksTable[Task ID],TasksTable[Start Date],"")),"◆",""))</x:f>
      </x:c>
      <x:c r="AN72" s="90" t="str">
        <x:f>IF($A72="","",IF(AND($G72="Yes",AN$2=XLOOKUP($A72,TasksTable[Task ID],TasksTable[Start Date],"")),"◆",""))</x:f>
      </x:c>
      <x:c r="AO72" s="90" t="str">
        <x:f>IF($A72="","",IF(AND($G72="Yes",AO$2=XLOOKUP($A72,TasksTable[Task ID],TasksTable[Start Date],"")),"◆",""))</x:f>
      </x:c>
    </x:row>
    <x:row r="73">
      <x:c r="A73" s="10" t="str">
        <x:f>IFERROR(INDEX(TasksTable[Task ID],ROWS($A$4:A73)),"")</x:f>
      </x:c>
      <x:c r="B73" s="10" t="str">
        <x:f>IF($A73="","",IFERROR(XLOOKUP($A73,TasksTable[Task ID],TasksTable[Phase],""),""))</x:f>
      </x:c>
      <x:c r="C73" s="10" t="str">
        <x:f>IF($A73="","",IFERROR(XLOOKUP($A73,TasksTable[Task ID],TasksTable[Task Name],""),""))</x:f>
      </x:c>
      <x:c r="D73" s="10" t="str">
        <x:f>IF($A73="","",IFERROR(XLOOKUP($A73,TasksTable[Task ID],TasksTable[Status],""),""))</x:f>
      </x:c>
      <x:c r="E73" s="86" t="str">
        <x:f>IF($A73="","",IFERROR(XLOOKUP($A73,TasksTable[Task ID],TasksTable[Progress %],0),0))</x:f>
      </x:c>
      <x:c r="F73" s="10" t="str">
        <x:f>IF($A73="","",IFERROR(XLOOKUP($A73,TasksTable[Task ID],TasksTable[Schedule Health],""),""))</x:f>
      </x:c>
      <x:c r="G73" s="10" t="str">
        <x:f>IF($A73="","",IFERROR(XLOOKUP($A73,TasksTable[Task ID],TasksTable[Milestone],""),""))</x:f>
      </x:c>
      <x:c r="H73" s="90" t="str">
        <x:f>IF($A73="","",IF(AND($G73="Yes",H$2=XLOOKUP($A73,TasksTable[Task ID],TasksTable[Start Date],"")),"◆",""))</x:f>
      </x:c>
      <x:c r="I73" s="90" t="str">
        <x:f>IF($A73="","",IF(AND($G73="Yes",I$2=XLOOKUP($A73,TasksTable[Task ID],TasksTable[Start Date],"")),"◆",""))</x:f>
      </x:c>
      <x:c r="J73" s="90" t="str">
        <x:f>IF($A73="","",IF(AND($G73="Yes",J$2=XLOOKUP($A73,TasksTable[Task ID],TasksTable[Start Date],"")),"◆",""))</x:f>
      </x:c>
      <x:c r="K73" s="90" t="str">
        <x:f>IF($A73="","",IF(AND($G73="Yes",K$2=XLOOKUP($A73,TasksTable[Task ID],TasksTable[Start Date],"")),"◆",""))</x:f>
      </x:c>
      <x:c r="L73" s="90" t="str">
        <x:f>IF($A73="","",IF(AND($G73="Yes",L$2=XLOOKUP($A73,TasksTable[Task ID],TasksTable[Start Date],"")),"◆",""))</x:f>
      </x:c>
      <x:c r="M73" s="90" t="str">
        <x:f>IF($A73="","",IF(AND($G73="Yes",M$2=XLOOKUP($A73,TasksTable[Task ID],TasksTable[Start Date],"")),"◆",""))</x:f>
      </x:c>
      <x:c r="N73" s="90" t="str">
        <x:f>IF($A73="","",IF(AND($G73="Yes",N$2=XLOOKUP($A73,TasksTable[Task ID],TasksTable[Start Date],"")),"◆",""))</x:f>
      </x:c>
      <x:c r="O73" s="90" t="str">
        <x:f>IF($A73="","",IF(AND($G73="Yes",O$2=XLOOKUP($A73,TasksTable[Task ID],TasksTable[Start Date],"")),"◆",""))</x:f>
      </x:c>
      <x:c r="P73" s="90" t="str">
        <x:f>IF($A73="","",IF(AND($G73="Yes",P$2=XLOOKUP($A73,TasksTable[Task ID],TasksTable[Start Date],"")),"◆",""))</x:f>
      </x:c>
      <x:c r="Q73" s="90" t="str">
        <x:f>IF($A73="","",IF(AND($G73="Yes",Q$2=XLOOKUP($A73,TasksTable[Task ID],TasksTable[Start Date],"")),"◆",""))</x:f>
      </x:c>
      <x:c r="R73" s="90" t="str">
        <x:f>IF($A73="","",IF(AND($G73="Yes",R$2=XLOOKUP($A73,TasksTable[Task ID],TasksTable[Start Date],"")),"◆",""))</x:f>
      </x:c>
      <x:c r="S73" s="90" t="str">
        <x:f>IF($A73="","",IF(AND($G73="Yes",S$2=XLOOKUP($A73,TasksTable[Task ID],TasksTable[Start Date],"")),"◆",""))</x:f>
      </x:c>
      <x:c r="T73" s="90" t="str">
        <x:f>IF($A73="","",IF(AND($G73="Yes",T$2=XLOOKUP($A73,TasksTable[Task ID],TasksTable[Start Date],"")),"◆",""))</x:f>
      </x:c>
      <x:c r="U73" s="90" t="str">
        <x:f>IF($A73="","",IF(AND($G73="Yes",U$2=XLOOKUP($A73,TasksTable[Task ID],TasksTable[Start Date],"")),"◆",""))</x:f>
      </x:c>
      <x:c r="V73" s="90" t="str">
        <x:f>IF($A73="","",IF(AND($G73="Yes",V$2=XLOOKUP($A73,TasksTable[Task ID],TasksTable[Start Date],"")),"◆",""))</x:f>
      </x:c>
      <x:c r="W73" s="90" t="str">
        <x:f>IF($A73="","",IF(AND($G73="Yes",W$2=XLOOKUP($A73,TasksTable[Task ID],TasksTable[Start Date],"")),"◆",""))</x:f>
      </x:c>
      <x:c r="X73" s="90" t="str">
        <x:f>IF($A73="","",IF(AND($G73="Yes",X$2=XLOOKUP($A73,TasksTable[Task ID],TasksTable[Start Date],"")),"◆",""))</x:f>
      </x:c>
      <x:c r="Y73" s="90" t="str">
        <x:f>IF($A73="","",IF(AND($G73="Yes",Y$2=XLOOKUP($A73,TasksTable[Task ID],TasksTable[Start Date],"")),"◆",""))</x:f>
      </x:c>
      <x:c r="Z73" s="90" t="str">
        <x:f>IF($A73="","",IF(AND($G73="Yes",Z$2=XLOOKUP($A73,TasksTable[Task ID],TasksTable[Start Date],"")),"◆",""))</x:f>
      </x:c>
      <x:c r="AA73" s="90" t="str">
        <x:f>IF($A73="","",IF(AND($G73="Yes",AA$2=XLOOKUP($A73,TasksTable[Task ID],TasksTable[Start Date],"")),"◆",""))</x:f>
      </x:c>
      <x:c r="AB73" s="90" t="str">
        <x:f>IF($A73="","",IF(AND($G73="Yes",AB$2=XLOOKUP($A73,TasksTable[Task ID],TasksTable[Start Date],"")),"◆",""))</x:f>
      </x:c>
      <x:c r="AC73" s="90" t="str">
        <x:f>IF($A73="","",IF(AND($G73="Yes",AC$2=XLOOKUP($A73,TasksTable[Task ID],TasksTable[Start Date],"")),"◆",""))</x:f>
      </x:c>
      <x:c r="AD73" s="90" t="str">
        <x:f>IF($A73="","",IF(AND($G73="Yes",AD$2=XLOOKUP($A73,TasksTable[Task ID],TasksTable[Start Date],"")),"◆",""))</x:f>
      </x:c>
      <x:c r="AE73" s="90" t="str">
        <x:f>IF($A73="","",IF(AND($G73="Yes",AE$2=XLOOKUP($A73,TasksTable[Task ID],TasksTable[Start Date],"")),"◆",""))</x:f>
      </x:c>
      <x:c r="AF73" s="90" t="str">
        <x:f>IF($A73="","",IF(AND($G73="Yes",AF$2=XLOOKUP($A73,TasksTable[Task ID],TasksTable[Start Date],"")),"◆",""))</x:f>
      </x:c>
      <x:c r="AG73" s="90" t="str">
        <x:f>IF($A73="","",IF(AND($G73="Yes",AG$2=XLOOKUP($A73,TasksTable[Task ID],TasksTable[Start Date],"")),"◆",""))</x:f>
      </x:c>
      <x:c r="AH73" s="90" t="str">
        <x:f>IF($A73="","",IF(AND($G73="Yes",AH$2=XLOOKUP($A73,TasksTable[Task ID],TasksTable[Start Date],"")),"◆",""))</x:f>
      </x:c>
      <x:c r="AI73" s="90" t="str">
        <x:f>IF($A73="","",IF(AND($G73="Yes",AI$2=XLOOKUP($A73,TasksTable[Task ID],TasksTable[Start Date],"")),"◆",""))</x:f>
      </x:c>
      <x:c r="AJ73" s="90" t="str">
        <x:f>IF($A73="","",IF(AND($G73="Yes",AJ$2=XLOOKUP($A73,TasksTable[Task ID],TasksTable[Start Date],"")),"◆",""))</x:f>
      </x:c>
      <x:c r="AK73" s="90" t="str">
        <x:f>IF($A73="","",IF(AND($G73="Yes",AK$2=XLOOKUP($A73,TasksTable[Task ID],TasksTable[Start Date],"")),"◆",""))</x:f>
      </x:c>
      <x:c r="AL73" s="90" t="str">
        <x:f>IF($A73="","",IF(AND($G73="Yes",AL$2=XLOOKUP($A73,TasksTable[Task ID],TasksTable[Start Date],"")),"◆",""))</x:f>
      </x:c>
      <x:c r="AM73" s="90" t="str">
        <x:f>IF($A73="","",IF(AND($G73="Yes",AM$2=XLOOKUP($A73,TasksTable[Task ID],TasksTable[Start Date],"")),"◆",""))</x:f>
      </x:c>
      <x:c r="AN73" s="90" t="str">
        <x:f>IF($A73="","",IF(AND($G73="Yes",AN$2=XLOOKUP($A73,TasksTable[Task ID],TasksTable[Start Date],"")),"◆",""))</x:f>
      </x:c>
      <x:c r="AO73" s="90" t="str">
        <x:f>IF($A73="","",IF(AND($G73="Yes",AO$2=XLOOKUP($A73,TasksTable[Task ID],TasksTable[Start Date],"")),"◆",""))</x:f>
      </x:c>
    </x:row>
    <x:row r="74">
      <x:c r="A74" s="10" t="str">
        <x:f>IFERROR(INDEX(TasksTable[Task ID],ROWS($A$4:A74)),"")</x:f>
      </x:c>
      <x:c r="B74" s="10" t="str">
        <x:f>IF($A74="","",IFERROR(XLOOKUP($A74,TasksTable[Task ID],TasksTable[Phase],""),""))</x:f>
      </x:c>
      <x:c r="C74" s="10" t="str">
        <x:f>IF($A74="","",IFERROR(XLOOKUP($A74,TasksTable[Task ID],TasksTable[Task Name],""),""))</x:f>
      </x:c>
      <x:c r="D74" s="10" t="str">
        <x:f>IF($A74="","",IFERROR(XLOOKUP($A74,TasksTable[Task ID],TasksTable[Status],""),""))</x:f>
      </x:c>
      <x:c r="E74" s="86" t="str">
        <x:f>IF($A74="","",IFERROR(XLOOKUP($A74,TasksTable[Task ID],TasksTable[Progress %],0),0))</x:f>
      </x:c>
      <x:c r="F74" s="10" t="str">
        <x:f>IF($A74="","",IFERROR(XLOOKUP($A74,TasksTable[Task ID],TasksTable[Schedule Health],""),""))</x:f>
      </x:c>
      <x:c r="G74" s="10" t="str">
        <x:f>IF($A74="","",IFERROR(XLOOKUP($A74,TasksTable[Task ID],TasksTable[Milestone],""),""))</x:f>
      </x:c>
      <x:c r="H74" s="90" t="str">
        <x:f>IF($A74="","",IF(AND($G74="Yes",H$2=XLOOKUP($A74,TasksTable[Task ID],TasksTable[Start Date],"")),"◆",""))</x:f>
      </x:c>
      <x:c r="I74" s="90" t="str">
        <x:f>IF($A74="","",IF(AND($G74="Yes",I$2=XLOOKUP($A74,TasksTable[Task ID],TasksTable[Start Date],"")),"◆",""))</x:f>
      </x:c>
      <x:c r="J74" s="90" t="str">
        <x:f>IF($A74="","",IF(AND($G74="Yes",J$2=XLOOKUP($A74,TasksTable[Task ID],TasksTable[Start Date],"")),"◆",""))</x:f>
      </x:c>
      <x:c r="K74" s="90" t="str">
        <x:f>IF($A74="","",IF(AND($G74="Yes",K$2=XLOOKUP($A74,TasksTable[Task ID],TasksTable[Start Date],"")),"◆",""))</x:f>
      </x:c>
      <x:c r="L74" s="90" t="str">
        <x:f>IF($A74="","",IF(AND($G74="Yes",L$2=XLOOKUP($A74,TasksTable[Task ID],TasksTable[Start Date],"")),"◆",""))</x:f>
      </x:c>
      <x:c r="M74" s="90" t="str">
        <x:f>IF($A74="","",IF(AND($G74="Yes",M$2=XLOOKUP($A74,TasksTable[Task ID],TasksTable[Start Date],"")),"◆",""))</x:f>
      </x:c>
      <x:c r="N74" s="90" t="str">
        <x:f>IF($A74="","",IF(AND($G74="Yes",N$2=XLOOKUP($A74,TasksTable[Task ID],TasksTable[Start Date],"")),"◆",""))</x:f>
      </x:c>
      <x:c r="O74" s="90" t="str">
        <x:f>IF($A74="","",IF(AND($G74="Yes",O$2=XLOOKUP($A74,TasksTable[Task ID],TasksTable[Start Date],"")),"◆",""))</x:f>
      </x:c>
      <x:c r="P74" s="90" t="str">
        <x:f>IF($A74="","",IF(AND($G74="Yes",P$2=XLOOKUP($A74,TasksTable[Task ID],TasksTable[Start Date],"")),"◆",""))</x:f>
      </x:c>
      <x:c r="Q74" s="90" t="str">
        <x:f>IF($A74="","",IF(AND($G74="Yes",Q$2=XLOOKUP($A74,TasksTable[Task ID],TasksTable[Start Date],"")),"◆",""))</x:f>
      </x:c>
      <x:c r="R74" s="90" t="str">
        <x:f>IF($A74="","",IF(AND($G74="Yes",R$2=XLOOKUP($A74,TasksTable[Task ID],TasksTable[Start Date],"")),"◆",""))</x:f>
      </x:c>
      <x:c r="S74" s="90" t="str">
        <x:f>IF($A74="","",IF(AND($G74="Yes",S$2=XLOOKUP($A74,TasksTable[Task ID],TasksTable[Start Date],"")),"◆",""))</x:f>
      </x:c>
      <x:c r="T74" s="90" t="str">
        <x:f>IF($A74="","",IF(AND($G74="Yes",T$2=XLOOKUP($A74,TasksTable[Task ID],TasksTable[Start Date],"")),"◆",""))</x:f>
      </x:c>
      <x:c r="U74" s="90" t="str">
        <x:f>IF($A74="","",IF(AND($G74="Yes",U$2=XLOOKUP($A74,TasksTable[Task ID],TasksTable[Start Date],"")),"◆",""))</x:f>
      </x:c>
      <x:c r="V74" s="90" t="str">
        <x:f>IF($A74="","",IF(AND($G74="Yes",V$2=XLOOKUP($A74,TasksTable[Task ID],TasksTable[Start Date],"")),"◆",""))</x:f>
      </x:c>
      <x:c r="W74" s="90" t="str">
        <x:f>IF($A74="","",IF(AND($G74="Yes",W$2=XLOOKUP($A74,TasksTable[Task ID],TasksTable[Start Date],"")),"◆",""))</x:f>
      </x:c>
      <x:c r="X74" s="90" t="str">
        <x:f>IF($A74="","",IF(AND($G74="Yes",X$2=XLOOKUP($A74,TasksTable[Task ID],TasksTable[Start Date],"")),"◆",""))</x:f>
      </x:c>
      <x:c r="Y74" s="90" t="str">
        <x:f>IF($A74="","",IF(AND($G74="Yes",Y$2=XLOOKUP($A74,TasksTable[Task ID],TasksTable[Start Date],"")),"◆",""))</x:f>
      </x:c>
      <x:c r="Z74" s="90" t="str">
        <x:f>IF($A74="","",IF(AND($G74="Yes",Z$2=XLOOKUP($A74,TasksTable[Task ID],TasksTable[Start Date],"")),"◆",""))</x:f>
      </x:c>
      <x:c r="AA74" s="90" t="str">
        <x:f>IF($A74="","",IF(AND($G74="Yes",AA$2=XLOOKUP($A74,TasksTable[Task ID],TasksTable[Start Date],"")),"◆",""))</x:f>
      </x:c>
      <x:c r="AB74" s="90" t="str">
        <x:f>IF($A74="","",IF(AND($G74="Yes",AB$2=XLOOKUP($A74,TasksTable[Task ID],TasksTable[Start Date],"")),"◆",""))</x:f>
      </x:c>
      <x:c r="AC74" s="90" t="str">
        <x:f>IF($A74="","",IF(AND($G74="Yes",AC$2=XLOOKUP($A74,TasksTable[Task ID],TasksTable[Start Date],"")),"◆",""))</x:f>
      </x:c>
      <x:c r="AD74" s="90" t="str">
        <x:f>IF($A74="","",IF(AND($G74="Yes",AD$2=XLOOKUP($A74,TasksTable[Task ID],TasksTable[Start Date],"")),"◆",""))</x:f>
      </x:c>
      <x:c r="AE74" s="90" t="str">
        <x:f>IF($A74="","",IF(AND($G74="Yes",AE$2=XLOOKUP($A74,TasksTable[Task ID],TasksTable[Start Date],"")),"◆",""))</x:f>
      </x:c>
      <x:c r="AF74" s="90" t="str">
        <x:f>IF($A74="","",IF(AND($G74="Yes",AF$2=XLOOKUP($A74,TasksTable[Task ID],TasksTable[Start Date],"")),"◆",""))</x:f>
      </x:c>
      <x:c r="AG74" s="90" t="str">
        <x:f>IF($A74="","",IF(AND($G74="Yes",AG$2=XLOOKUP($A74,TasksTable[Task ID],TasksTable[Start Date],"")),"◆",""))</x:f>
      </x:c>
      <x:c r="AH74" s="90" t="str">
        <x:f>IF($A74="","",IF(AND($G74="Yes",AH$2=XLOOKUP($A74,TasksTable[Task ID],TasksTable[Start Date],"")),"◆",""))</x:f>
      </x:c>
      <x:c r="AI74" s="90" t="str">
        <x:f>IF($A74="","",IF(AND($G74="Yes",AI$2=XLOOKUP($A74,TasksTable[Task ID],TasksTable[Start Date],"")),"◆",""))</x:f>
      </x:c>
      <x:c r="AJ74" s="90" t="str">
        <x:f>IF($A74="","",IF(AND($G74="Yes",AJ$2=XLOOKUP($A74,TasksTable[Task ID],TasksTable[Start Date],"")),"◆",""))</x:f>
      </x:c>
      <x:c r="AK74" s="90" t="str">
        <x:f>IF($A74="","",IF(AND($G74="Yes",AK$2=XLOOKUP($A74,TasksTable[Task ID],TasksTable[Start Date],"")),"◆",""))</x:f>
      </x:c>
      <x:c r="AL74" s="90" t="str">
        <x:f>IF($A74="","",IF(AND($G74="Yes",AL$2=XLOOKUP($A74,TasksTable[Task ID],TasksTable[Start Date],"")),"◆",""))</x:f>
      </x:c>
      <x:c r="AM74" s="90" t="str">
        <x:f>IF($A74="","",IF(AND($G74="Yes",AM$2=XLOOKUP($A74,TasksTable[Task ID],TasksTable[Start Date],"")),"◆",""))</x:f>
      </x:c>
      <x:c r="AN74" s="90" t="str">
        <x:f>IF($A74="","",IF(AND($G74="Yes",AN$2=XLOOKUP($A74,TasksTable[Task ID],TasksTable[Start Date],"")),"◆",""))</x:f>
      </x:c>
      <x:c r="AO74" s="90" t="str">
        <x:f>IF($A74="","",IF(AND($G74="Yes",AO$2=XLOOKUP($A74,TasksTable[Task ID],TasksTable[Start Date],"")),"◆",""))</x:f>
      </x:c>
    </x:row>
    <x:row r="75">
      <x:c r="A75" s="10" t="str">
        <x:f>IFERROR(INDEX(TasksTable[Task ID],ROWS($A$4:A75)),"")</x:f>
      </x:c>
      <x:c r="B75" s="10" t="str">
        <x:f>IF($A75="","",IFERROR(XLOOKUP($A75,TasksTable[Task ID],TasksTable[Phase],""),""))</x:f>
      </x:c>
      <x:c r="C75" s="10" t="str">
        <x:f>IF($A75="","",IFERROR(XLOOKUP($A75,TasksTable[Task ID],TasksTable[Task Name],""),""))</x:f>
      </x:c>
      <x:c r="D75" s="10" t="str">
        <x:f>IF($A75="","",IFERROR(XLOOKUP($A75,TasksTable[Task ID],TasksTable[Status],""),""))</x:f>
      </x:c>
      <x:c r="E75" s="86" t="str">
        <x:f>IF($A75="","",IFERROR(XLOOKUP($A75,TasksTable[Task ID],TasksTable[Progress %],0),0))</x:f>
      </x:c>
      <x:c r="F75" s="10" t="str">
        <x:f>IF($A75="","",IFERROR(XLOOKUP($A75,TasksTable[Task ID],TasksTable[Schedule Health],""),""))</x:f>
      </x:c>
      <x:c r="G75" s="10" t="str">
        <x:f>IF($A75="","",IFERROR(XLOOKUP($A75,TasksTable[Task ID],TasksTable[Milestone],""),""))</x:f>
      </x:c>
      <x:c r="H75" s="90" t="str">
        <x:f>IF($A75="","",IF(AND($G75="Yes",H$2=XLOOKUP($A75,TasksTable[Task ID],TasksTable[Start Date],"")),"◆",""))</x:f>
      </x:c>
      <x:c r="I75" s="90" t="str">
        <x:f>IF($A75="","",IF(AND($G75="Yes",I$2=XLOOKUP($A75,TasksTable[Task ID],TasksTable[Start Date],"")),"◆",""))</x:f>
      </x:c>
      <x:c r="J75" s="90" t="str">
        <x:f>IF($A75="","",IF(AND($G75="Yes",J$2=XLOOKUP($A75,TasksTable[Task ID],TasksTable[Start Date],"")),"◆",""))</x:f>
      </x:c>
      <x:c r="K75" s="90" t="str">
        <x:f>IF($A75="","",IF(AND($G75="Yes",K$2=XLOOKUP($A75,TasksTable[Task ID],TasksTable[Start Date],"")),"◆",""))</x:f>
      </x:c>
      <x:c r="L75" s="90" t="str">
        <x:f>IF($A75="","",IF(AND($G75="Yes",L$2=XLOOKUP($A75,TasksTable[Task ID],TasksTable[Start Date],"")),"◆",""))</x:f>
      </x:c>
      <x:c r="M75" s="90" t="str">
        <x:f>IF($A75="","",IF(AND($G75="Yes",M$2=XLOOKUP($A75,TasksTable[Task ID],TasksTable[Start Date],"")),"◆",""))</x:f>
      </x:c>
      <x:c r="N75" s="90" t="str">
        <x:f>IF($A75="","",IF(AND($G75="Yes",N$2=XLOOKUP($A75,TasksTable[Task ID],TasksTable[Start Date],"")),"◆",""))</x:f>
      </x:c>
      <x:c r="O75" s="90" t="str">
        <x:f>IF($A75="","",IF(AND($G75="Yes",O$2=XLOOKUP($A75,TasksTable[Task ID],TasksTable[Start Date],"")),"◆",""))</x:f>
      </x:c>
      <x:c r="P75" s="90" t="str">
        <x:f>IF($A75="","",IF(AND($G75="Yes",P$2=XLOOKUP($A75,TasksTable[Task ID],TasksTable[Start Date],"")),"◆",""))</x:f>
      </x:c>
      <x:c r="Q75" s="90" t="str">
        <x:f>IF($A75="","",IF(AND($G75="Yes",Q$2=XLOOKUP($A75,TasksTable[Task ID],TasksTable[Start Date],"")),"◆",""))</x:f>
      </x:c>
      <x:c r="R75" s="90" t="str">
        <x:f>IF($A75="","",IF(AND($G75="Yes",R$2=XLOOKUP($A75,TasksTable[Task ID],TasksTable[Start Date],"")),"◆",""))</x:f>
      </x:c>
      <x:c r="S75" s="90" t="str">
        <x:f>IF($A75="","",IF(AND($G75="Yes",S$2=XLOOKUP($A75,TasksTable[Task ID],TasksTable[Start Date],"")),"◆",""))</x:f>
      </x:c>
      <x:c r="T75" s="90" t="str">
        <x:f>IF($A75="","",IF(AND($G75="Yes",T$2=XLOOKUP($A75,TasksTable[Task ID],TasksTable[Start Date],"")),"◆",""))</x:f>
      </x:c>
      <x:c r="U75" s="90" t="str">
        <x:f>IF($A75="","",IF(AND($G75="Yes",U$2=XLOOKUP($A75,TasksTable[Task ID],TasksTable[Start Date],"")),"◆",""))</x:f>
      </x:c>
      <x:c r="V75" s="90" t="str">
        <x:f>IF($A75="","",IF(AND($G75="Yes",V$2=XLOOKUP($A75,TasksTable[Task ID],TasksTable[Start Date],"")),"◆",""))</x:f>
      </x:c>
      <x:c r="W75" s="90" t="str">
        <x:f>IF($A75="","",IF(AND($G75="Yes",W$2=XLOOKUP($A75,TasksTable[Task ID],TasksTable[Start Date],"")),"◆",""))</x:f>
      </x:c>
      <x:c r="X75" s="90" t="str">
        <x:f>IF($A75="","",IF(AND($G75="Yes",X$2=XLOOKUP($A75,TasksTable[Task ID],TasksTable[Start Date],"")),"◆",""))</x:f>
      </x:c>
      <x:c r="Y75" s="90" t="str">
        <x:f>IF($A75="","",IF(AND($G75="Yes",Y$2=XLOOKUP($A75,TasksTable[Task ID],TasksTable[Start Date],"")),"◆",""))</x:f>
      </x:c>
      <x:c r="Z75" s="90" t="str">
        <x:f>IF($A75="","",IF(AND($G75="Yes",Z$2=XLOOKUP($A75,TasksTable[Task ID],TasksTable[Start Date],"")),"◆",""))</x:f>
      </x:c>
      <x:c r="AA75" s="90" t="str">
        <x:f>IF($A75="","",IF(AND($G75="Yes",AA$2=XLOOKUP($A75,TasksTable[Task ID],TasksTable[Start Date],"")),"◆",""))</x:f>
      </x:c>
      <x:c r="AB75" s="90" t="str">
        <x:f>IF($A75="","",IF(AND($G75="Yes",AB$2=XLOOKUP($A75,TasksTable[Task ID],TasksTable[Start Date],"")),"◆",""))</x:f>
      </x:c>
      <x:c r="AC75" s="90" t="str">
        <x:f>IF($A75="","",IF(AND($G75="Yes",AC$2=XLOOKUP($A75,TasksTable[Task ID],TasksTable[Start Date],"")),"◆",""))</x:f>
      </x:c>
      <x:c r="AD75" s="90" t="str">
        <x:f>IF($A75="","",IF(AND($G75="Yes",AD$2=XLOOKUP($A75,TasksTable[Task ID],TasksTable[Start Date],"")),"◆",""))</x:f>
      </x:c>
      <x:c r="AE75" s="90" t="str">
        <x:f>IF($A75="","",IF(AND($G75="Yes",AE$2=XLOOKUP($A75,TasksTable[Task ID],TasksTable[Start Date],"")),"◆",""))</x:f>
      </x:c>
      <x:c r="AF75" s="90" t="str">
        <x:f>IF($A75="","",IF(AND($G75="Yes",AF$2=XLOOKUP($A75,TasksTable[Task ID],TasksTable[Start Date],"")),"◆",""))</x:f>
      </x:c>
      <x:c r="AG75" s="90" t="str">
        <x:f>IF($A75="","",IF(AND($G75="Yes",AG$2=XLOOKUP($A75,TasksTable[Task ID],TasksTable[Start Date],"")),"◆",""))</x:f>
      </x:c>
      <x:c r="AH75" s="90" t="str">
        <x:f>IF($A75="","",IF(AND($G75="Yes",AH$2=XLOOKUP($A75,TasksTable[Task ID],TasksTable[Start Date],"")),"◆",""))</x:f>
      </x:c>
      <x:c r="AI75" s="90" t="str">
        <x:f>IF($A75="","",IF(AND($G75="Yes",AI$2=XLOOKUP($A75,TasksTable[Task ID],TasksTable[Start Date],"")),"◆",""))</x:f>
      </x:c>
      <x:c r="AJ75" s="90" t="str">
        <x:f>IF($A75="","",IF(AND($G75="Yes",AJ$2=XLOOKUP($A75,TasksTable[Task ID],TasksTable[Start Date],"")),"◆",""))</x:f>
      </x:c>
      <x:c r="AK75" s="90" t="str">
        <x:f>IF($A75="","",IF(AND($G75="Yes",AK$2=XLOOKUP($A75,TasksTable[Task ID],TasksTable[Start Date],"")),"◆",""))</x:f>
      </x:c>
      <x:c r="AL75" s="90" t="str">
        <x:f>IF($A75="","",IF(AND($G75="Yes",AL$2=XLOOKUP($A75,TasksTable[Task ID],TasksTable[Start Date],"")),"◆",""))</x:f>
      </x:c>
      <x:c r="AM75" s="90" t="str">
        <x:f>IF($A75="","",IF(AND($G75="Yes",AM$2=XLOOKUP($A75,TasksTable[Task ID],TasksTable[Start Date],"")),"◆",""))</x:f>
      </x:c>
      <x:c r="AN75" s="90" t="str">
        <x:f>IF($A75="","",IF(AND($G75="Yes",AN$2=XLOOKUP($A75,TasksTable[Task ID],TasksTable[Start Date],"")),"◆",""))</x:f>
      </x:c>
      <x:c r="AO75" s="90" t="str">
        <x:f>IF($A75="","",IF(AND($G75="Yes",AO$2=XLOOKUP($A75,TasksTable[Task ID],TasksTable[Start Date],"")),"◆",""))</x:f>
      </x:c>
    </x:row>
    <x:row r="76">
      <x:c r="A76" s="10" t="str">
        <x:f>IFERROR(INDEX(TasksTable[Task ID],ROWS($A$4:A76)),"")</x:f>
      </x:c>
      <x:c r="B76" s="10" t="str">
        <x:f>IF($A76="","",IFERROR(XLOOKUP($A76,TasksTable[Task ID],TasksTable[Phase],""),""))</x:f>
      </x:c>
      <x:c r="C76" s="10" t="str">
        <x:f>IF($A76="","",IFERROR(XLOOKUP($A76,TasksTable[Task ID],TasksTable[Task Name],""),""))</x:f>
      </x:c>
      <x:c r="D76" s="10" t="str">
        <x:f>IF($A76="","",IFERROR(XLOOKUP($A76,TasksTable[Task ID],TasksTable[Status],""),""))</x:f>
      </x:c>
      <x:c r="E76" s="86" t="str">
        <x:f>IF($A76="","",IFERROR(XLOOKUP($A76,TasksTable[Task ID],TasksTable[Progress %],0),0))</x:f>
      </x:c>
      <x:c r="F76" s="10" t="str">
        <x:f>IF($A76="","",IFERROR(XLOOKUP($A76,TasksTable[Task ID],TasksTable[Schedule Health],""),""))</x:f>
      </x:c>
      <x:c r="G76" s="10" t="str">
        <x:f>IF($A76="","",IFERROR(XLOOKUP($A76,TasksTable[Task ID],TasksTable[Milestone],""),""))</x:f>
      </x:c>
      <x:c r="H76" s="90" t="str">
        <x:f>IF($A76="","",IF(AND($G76="Yes",H$2=XLOOKUP($A76,TasksTable[Task ID],TasksTable[Start Date],"")),"◆",""))</x:f>
      </x:c>
      <x:c r="I76" s="90" t="str">
        <x:f>IF($A76="","",IF(AND($G76="Yes",I$2=XLOOKUP($A76,TasksTable[Task ID],TasksTable[Start Date],"")),"◆",""))</x:f>
      </x:c>
      <x:c r="J76" s="90" t="str">
        <x:f>IF($A76="","",IF(AND($G76="Yes",J$2=XLOOKUP($A76,TasksTable[Task ID],TasksTable[Start Date],"")),"◆",""))</x:f>
      </x:c>
      <x:c r="K76" s="90" t="str">
        <x:f>IF($A76="","",IF(AND($G76="Yes",K$2=XLOOKUP($A76,TasksTable[Task ID],TasksTable[Start Date],"")),"◆",""))</x:f>
      </x:c>
      <x:c r="L76" s="90" t="str">
        <x:f>IF($A76="","",IF(AND($G76="Yes",L$2=XLOOKUP($A76,TasksTable[Task ID],TasksTable[Start Date],"")),"◆",""))</x:f>
      </x:c>
      <x:c r="M76" s="90" t="str">
        <x:f>IF($A76="","",IF(AND($G76="Yes",M$2=XLOOKUP($A76,TasksTable[Task ID],TasksTable[Start Date],"")),"◆",""))</x:f>
      </x:c>
      <x:c r="N76" s="90" t="str">
        <x:f>IF($A76="","",IF(AND($G76="Yes",N$2=XLOOKUP($A76,TasksTable[Task ID],TasksTable[Start Date],"")),"◆",""))</x:f>
      </x:c>
      <x:c r="O76" s="90" t="str">
        <x:f>IF($A76="","",IF(AND($G76="Yes",O$2=XLOOKUP($A76,TasksTable[Task ID],TasksTable[Start Date],"")),"◆",""))</x:f>
      </x:c>
      <x:c r="P76" s="90" t="str">
        <x:f>IF($A76="","",IF(AND($G76="Yes",P$2=XLOOKUP($A76,TasksTable[Task ID],TasksTable[Start Date],"")),"◆",""))</x:f>
      </x:c>
      <x:c r="Q76" s="90" t="str">
        <x:f>IF($A76="","",IF(AND($G76="Yes",Q$2=XLOOKUP($A76,TasksTable[Task ID],TasksTable[Start Date],"")),"◆",""))</x:f>
      </x:c>
      <x:c r="R76" s="90" t="str">
        <x:f>IF($A76="","",IF(AND($G76="Yes",R$2=XLOOKUP($A76,TasksTable[Task ID],TasksTable[Start Date],"")),"◆",""))</x:f>
      </x:c>
      <x:c r="S76" s="90" t="str">
        <x:f>IF($A76="","",IF(AND($G76="Yes",S$2=XLOOKUP($A76,TasksTable[Task ID],TasksTable[Start Date],"")),"◆",""))</x:f>
      </x:c>
      <x:c r="T76" s="90" t="str">
        <x:f>IF($A76="","",IF(AND($G76="Yes",T$2=XLOOKUP($A76,TasksTable[Task ID],TasksTable[Start Date],"")),"◆",""))</x:f>
      </x:c>
      <x:c r="U76" s="90" t="str">
        <x:f>IF($A76="","",IF(AND($G76="Yes",U$2=XLOOKUP($A76,TasksTable[Task ID],TasksTable[Start Date],"")),"◆",""))</x:f>
      </x:c>
      <x:c r="V76" s="90" t="str">
        <x:f>IF($A76="","",IF(AND($G76="Yes",V$2=XLOOKUP($A76,TasksTable[Task ID],TasksTable[Start Date],"")),"◆",""))</x:f>
      </x:c>
      <x:c r="W76" s="90" t="str">
        <x:f>IF($A76="","",IF(AND($G76="Yes",W$2=XLOOKUP($A76,TasksTable[Task ID],TasksTable[Start Date],"")),"◆",""))</x:f>
      </x:c>
      <x:c r="X76" s="90" t="str">
        <x:f>IF($A76="","",IF(AND($G76="Yes",X$2=XLOOKUP($A76,TasksTable[Task ID],TasksTable[Start Date],"")),"◆",""))</x:f>
      </x:c>
      <x:c r="Y76" s="90" t="str">
        <x:f>IF($A76="","",IF(AND($G76="Yes",Y$2=XLOOKUP($A76,TasksTable[Task ID],TasksTable[Start Date],"")),"◆",""))</x:f>
      </x:c>
      <x:c r="Z76" s="90" t="str">
        <x:f>IF($A76="","",IF(AND($G76="Yes",Z$2=XLOOKUP($A76,TasksTable[Task ID],TasksTable[Start Date],"")),"◆",""))</x:f>
      </x:c>
      <x:c r="AA76" s="90" t="str">
        <x:f>IF($A76="","",IF(AND($G76="Yes",AA$2=XLOOKUP($A76,TasksTable[Task ID],TasksTable[Start Date],"")),"◆",""))</x:f>
      </x:c>
      <x:c r="AB76" s="90" t="str">
        <x:f>IF($A76="","",IF(AND($G76="Yes",AB$2=XLOOKUP($A76,TasksTable[Task ID],TasksTable[Start Date],"")),"◆",""))</x:f>
      </x:c>
      <x:c r="AC76" s="90" t="str">
        <x:f>IF($A76="","",IF(AND($G76="Yes",AC$2=XLOOKUP($A76,TasksTable[Task ID],TasksTable[Start Date],"")),"◆",""))</x:f>
      </x:c>
      <x:c r="AD76" s="90" t="str">
        <x:f>IF($A76="","",IF(AND($G76="Yes",AD$2=XLOOKUP($A76,TasksTable[Task ID],TasksTable[Start Date],"")),"◆",""))</x:f>
      </x:c>
      <x:c r="AE76" s="90" t="str">
        <x:f>IF($A76="","",IF(AND($G76="Yes",AE$2=XLOOKUP($A76,TasksTable[Task ID],TasksTable[Start Date],"")),"◆",""))</x:f>
      </x:c>
      <x:c r="AF76" s="90" t="str">
        <x:f>IF($A76="","",IF(AND($G76="Yes",AF$2=XLOOKUP($A76,TasksTable[Task ID],TasksTable[Start Date],"")),"◆",""))</x:f>
      </x:c>
      <x:c r="AG76" s="90" t="str">
        <x:f>IF($A76="","",IF(AND($G76="Yes",AG$2=XLOOKUP($A76,TasksTable[Task ID],TasksTable[Start Date],"")),"◆",""))</x:f>
      </x:c>
      <x:c r="AH76" s="90" t="str">
        <x:f>IF($A76="","",IF(AND($G76="Yes",AH$2=XLOOKUP($A76,TasksTable[Task ID],TasksTable[Start Date],"")),"◆",""))</x:f>
      </x:c>
      <x:c r="AI76" s="90" t="str">
        <x:f>IF($A76="","",IF(AND($G76="Yes",AI$2=XLOOKUP($A76,TasksTable[Task ID],TasksTable[Start Date],"")),"◆",""))</x:f>
      </x:c>
      <x:c r="AJ76" s="90" t="str">
        <x:f>IF($A76="","",IF(AND($G76="Yes",AJ$2=XLOOKUP($A76,TasksTable[Task ID],TasksTable[Start Date],"")),"◆",""))</x:f>
      </x:c>
      <x:c r="AK76" s="90" t="str">
        <x:f>IF($A76="","",IF(AND($G76="Yes",AK$2=XLOOKUP($A76,TasksTable[Task ID],TasksTable[Start Date],"")),"◆",""))</x:f>
      </x:c>
      <x:c r="AL76" s="90" t="str">
        <x:f>IF($A76="","",IF(AND($G76="Yes",AL$2=XLOOKUP($A76,TasksTable[Task ID],TasksTable[Start Date],"")),"◆",""))</x:f>
      </x:c>
      <x:c r="AM76" s="90" t="str">
        <x:f>IF($A76="","",IF(AND($G76="Yes",AM$2=XLOOKUP($A76,TasksTable[Task ID],TasksTable[Start Date],"")),"◆",""))</x:f>
      </x:c>
      <x:c r="AN76" s="90" t="str">
        <x:f>IF($A76="","",IF(AND($G76="Yes",AN$2=XLOOKUP($A76,TasksTable[Task ID],TasksTable[Start Date],"")),"◆",""))</x:f>
      </x:c>
      <x:c r="AO76" s="90" t="str">
        <x:f>IF($A76="","",IF(AND($G76="Yes",AO$2=XLOOKUP($A76,TasksTable[Task ID],TasksTable[Start Date],"")),"◆",""))</x:f>
      </x:c>
    </x:row>
    <x:row r="77">
      <x:c r="A77" s="10" t="str">
        <x:f>IFERROR(INDEX(TasksTable[Task ID],ROWS($A$4:A77)),"")</x:f>
      </x:c>
      <x:c r="B77" s="10" t="str">
        <x:f>IF($A77="","",IFERROR(XLOOKUP($A77,TasksTable[Task ID],TasksTable[Phase],""),""))</x:f>
      </x:c>
      <x:c r="C77" s="10" t="str">
        <x:f>IF($A77="","",IFERROR(XLOOKUP($A77,TasksTable[Task ID],TasksTable[Task Name],""),""))</x:f>
      </x:c>
      <x:c r="D77" s="10" t="str">
        <x:f>IF($A77="","",IFERROR(XLOOKUP($A77,TasksTable[Task ID],TasksTable[Status],""),""))</x:f>
      </x:c>
      <x:c r="E77" s="86" t="str">
        <x:f>IF($A77="","",IFERROR(XLOOKUP($A77,TasksTable[Task ID],TasksTable[Progress %],0),0))</x:f>
      </x:c>
      <x:c r="F77" s="10" t="str">
        <x:f>IF($A77="","",IFERROR(XLOOKUP($A77,TasksTable[Task ID],TasksTable[Schedule Health],""),""))</x:f>
      </x:c>
      <x:c r="G77" s="10" t="str">
        <x:f>IF($A77="","",IFERROR(XLOOKUP($A77,TasksTable[Task ID],TasksTable[Milestone],""),""))</x:f>
      </x:c>
      <x:c r="H77" s="90" t="str">
        <x:f>IF($A77="","",IF(AND($G77="Yes",H$2=XLOOKUP($A77,TasksTable[Task ID],TasksTable[Start Date],"")),"◆",""))</x:f>
      </x:c>
      <x:c r="I77" s="90" t="str">
        <x:f>IF($A77="","",IF(AND($G77="Yes",I$2=XLOOKUP($A77,TasksTable[Task ID],TasksTable[Start Date],"")),"◆",""))</x:f>
      </x:c>
      <x:c r="J77" s="90" t="str">
        <x:f>IF($A77="","",IF(AND($G77="Yes",J$2=XLOOKUP($A77,TasksTable[Task ID],TasksTable[Start Date],"")),"◆",""))</x:f>
      </x:c>
      <x:c r="K77" s="90" t="str">
        <x:f>IF($A77="","",IF(AND($G77="Yes",K$2=XLOOKUP($A77,TasksTable[Task ID],TasksTable[Start Date],"")),"◆",""))</x:f>
      </x:c>
      <x:c r="L77" s="90" t="str">
        <x:f>IF($A77="","",IF(AND($G77="Yes",L$2=XLOOKUP($A77,TasksTable[Task ID],TasksTable[Start Date],"")),"◆",""))</x:f>
      </x:c>
      <x:c r="M77" s="90" t="str">
        <x:f>IF($A77="","",IF(AND($G77="Yes",M$2=XLOOKUP($A77,TasksTable[Task ID],TasksTable[Start Date],"")),"◆",""))</x:f>
      </x:c>
      <x:c r="N77" s="90" t="str">
        <x:f>IF($A77="","",IF(AND($G77="Yes",N$2=XLOOKUP($A77,TasksTable[Task ID],TasksTable[Start Date],"")),"◆",""))</x:f>
      </x:c>
      <x:c r="O77" s="90" t="str">
        <x:f>IF($A77="","",IF(AND($G77="Yes",O$2=XLOOKUP($A77,TasksTable[Task ID],TasksTable[Start Date],"")),"◆",""))</x:f>
      </x:c>
      <x:c r="P77" s="90" t="str">
        <x:f>IF($A77="","",IF(AND($G77="Yes",P$2=XLOOKUP($A77,TasksTable[Task ID],TasksTable[Start Date],"")),"◆",""))</x:f>
      </x:c>
      <x:c r="Q77" s="90" t="str">
        <x:f>IF($A77="","",IF(AND($G77="Yes",Q$2=XLOOKUP($A77,TasksTable[Task ID],TasksTable[Start Date],"")),"◆",""))</x:f>
      </x:c>
      <x:c r="R77" s="90" t="str">
        <x:f>IF($A77="","",IF(AND($G77="Yes",R$2=XLOOKUP($A77,TasksTable[Task ID],TasksTable[Start Date],"")),"◆",""))</x:f>
      </x:c>
      <x:c r="S77" s="90" t="str">
        <x:f>IF($A77="","",IF(AND($G77="Yes",S$2=XLOOKUP($A77,TasksTable[Task ID],TasksTable[Start Date],"")),"◆",""))</x:f>
      </x:c>
      <x:c r="T77" s="90" t="str">
        <x:f>IF($A77="","",IF(AND($G77="Yes",T$2=XLOOKUP($A77,TasksTable[Task ID],TasksTable[Start Date],"")),"◆",""))</x:f>
      </x:c>
      <x:c r="U77" s="90" t="str">
        <x:f>IF($A77="","",IF(AND($G77="Yes",U$2=XLOOKUP($A77,TasksTable[Task ID],TasksTable[Start Date],"")),"◆",""))</x:f>
      </x:c>
      <x:c r="V77" s="90" t="str">
        <x:f>IF($A77="","",IF(AND($G77="Yes",V$2=XLOOKUP($A77,TasksTable[Task ID],TasksTable[Start Date],"")),"◆",""))</x:f>
      </x:c>
      <x:c r="W77" s="90" t="str">
        <x:f>IF($A77="","",IF(AND($G77="Yes",W$2=XLOOKUP($A77,TasksTable[Task ID],TasksTable[Start Date],"")),"◆",""))</x:f>
      </x:c>
      <x:c r="X77" s="90" t="str">
        <x:f>IF($A77="","",IF(AND($G77="Yes",X$2=XLOOKUP($A77,TasksTable[Task ID],TasksTable[Start Date],"")),"◆",""))</x:f>
      </x:c>
      <x:c r="Y77" s="90" t="str">
        <x:f>IF($A77="","",IF(AND($G77="Yes",Y$2=XLOOKUP($A77,TasksTable[Task ID],TasksTable[Start Date],"")),"◆",""))</x:f>
      </x:c>
      <x:c r="Z77" s="90" t="str">
        <x:f>IF($A77="","",IF(AND($G77="Yes",Z$2=XLOOKUP($A77,TasksTable[Task ID],TasksTable[Start Date],"")),"◆",""))</x:f>
      </x:c>
      <x:c r="AA77" s="90" t="str">
        <x:f>IF($A77="","",IF(AND($G77="Yes",AA$2=XLOOKUP($A77,TasksTable[Task ID],TasksTable[Start Date],"")),"◆",""))</x:f>
      </x:c>
      <x:c r="AB77" s="90" t="str">
        <x:f>IF($A77="","",IF(AND($G77="Yes",AB$2=XLOOKUP($A77,TasksTable[Task ID],TasksTable[Start Date],"")),"◆",""))</x:f>
      </x:c>
      <x:c r="AC77" s="90" t="str">
        <x:f>IF($A77="","",IF(AND($G77="Yes",AC$2=XLOOKUP($A77,TasksTable[Task ID],TasksTable[Start Date],"")),"◆",""))</x:f>
      </x:c>
      <x:c r="AD77" s="90" t="str">
        <x:f>IF($A77="","",IF(AND($G77="Yes",AD$2=XLOOKUP($A77,TasksTable[Task ID],TasksTable[Start Date],"")),"◆",""))</x:f>
      </x:c>
      <x:c r="AE77" s="90" t="str">
        <x:f>IF($A77="","",IF(AND($G77="Yes",AE$2=XLOOKUP($A77,TasksTable[Task ID],TasksTable[Start Date],"")),"◆",""))</x:f>
      </x:c>
      <x:c r="AF77" s="90" t="str">
        <x:f>IF($A77="","",IF(AND($G77="Yes",AF$2=XLOOKUP($A77,TasksTable[Task ID],TasksTable[Start Date],"")),"◆",""))</x:f>
      </x:c>
      <x:c r="AG77" s="90" t="str">
        <x:f>IF($A77="","",IF(AND($G77="Yes",AG$2=XLOOKUP($A77,TasksTable[Task ID],TasksTable[Start Date],"")),"◆",""))</x:f>
      </x:c>
      <x:c r="AH77" s="90" t="str">
        <x:f>IF($A77="","",IF(AND($G77="Yes",AH$2=XLOOKUP($A77,TasksTable[Task ID],TasksTable[Start Date],"")),"◆",""))</x:f>
      </x:c>
      <x:c r="AI77" s="90" t="str">
        <x:f>IF($A77="","",IF(AND($G77="Yes",AI$2=XLOOKUP($A77,TasksTable[Task ID],TasksTable[Start Date],"")),"◆",""))</x:f>
      </x:c>
      <x:c r="AJ77" s="90" t="str">
        <x:f>IF($A77="","",IF(AND($G77="Yes",AJ$2=XLOOKUP($A77,TasksTable[Task ID],TasksTable[Start Date],"")),"◆",""))</x:f>
      </x:c>
      <x:c r="AK77" s="90" t="str">
        <x:f>IF($A77="","",IF(AND($G77="Yes",AK$2=XLOOKUP($A77,TasksTable[Task ID],TasksTable[Start Date],"")),"◆",""))</x:f>
      </x:c>
      <x:c r="AL77" s="90" t="str">
        <x:f>IF($A77="","",IF(AND($G77="Yes",AL$2=XLOOKUP($A77,TasksTable[Task ID],TasksTable[Start Date],"")),"◆",""))</x:f>
      </x:c>
      <x:c r="AM77" s="90" t="str">
        <x:f>IF($A77="","",IF(AND($G77="Yes",AM$2=XLOOKUP($A77,TasksTable[Task ID],TasksTable[Start Date],"")),"◆",""))</x:f>
      </x:c>
      <x:c r="AN77" s="90" t="str">
        <x:f>IF($A77="","",IF(AND($G77="Yes",AN$2=XLOOKUP($A77,TasksTable[Task ID],TasksTable[Start Date],"")),"◆",""))</x:f>
      </x:c>
      <x:c r="AO77" s="90" t="str">
        <x:f>IF($A77="","",IF(AND($G77="Yes",AO$2=XLOOKUP($A77,TasksTable[Task ID],TasksTable[Start Date],"")),"◆",""))</x:f>
      </x:c>
    </x:row>
    <x:row r="78">
      <x:c r="A78" s="10" t="str">
        <x:f>IFERROR(INDEX(TasksTable[Task ID],ROWS($A$4:A78)),"")</x:f>
      </x:c>
      <x:c r="B78" s="10" t="str">
        <x:f>IF($A78="","",IFERROR(XLOOKUP($A78,TasksTable[Task ID],TasksTable[Phase],""),""))</x:f>
      </x:c>
      <x:c r="C78" s="10" t="str">
        <x:f>IF($A78="","",IFERROR(XLOOKUP($A78,TasksTable[Task ID],TasksTable[Task Name],""),""))</x:f>
      </x:c>
      <x:c r="D78" s="10" t="str">
        <x:f>IF($A78="","",IFERROR(XLOOKUP($A78,TasksTable[Task ID],TasksTable[Status],""),""))</x:f>
      </x:c>
      <x:c r="E78" s="86" t="str">
        <x:f>IF($A78="","",IFERROR(XLOOKUP($A78,TasksTable[Task ID],TasksTable[Progress %],0),0))</x:f>
      </x:c>
      <x:c r="F78" s="10" t="str">
        <x:f>IF($A78="","",IFERROR(XLOOKUP($A78,TasksTable[Task ID],TasksTable[Schedule Health],""),""))</x:f>
      </x:c>
      <x:c r="G78" s="10" t="str">
        <x:f>IF($A78="","",IFERROR(XLOOKUP($A78,TasksTable[Task ID],TasksTable[Milestone],""),""))</x:f>
      </x:c>
      <x:c r="H78" s="90" t="str">
        <x:f>IF($A78="","",IF(AND($G78="Yes",H$2=XLOOKUP($A78,TasksTable[Task ID],TasksTable[Start Date],"")),"◆",""))</x:f>
      </x:c>
      <x:c r="I78" s="90" t="str">
        <x:f>IF($A78="","",IF(AND($G78="Yes",I$2=XLOOKUP($A78,TasksTable[Task ID],TasksTable[Start Date],"")),"◆",""))</x:f>
      </x:c>
      <x:c r="J78" s="90" t="str">
        <x:f>IF($A78="","",IF(AND($G78="Yes",J$2=XLOOKUP($A78,TasksTable[Task ID],TasksTable[Start Date],"")),"◆",""))</x:f>
      </x:c>
      <x:c r="K78" s="90" t="str">
        <x:f>IF($A78="","",IF(AND($G78="Yes",K$2=XLOOKUP($A78,TasksTable[Task ID],TasksTable[Start Date],"")),"◆",""))</x:f>
      </x:c>
      <x:c r="L78" s="90" t="str">
        <x:f>IF($A78="","",IF(AND($G78="Yes",L$2=XLOOKUP($A78,TasksTable[Task ID],TasksTable[Start Date],"")),"◆",""))</x:f>
      </x:c>
      <x:c r="M78" s="90" t="str">
        <x:f>IF($A78="","",IF(AND($G78="Yes",M$2=XLOOKUP($A78,TasksTable[Task ID],TasksTable[Start Date],"")),"◆",""))</x:f>
      </x:c>
      <x:c r="N78" s="90" t="str">
        <x:f>IF($A78="","",IF(AND($G78="Yes",N$2=XLOOKUP($A78,TasksTable[Task ID],TasksTable[Start Date],"")),"◆",""))</x:f>
      </x:c>
      <x:c r="O78" s="90" t="str">
        <x:f>IF($A78="","",IF(AND($G78="Yes",O$2=XLOOKUP($A78,TasksTable[Task ID],TasksTable[Start Date],"")),"◆",""))</x:f>
      </x:c>
      <x:c r="P78" s="90" t="str">
        <x:f>IF($A78="","",IF(AND($G78="Yes",P$2=XLOOKUP($A78,TasksTable[Task ID],TasksTable[Start Date],"")),"◆",""))</x:f>
      </x:c>
      <x:c r="Q78" s="90" t="str">
        <x:f>IF($A78="","",IF(AND($G78="Yes",Q$2=XLOOKUP($A78,TasksTable[Task ID],TasksTable[Start Date],"")),"◆",""))</x:f>
      </x:c>
      <x:c r="R78" s="90" t="str">
        <x:f>IF($A78="","",IF(AND($G78="Yes",R$2=XLOOKUP($A78,TasksTable[Task ID],TasksTable[Start Date],"")),"◆",""))</x:f>
      </x:c>
      <x:c r="S78" s="90" t="str">
        <x:f>IF($A78="","",IF(AND($G78="Yes",S$2=XLOOKUP($A78,TasksTable[Task ID],TasksTable[Start Date],"")),"◆",""))</x:f>
      </x:c>
      <x:c r="T78" s="90" t="str">
        <x:f>IF($A78="","",IF(AND($G78="Yes",T$2=XLOOKUP($A78,TasksTable[Task ID],TasksTable[Start Date],"")),"◆",""))</x:f>
      </x:c>
      <x:c r="U78" s="90" t="str">
        <x:f>IF($A78="","",IF(AND($G78="Yes",U$2=XLOOKUP($A78,TasksTable[Task ID],TasksTable[Start Date],"")),"◆",""))</x:f>
      </x:c>
      <x:c r="V78" s="90" t="str">
        <x:f>IF($A78="","",IF(AND($G78="Yes",V$2=XLOOKUP($A78,TasksTable[Task ID],TasksTable[Start Date],"")),"◆",""))</x:f>
      </x:c>
      <x:c r="W78" s="90" t="str">
        <x:f>IF($A78="","",IF(AND($G78="Yes",W$2=XLOOKUP($A78,TasksTable[Task ID],TasksTable[Start Date],"")),"◆",""))</x:f>
      </x:c>
      <x:c r="X78" s="90" t="str">
        <x:f>IF($A78="","",IF(AND($G78="Yes",X$2=XLOOKUP($A78,TasksTable[Task ID],TasksTable[Start Date],"")),"◆",""))</x:f>
      </x:c>
      <x:c r="Y78" s="90" t="str">
        <x:f>IF($A78="","",IF(AND($G78="Yes",Y$2=XLOOKUP($A78,TasksTable[Task ID],TasksTable[Start Date],"")),"◆",""))</x:f>
      </x:c>
      <x:c r="Z78" s="90" t="str">
        <x:f>IF($A78="","",IF(AND($G78="Yes",Z$2=XLOOKUP($A78,TasksTable[Task ID],TasksTable[Start Date],"")),"◆",""))</x:f>
      </x:c>
      <x:c r="AA78" s="90" t="str">
        <x:f>IF($A78="","",IF(AND($G78="Yes",AA$2=XLOOKUP($A78,TasksTable[Task ID],TasksTable[Start Date],"")),"◆",""))</x:f>
      </x:c>
      <x:c r="AB78" s="90" t="str">
        <x:f>IF($A78="","",IF(AND($G78="Yes",AB$2=XLOOKUP($A78,TasksTable[Task ID],TasksTable[Start Date],"")),"◆",""))</x:f>
      </x:c>
      <x:c r="AC78" s="90" t="str">
        <x:f>IF($A78="","",IF(AND($G78="Yes",AC$2=XLOOKUP($A78,TasksTable[Task ID],TasksTable[Start Date],"")),"◆",""))</x:f>
      </x:c>
      <x:c r="AD78" s="90" t="str">
        <x:f>IF($A78="","",IF(AND($G78="Yes",AD$2=XLOOKUP($A78,TasksTable[Task ID],TasksTable[Start Date],"")),"◆",""))</x:f>
      </x:c>
      <x:c r="AE78" s="90" t="str">
        <x:f>IF($A78="","",IF(AND($G78="Yes",AE$2=XLOOKUP($A78,TasksTable[Task ID],TasksTable[Start Date],"")),"◆",""))</x:f>
      </x:c>
      <x:c r="AF78" s="90" t="str">
        <x:f>IF($A78="","",IF(AND($G78="Yes",AF$2=XLOOKUP($A78,TasksTable[Task ID],TasksTable[Start Date],"")),"◆",""))</x:f>
      </x:c>
      <x:c r="AG78" s="90" t="str">
        <x:f>IF($A78="","",IF(AND($G78="Yes",AG$2=XLOOKUP($A78,TasksTable[Task ID],TasksTable[Start Date],"")),"◆",""))</x:f>
      </x:c>
      <x:c r="AH78" s="90" t="str">
        <x:f>IF($A78="","",IF(AND($G78="Yes",AH$2=XLOOKUP($A78,TasksTable[Task ID],TasksTable[Start Date],"")),"◆",""))</x:f>
      </x:c>
      <x:c r="AI78" s="90" t="str">
        <x:f>IF($A78="","",IF(AND($G78="Yes",AI$2=XLOOKUP($A78,TasksTable[Task ID],TasksTable[Start Date],"")),"◆",""))</x:f>
      </x:c>
      <x:c r="AJ78" s="90" t="str">
        <x:f>IF($A78="","",IF(AND($G78="Yes",AJ$2=XLOOKUP($A78,TasksTable[Task ID],TasksTable[Start Date],"")),"◆",""))</x:f>
      </x:c>
      <x:c r="AK78" s="90" t="str">
        <x:f>IF($A78="","",IF(AND($G78="Yes",AK$2=XLOOKUP($A78,TasksTable[Task ID],TasksTable[Start Date],"")),"◆",""))</x:f>
      </x:c>
      <x:c r="AL78" s="90" t="str">
        <x:f>IF($A78="","",IF(AND($G78="Yes",AL$2=XLOOKUP($A78,TasksTable[Task ID],TasksTable[Start Date],"")),"◆",""))</x:f>
      </x:c>
      <x:c r="AM78" s="90" t="str">
        <x:f>IF($A78="","",IF(AND($G78="Yes",AM$2=XLOOKUP($A78,TasksTable[Task ID],TasksTable[Start Date],"")),"◆",""))</x:f>
      </x:c>
      <x:c r="AN78" s="90" t="str">
        <x:f>IF($A78="","",IF(AND($G78="Yes",AN$2=XLOOKUP($A78,TasksTable[Task ID],TasksTable[Start Date],"")),"◆",""))</x:f>
      </x:c>
      <x:c r="AO78" s="90" t="str">
        <x:f>IF($A78="","",IF(AND($G78="Yes",AO$2=XLOOKUP($A78,TasksTable[Task ID],TasksTable[Start Date],"")),"◆",""))</x:f>
      </x:c>
    </x:row>
    <x:row r="79">
      <x:c r="A79" s="10" t="str">
        <x:f>IFERROR(INDEX(TasksTable[Task ID],ROWS($A$4:A79)),"")</x:f>
      </x:c>
      <x:c r="B79" s="10" t="str">
        <x:f>IF($A79="","",IFERROR(XLOOKUP($A79,TasksTable[Task ID],TasksTable[Phase],""),""))</x:f>
      </x:c>
      <x:c r="C79" s="10" t="str">
        <x:f>IF($A79="","",IFERROR(XLOOKUP($A79,TasksTable[Task ID],TasksTable[Task Name],""),""))</x:f>
      </x:c>
      <x:c r="D79" s="10" t="str">
        <x:f>IF($A79="","",IFERROR(XLOOKUP($A79,TasksTable[Task ID],TasksTable[Status],""),""))</x:f>
      </x:c>
      <x:c r="E79" s="86" t="str">
        <x:f>IF($A79="","",IFERROR(XLOOKUP($A79,TasksTable[Task ID],TasksTable[Progress %],0),0))</x:f>
      </x:c>
      <x:c r="F79" s="10" t="str">
        <x:f>IF($A79="","",IFERROR(XLOOKUP($A79,TasksTable[Task ID],TasksTable[Schedule Health],""),""))</x:f>
      </x:c>
      <x:c r="G79" s="10" t="str">
        <x:f>IF($A79="","",IFERROR(XLOOKUP($A79,TasksTable[Task ID],TasksTable[Milestone],""),""))</x:f>
      </x:c>
      <x:c r="H79" s="90" t="str">
        <x:f>IF($A79="","",IF(AND($G79="Yes",H$2=XLOOKUP($A79,TasksTable[Task ID],TasksTable[Start Date],"")),"◆",""))</x:f>
      </x:c>
      <x:c r="I79" s="90" t="str">
        <x:f>IF($A79="","",IF(AND($G79="Yes",I$2=XLOOKUP($A79,TasksTable[Task ID],TasksTable[Start Date],"")),"◆",""))</x:f>
      </x:c>
      <x:c r="J79" s="90" t="str">
        <x:f>IF($A79="","",IF(AND($G79="Yes",J$2=XLOOKUP($A79,TasksTable[Task ID],TasksTable[Start Date],"")),"◆",""))</x:f>
      </x:c>
      <x:c r="K79" s="90" t="str">
        <x:f>IF($A79="","",IF(AND($G79="Yes",K$2=XLOOKUP($A79,TasksTable[Task ID],TasksTable[Start Date],"")),"◆",""))</x:f>
      </x:c>
      <x:c r="L79" s="90" t="str">
        <x:f>IF($A79="","",IF(AND($G79="Yes",L$2=XLOOKUP($A79,TasksTable[Task ID],TasksTable[Start Date],"")),"◆",""))</x:f>
      </x:c>
      <x:c r="M79" s="90" t="str">
        <x:f>IF($A79="","",IF(AND($G79="Yes",M$2=XLOOKUP($A79,TasksTable[Task ID],TasksTable[Start Date],"")),"◆",""))</x:f>
      </x:c>
      <x:c r="N79" s="90" t="str">
        <x:f>IF($A79="","",IF(AND($G79="Yes",N$2=XLOOKUP($A79,TasksTable[Task ID],TasksTable[Start Date],"")),"◆",""))</x:f>
      </x:c>
      <x:c r="O79" s="90" t="str">
        <x:f>IF($A79="","",IF(AND($G79="Yes",O$2=XLOOKUP($A79,TasksTable[Task ID],TasksTable[Start Date],"")),"◆",""))</x:f>
      </x:c>
      <x:c r="P79" s="90" t="str">
        <x:f>IF($A79="","",IF(AND($G79="Yes",P$2=XLOOKUP($A79,TasksTable[Task ID],TasksTable[Start Date],"")),"◆",""))</x:f>
      </x:c>
      <x:c r="Q79" s="90" t="str">
        <x:f>IF($A79="","",IF(AND($G79="Yes",Q$2=XLOOKUP($A79,TasksTable[Task ID],TasksTable[Start Date],"")),"◆",""))</x:f>
      </x:c>
      <x:c r="R79" s="90" t="str">
        <x:f>IF($A79="","",IF(AND($G79="Yes",R$2=XLOOKUP($A79,TasksTable[Task ID],TasksTable[Start Date],"")),"◆",""))</x:f>
      </x:c>
      <x:c r="S79" s="90" t="str">
        <x:f>IF($A79="","",IF(AND($G79="Yes",S$2=XLOOKUP($A79,TasksTable[Task ID],TasksTable[Start Date],"")),"◆",""))</x:f>
      </x:c>
      <x:c r="T79" s="90" t="str">
        <x:f>IF($A79="","",IF(AND($G79="Yes",T$2=XLOOKUP($A79,TasksTable[Task ID],TasksTable[Start Date],"")),"◆",""))</x:f>
      </x:c>
      <x:c r="U79" s="90" t="str">
        <x:f>IF($A79="","",IF(AND($G79="Yes",U$2=XLOOKUP($A79,TasksTable[Task ID],TasksTable[Start Date],"")),"◆",""))</x:f>
      </x:c>
      <x:c r="V79" s="90" t="str">
        <x:f>IF($A79="","",IF(AND($G79="Yes",V$2=XLOOKUP($A79,TasksTable[Task ID],TasksTable[Start Date],"")),"◆",""))</x:f>
      </x:c>
      <x:c r="W79" s="90" t="str">
        <x:f>IF($A79="","",IF(AND($G79="Yes",W$2=XLOOKUP($A79,TasksTable[Task ID],TasksTable[Start Date],"")),"◆",""))</x:f>
      </x:c>
      <x:c r="X79" s="90" t="str">
        <x:f>IF($A79="","",IF(AND($G79="Yes",X$2=XLOOKUP($A79,TasksTable[Task ID],TasksTable[Start Date],"")),"◆",""))</x:f>
      </x:c>
      <x:c r="Y79" s="90" t="str">
        <x:f>IF($A79="","",IF(AND($G79="Yes",Y$2=XLOOKUP($A79,TasksTable[Task ID],TasksTable[Start Date],"")),"◆",""))</x:f>
      </x:c>
      <x:c r="Z79" s="90" t="str">
        <x:f>IF($A79="","",IF(AND($G79="Yes",Z$2=XLOOKUP($A79,TasksTable[Task ID],TasksTable[Start Date],"")),"◆",""))</x:f>
      </x:c>
      <x:c r="AA79" s="90" t="str">
        <x:f>IF($A79="","",IF(AND($G79="Yes",AA$2=XLOOKUP($A79,TasksTable[Task ID],TasksTable[Start Date],"")),"◆",""))</x:f>
      </x:c>
      <x:c r="AB79" s="90" t="str">
        <x:f>IF($A79="","",IF(AND($G79="Yes",AB$2=XLOOKUP($A79,TasksTable[Task ID],TasksTable[Start Date],"")),"◆",""))</x:f>
      </x:c>
      <x:c r="AC79" s="90" t="str">
        <x:f>IF($A79="","",IF(AND($G79="Yes",AC$2=XLOOKUP($A79,TasksTable[Task ID],TasksTable[Start Date],"")),"◆",""))</x:f>
      </x:c>
      <x:c r="AD79" s="90" t="str">
        <x:f>IF($A79="","",IF(AND($G79="Yes",AD$2=XLOOKUP($A79,TasksTable[Task ID],TasksTable[Start Date],"")),"◆",""))</x:f>
      </x:c>
      <x:c r="AE79" s="90" t="str">
        <x:f>IF($A79="","",IF(AND($G79="Yes",AE$2=XLOOKUP($A79,TasksTable[Task ID],TasksTable[Start Date],"")),"◆",""))</x:f>
      </x:c>
      <x:c r="AF79" s="90" t="str">
        <x:f>IF($A79="","",IF(AND($G79="Yes",AF$2=XLOOKUP($A79,TasksTable[Task ID],TasksTable[Start Date],"")),"◆",""))</x:f>
      </x:c>
      <x:c r="AG79" s="90" t="str">
        <x:f>IF($A79="","",IF(AND($G79="Yes",AG$2=XLOOKUP($A79,TasksTable[Task ID],TasksTable[Start Date],"")),"◆",""))</x:f>
      </x:c>
      <x:c r="AH79" s="90" t="str">
        <x:f>IF($A79="","",IF(AND($G79="Yes",AH$2=XLOOKUP($A79,TasksTable[Task ID],TasksTable[Start Date],"")),"◆",""))</x:f>
      </x:c>
      <x:c r="AI79" s="90" t="str">
        <x:f>IF($A79="","",IF(AND($G79="Yes",AI$2=XLOOKUP($A79,TasksTable[Task ID],TasksTable[Start Date],"")),"◆",""))</x:f>
      </x:c>
      <x:c r="AJ79" s="90" t="str">
        <x:f>IF($A79="","",IF(AND($G79="Yes",AJ$2=XLOOKUP($A79,TasksTable[Task ID],TasksTable[Start Date],"")),"◆",""))</x:f>
      </x:c>
      <x:c r="AK79" s="90" t="str">
        <x:f>IF($A79="","",IF(AND($G79="Yes",AK$2=XLOOKUP($A79,TasksTable[Task ID],TasksTable[Start Date],"")),"◆",""))</x:f>
      </x:c>
      <x:c r="AL79" s="90" t="str">
        <x:f>IF($A79="","",IF(AND($G79="Yes",AL$2=XLOOKUP($A79,TasksTable[Task ID],TasksTable[Start Date],"")),"◆",""))</x:f>
      </x:c>
      <x:c r="AM79" s="90" t="str">
        <x:f>IF($A79="","",IF(AND($G79="Yes",AM$2=XLOOKUP($A79,TasksTable[Task ID],TasksTable[Start Date],"")),"◆",""))</x:f>
      </x:c>
      <x:c r="AN79" s="90" t="str">
        <x:f>IF($A79="","",IF(AND($G79="Yes",AN$2=XLOOKUP($A79,TasksTable[Task ID],TasksTable[Start Date],"")),"◆",""))</x:f>
      </x:c>
      <x:c r="AO79" s="90" t="str">
        <x:f>IF($A79="","",IF(AND($G79="Yes",AO$2=XLOOKUP($A79,TasksTable[Task ID],TasksTable[Start Date],"")),"◆",""))</x:f>
      </x:c>
    </x:row>
    <x:row r="80">
      <x:c r="A80" s="10" t="str">
        <x:f>IFERROR(INDEX(TasksTable[Task ID],ROWS($A$4:A80)),"")</x:f>
      </x:c>
      <x:c r="B80" s="10" t="str">
        <x:f>IF($A80="","",IFERROR(XLOOKUP($A80,TasksTable[Task ID],TasksTable[Phase],""),""))</x:f>
      </x:c>
      <x:c r="C80" s="10" t="str">
        <x:f>IF($A80="","",IFERROR(XLOOKUP($A80,TasksTable[Task ID],TasksTable[Task Name],""),""))</x:f>
      </x:c>
      <x:c r="D80" s="10" t="str">
        <x:f>IF($A80="","",IFERROR(XLOOKUP($A80,TasksTable[Task ID],TasksTable[Status],""),""))</x:f>
      </x:c>
      <x:c r="E80" s="86" t="str">
        <x:f>IF($A80="","",IFERROR(XLOOKUP($A80,TasksTable[Task ID],TasksTable[Progress %],0),0))</x:f>
      </x:c>
      <x:c r="F80" s="10" t="str">
        <x:f>IF($A80="","",IFERROR(XLOOKUP($A80,TasksTable[Task ID],TasksTable[Schedule Health],""),""))</x:f>
      </x:c>
      <x:c r="G80" s="10" t="str">
        <x:f>IF($A80="","",IFERROR(XLOOKUP($A80,TasksTable[Task ID],TasksTable[Milestone],""),""))</x:f>
      </x:c>
      <x:c r="H80" s="90" t="str">
        <x:f>IF($A80="","",IF(AND($G80="Yes",H$2=XLOOKUP($A80,TasksTable[Task ID],TasksTable[Start Date],"")),"◆",""))</x:f>
      </x:c>
      <x:c r="I80" s="90" t="str">
        <x:f>IF($A80="","",IF(AND($G80="Yes",I$2=XLOOKUP($A80,TasksTable[Task ID],TasksTable[Start Date],"")),"◆",""))</x:f>
      </x:c>
      <x:c r="J80" s="90" t="str">
        <x:f>IF($A80="","",IF(AND($G80="Yes",J$2=XLOOKUP($A80,TasksTable[Task ID],TasksTable[Start Date],"")),"◆",""))</x:f>
      </x:c>
      <x:c r="K80" s="90" t="str">
        <x:f>IF($A80="","",IF(AND($G80="Yes",K$2=XLOOKUP($A80,TasksTable[Task ID],TasksTable[Start Date],"")),"◆",""))</x:f>
      </x:c>
      <x:c r="L80" s="90" t="str">
        <x:f>IF($A80="","",IF(AND($G80="Yes",L$2=XLOOKUP($A80,TasksTable[Task ID],TasksTable[Start Date],"")),"◆",""))</x:f>
      </x:c>
      <x:c r="M80" s="90" t="str">
        <x:f>IF($A80="","",IF(AND($G80="Yes",M$2=XLOOKUP($A80,TasksTable[Task ID],TasksTable[Start Date],"")),"◆",""))</x:f>
      </x:c>
      <x:c r="N80" s="90" t="str">
        <x:f>IF($A80="","",IF(AND($G80="Yes",N$2=XLOOKUP($A80,TasksTable[Task ID],TasksTable[Start Date],"")),"◆",""))</x:f>
      </x:c>
      <x:c r="O80" s="90" t="str">
        <x:f>IF($A80="","",IF(AND($G80="Yes",O$2=XLOOKUP($A80,TasksTable[Task ID],TasksTable[Start Date],"")),"◆",""))</x:f>
      </x:c>
      <x:c r="P80" s="90" t="str">
        <x:f>IF($A80="","",IF(AND($G80="Yes",P$2=XLOOKUP($A80,TasksTable[Task ID],TasksTable[Start Date],"")),"◆",""))</x:f>
      </x:c>
      <x:c r="Q80" s="90" t="str">
        <x:f>IF($A80="","",IF(AND($G80="Yes",Q$2=XLOOKUP($A80,TasksTable[Task ID],TasksTable[Start Date],"")),"◆",""))</x:f>
      </x:c>
      <x:c r="R80" s="90" t="str">
        <x:f>IF($A80="","",IF(AND($G80="Yes",R$2=XLOOKUP($A80,TasksTable[Task ID],TasksTable[Start Date],"")),"◆",""))</x:f>
      </x:c>
      <x:c r="S80" s="90" t="str">
        <x:f>IF($A80="","",IF(AND($G80="Yes",S$2=XLOOKUP($A80,TasksTable[Task ID],TasksTable[Start Date],"")),"◆",""))</x:f>
      </x:c>
      <x:c r="T80" s="90" t="str">
        <x:f>IF($A80="","",IF(AND($G80="Yes",T$2=XLOOKUP($A80,TasksTable[Task ID],TasksTable[Start Date],"")),"◆",""))</x:f>
      </x:c>
      <x:c r="U80" s="90" t="str">
        <x:f>IF($A80="","",IF(AND($G80="Yes",U$2=XLOOKUP($A80,TasksTable[Task ID],TasksTable[Start Date],"")),"◆",""))</x:f>
      </x:c>
      <x:c r="V80" s="90" t="str">
        <x:f>IF($A80="","",IF(AND($G80="Yes",V$2=XLOOKUP($A80,TasksTable[Task ID],TasksTable[Start Date],"")),"◆",""))</x:f>
      </x:c>
      <x:c r="W80" s="90" t="str">
        <x:f>IF($A80="","",IF(AND($G80="Yes",W$2=XLOOKUP($A80,TasksTable[Task ID],TasksTable[Start Date],"")),"◆",""))</x:f>
      </x:c>
      <x:c r="X80" s="90" t="str">
        <x:f>IF($A80="","",IF(AND($G80="Yes",X$2=XLOOKUP($A80,TasksTable[Task ID],TasksTable[Start Date],"")),"◆",""))</x:f>
      </x:c>
      <x:c r="Y80" s="90" t="str">
        <x:f>IF($A80="","",IF(AND($G80="Yes",Y$2=XLOOKUP($A80,TasksTable[Task ID],TasksTable[Start Date],"")),"◆",""))</x:f>
      </x:c>
      <x:c r="Z80" s="90" t="str">
        <x:f>IF($A80="","",IF(AND($G80="Yes",Z$2=XLOOKUP($A80,TasksTable[Task ID],TasksTable[Start Date],"")),"◆",""))</x:f>
      </x:c>
      <x:c r="AA80" s="90" t="str">
        <x:f>IF($A80="","",IF(AND($G80="Yes",AA$2=XLOOKUP($A80,TasksTable[Task ID],TasksTable[Start Date],"")),"◆",""))</x:f>
      </x:c>
      <x:c r="AB80" s="90" t="str">
        <x:f>IF($A80="","",IF(AND($G80="Yes",AB$2=XLOOKUP($A80,TasksTable[Task ID],TasksTable[Start Date],"")),"◆",""))</x:f>
      </x:c>
      <x:c r="AC80" s="90" t="str">
        <x:f>IF($A80="","",IF(AND($G80="Yes",AC$2=XLOOKUP($A80,TasksTable[Task ID],TasksTable[Start Date],"")),"◆",""))</x:f>
      </x:c>
      <x:c r="AD80" s="90" t="str">
        <x:f>IF($A80="","",IF(AND($G80="Yes",AD$2=XLOOKUP($A80,TasksTable[Task ID],TasksTable[Start Date],"")),"◆",""))</x:f>
      </x:c>
      <x:c r="AE80" s="90" t="str">
        <x:f>IF($A80="","",IF(AND($G80="Yes",AE$2=XLOOKUP($A80,TasksTable[Task ID],TasksTable[Start Date],"")),"◆",""))</x:f>
      </x:c>
      <x:c r="AF80" s="90" t="str">
        <x:f>IF($A80="","",IF(AND($G80="Yes",AF$2=XLOOKUP($A80,TasksTable[Task ID],TasksTable[Start Date],"")),"◆",""))</x:f>
      </x:c>
      <x:c r="AG80" s="90" t="str">
        <x:f>IF($A80="","",IF(AND($G80="Yes",AG$2=XLOOKUP($A80,TasksTable[Task ID],TasksTable[Start Date],"")),"◆",""))</x:f>
      </x:c>
      <x:c r="AH80" s="90" t="str">
        <x:f>IF($A80="","",IF(AND($G80="Yes",AH$2=XLOOKUP($A80,TasksTable[Task ID],TasksTable[Start Date],"")),"◆",""))</x:f>
      </x:c>
      <x:c r="AI80" s="90" t="str">
        <x:f>IF($A80="","",IF(AND($G80="Yes",AI$2=XLOOKUP($A80,TasksTable[Task ID],TasksTable[Start Date],"")),"◆",""))</x:f>
      </x:c>
      <x:c r="AJ80" s="90" t="str">
        <x:f>IF($A80="","",IF(AND($G80="Yes",AJ$2=XLOOKUP($A80,TasksTable[Task ID],TasksTable[Start Date],"")),"◆",""))</x:f>
      </x:c>
      <x:c r="AK80" s="90" t="str">
        <x:f>IF($A80="","",IF(AND($G80="Yes",AK$2=XLOOKUP($A80,TasksTable[Task ID],TasksTable[Start Date],"")),"◆",""))</x:f>
      </x:c>
      <x:c r="AL80" s="90" t="str">
        <x:f>IF($A80="","",IF(AND($G80="Yes",AL$2=XLOOKUP($A80,TasksTable[Task ID],TasksTable[Start Date],"")),"◆",""))</x:f>
      </x:c>
      <x:c r="AM80" s="90" t="str">
        <x:f>IF($A80="","",IF(AND($G80="Yes",AM$2=XLOOKUP($A80,TasksTable[Task ID],TasksTable[Start Date],"")),"◆",""))</x:f>
      </x:c>
      <x:c r="AN80" s="90" t="str">
        <x:f>IF($A80="","",IF(AND($G80="Yes",AN$2=XLOOKUP($A80,TasksTable[Task ID],TasksTable[Start Date],"")),"◆",""))</x:f>
      </x:c>
      <x:c r="AO80" s="90" t="str">
        <x:f>IF($A80="","",IF(AND($G80="Yes",AO$2=XLOOKUP($A80,TasksTable[Task ID],TasksTable[Start Date],"")),"◆",""))</x:f>
      </x:c>
    </x:row>
    <x:row r="81">
      <x:c r="A81" s="10" t="str">
        <x:f>IFERROR(INDEX(TasksTable[Task ID],ROWS($A$4:A81)),"")</x:f>
      </x:c>
      <x:c r="B81" s="10" t="str">
        <x:f>IF($A81="","",IFERROR(XLOOKUP($A81,TasksTable[Task ID],TasksTable[Phase],""),""))</x:f>
      </x:c>
      <x:c r="C81" s="10" t="str">
        <x:f>IF($A81="","",IFERROR(XLOOKUP($A81,TasksTable[Task ID],TasksTable[Task Name],""),""))</x:f>
      </x:c>
      <x:c r="D81" s="10" t="str">
        <x:f>IF($A81="","",IFERROR(XLOOKUP($A81,TasksTable[Task ID],TasksTable[Status],""),""))</x:f>
      </x:c>
      <x:c r="E81" s="86" t="str">
        <x:f>IF($A81="","",IFERROR(XLOOKUP($A81,TasksTable[Task ID],TasksTable[Progress %],0),0))</x:f>
      </x:c>
      <x:c r="F81" s="10" t="str">
        <x:f>IF($A81="","",IFERROR(XLOOKUP($A81,TasksTable[Task ID],TasksTable[Schedule Health],""),""))</x:f>
      </x:c>
      <x:c r="G81" s="10" t="str">
        <x:f>IF($A81="","",IFERROR(XLOOKUP($A81,TasksTable[Task ID],TasksTable[Milestone],""),""))</x:f>
      </x:c>
      <x:c r="H81" s="90" t="str">
        <x:f>IF($A81="","",IF(AND($G81="Yes",H$2=XLOOKUP($A81,TasksTable[Task ID],TasksTable[Start Date],"")),"◆",""))</x:f>
      </x:c>
      <x:c r="I81" s="90" t="str">
        <x:f>IF($A81="","",IF(AND($G81="Yes",I$2=XLOOKUP($A81,TasksTable[Task ID],TasksTable[Start Date],"")),"◆",""))</x:f>
      </x:c>
      <x:c r="J81" s="90" t="str">
        <x:f>IF($A81="","",IF(AND($G81="Yes",J$2=XLOOKUP($A81,TasksTable[Task ID],TasksTable[Start Date],"")),"◆",""))</x:f>
      </x:c>
      <x:c r="K81" s="90" t="str">
        <x:f>IF($A81="","",IF(AND($G81="Yes",K$2=XLOOKUP($A81,TasksTable[Task ID],TasksTable[Start Date],"")),"◆",""))</x:f>
      </x:c>
      <x:c r="L81" s="90" t="str">
        <x:f>IF($A81="","",IF(AND($G81="Yes",L$2=XLOOKUP($A81,TasksTable[Task ID],TasksTable[Start Date],"")),"◆",""))</x:f>
      </x:c>
      <x:c r="M81" s="90" t="str">
        <x:f>IF($A81="","",IF(AND($G81="Yes",M$2=XLOOKUP($A81,TasksTable[Task ID],TasksTable[Start Date],"")),"◆",""))</x:f>
      </x:c>
      <x:c r="N81" s="90" t="str">
        <x:f>IF($A81="","",IF(AND($G81="Yes",N$2=XLOOKUP($A81,TasksTable[Task ID],TasksTable[Start Date],"")),"◆",""))</x:f>
      </x:c>
      <x:c r="O81" s="90" t="str">
        <x:f>IF($A81="","",IF(AND($G81="Yes",O$2=XLOOKUP($A81,TasksTable[Task ID],TasksTable[Start Date],"")),"◆",""))</x:f>
      </x:c>
      <x:c r="P81" s="90" t="str">
        <x:f>IF($A81="","",IF(AND($G81="Yes",P$2=XLOOKUP($A81,TasksTable[Task ID],TasksTable[Start Date],"")),"◆",""))</x:f>
      </x:c>
      <x:c r="Q81" s="90" t="str">
        <x:f>IF($A81="","",IF(AND($G81="Yes",Q$2=XLOOKUP($A81,TasksTable[Task ID],TasksTable[Start Date],"")),"◆",""))</x:f>
      </x:c>
      <x:c r="R81" s="90" t="str">
        <x:f>IF($A81="","",IF(AND($G81="Yes",R$2=XLOOKUP($A81,TasksTable[Task ID],TasksTable[Start Date],"")),"◆",""))</x:f>
      </x:c>
      <x:c r="S81" s="90" t="str">
        <x:f>IF($A81="","",IF(AND($G81="Yes",S$2=XLOOKUP($A81,TasksTable[Task ID],TasksTable[Start Date],"")),"◆",""))</x:f>
      </x:c>
      <x:c r="T81" s="90" t="str">
        <x:f>IF($A81="","",IF(AND($G81="Yes",T$2=XLOOKUP($A81,TasksTable[Task ID],TasksTable[Start Date],"")),"◆",""))</x:f>
      </x:c>
      <x:c r="U81" s="90" t="str">
        <x:f>IF($A81="","",IF(AND($G81="Yes",U$2=XLOOKUP($A81,TasksTable[Task ID],TasksTable[Start Date],"")),"◆",""))</x:f>
      </x:c>
      <x:c r="V81" s="90" t="str">
        <x:f>IF($A81="","",IF(AND($G81="Yes",V$2=XLOOKUP($A81,TasksTable[Task ID],TasksTable[Start Date],"")),"◆",""))</x:f>
      </x:c>
      <x:c r="W81" s="90" t="str">
        <x:f>IF($A81="","",IF(AND($G81="Yes",W$2=XLOOKUP($A81,TasksTable[Task ID],TasksTable[Start Date],"")),"◆",""))</x:f>
      </x:c>
      <x:c r="X81" s="90" t="str">
        <x:f>IF($A81="","",IF(AND($G81="Yes",X$2=XLOOKUP($A81,TasksTable[Task ID],TasksTable[Start Date],"")),"◆",""))</x:f>
      </x:c>
      <x:c r="Y81" s="90" t="str">
        <x:f>IF($A81="","",IF(AND($G81="Yes",Y$2=XLOOKUP($A81,TasksTable[Task ID],TasksTable[Start Date],"")),"◆",""))</x:f>
      </x:c>
      <x:c r="Z81" s="90" t="str">
        <x:f>IF($A81="","",IF(AND($G81="Yes",Z$2=XLOOKUP($A81,TasksTable[Task ID],TasksTable[Start Date],"")),"◆",""))</x:f>
      </x:c>
      <x:c r="AA81" s="90" t="str">
        <x:f>IF($A81="","",IF(AND($G81="Yes",AA$2=XLOOKUP($A81,TasksTable[Task ID],TasksTable[Start Date],"")),"◆",""))</x:f>
      </x:c>
      <x:c r="AB81" s="90" t="str">
        <x:f>IF($A81="","",IF(AND($G81="Yes",AB$2=XLOOKUP($A81,TasksTable[Task ID],TasksTable[Start Date],"")),"◆",""))</x:f>
      </x:c>
      <x:c r="AC81" s="90" t="str">
        <x:f>IF($A81="","",IF(AND($G81="Yes",AC$2=XLOOKUP($A81,TasksTable[Task ID],TasksTable[Start Date],"")),"◆",""))</x:f>
      </x:c>
      <x:c r="AD81" s="90" t="str">
        <x:f>IF($A81="","",IF(AND($G81="Yes",AD$2=XLOOKUP($A81,TasksTable[Task ID],TasksTable[Start Date],"")),"◆",""))</x:f>
      </x:c>
      <x:c r="AE81" s="90" t="str">
        <x:f>IF($A81="","",IF(AND($G81="Yes",AE$2=XLOOKUP($A81,TasksTable[Task ID],TasksTable[Start Date],"")),"◆",""))</x:f>
      </x:c>
      <x:c r="AF81" s="90" t="str">
        <x:f>IF($A81="","",IF(AND($G81="Yes",AF$2=XLOOKUP($A81,TasksTable[Task ID],TasksTable[Start Date],"")),"◆",""))</x:f>
      </x:c>
      <x:c r="AG81" s="90" t="str">
        <x:f>IF($A81="","",IF(AND($G81="Yes",AG$2=XLOOKUP($A81,TasksTable[Task ID],TasksTable[Start Date],"")),"◆",""))</x:f>
      </x:c>
      <x:c r="AH81" s="90" t="str">
        <x:f>IF($A81="","",IF(AND($G81="Yes",AH$2=XLOOKUP($A81,TasksTable[Task ID],TasksTable[Start Date],"")),"◆",""))</x:f>
      </x:c>
      <x:c r="AI81" s="90" t="str">
        <x:f>IF($A81="","",IF(AND($G81="Yes",AI$2=XLOOKUP($A81,TasksTable[Task ID],TasksTable[Start Date],"")),"◆",""))</x:f>
      </x:c>
      <x:c r="AJ81" s="90" t="str">
        <x:f>IF($A81="","",IF(AND($G81="Yes",AJ$2=XLOOKUP($A81,TasksTable[Task ID],TasksTable[Start Date],"")),"◆",""))</x:f>
      </x:c>
      <x:c r="AK81" s="90" t="str">
        <x:f>IF($A81="","",IF(AND($G81="Yes",AK$2=XLOOKUP($A81,TasksTable[Task ID],TasksTable[Start Date],"")),"◆",""))</x:f>
      </x:c>
      <x:c r="AL81" s="90" t="str">
        <x:f>IF($A81="","",IF(AND($G81="Yes",AL$2=XLOOKUP($A81,TasksTable[Task ID],TasksTable[Start Date],"")),"◆",""))</x:f>
      </x:c>
      <x:c r="AM81" s="90" t="str">
        <x:f>IF($A81="","",IF(AND($G81="Yes",AM$2=XLOOKUP($A81,TasksTable[Task ID],TasksTable[Start Date],"")),"◆",""))</x:f>
      </x:c>
      <x:c r="AN81" s="90" t="str">
        <x:f>IF($A81="","",IF(AND($G81="Yes",AN$2=XLOOKUP($A81,TasksTable[Task ID],TasksTable[Start Date],"")),"◆",""))</x:f>
      </x:c>
      <x:c r="AO81" s="90" t="str">
        <x:f>IF($A81="","",IF(AND($G81="Yes",AO$2=XLOOKUP($A81,TasksTable[Task ID],TasksTable[Start Date],"")),"◆",""))</x:f>
      </x:c>
    </x:row>
    <x:row r="82">
      <x:c r="A82" s="10" t="str">
        <x:f>IFERROR(INDEX(TasksTable[Task ID],ROWS($A$4:A82)),"")</x:f>
      </x:c>
      <x:c r="B82" s="10" t="str">
        <x:f>IF($A82="","",IFERROR(XLOOKUP($A82,TasksTable[Task ID],TasksTable[Phase],""),""))</x:f>
      </x:c>
      <x:c r="C82" s="10" t="str">
        <x:f>IF($A82="","",IFERROR(XLOOKUP($A82,TasksTable[Task ID],TasksTable[Task Name],""),""))</x:f>
      </x:c>
      <x:c r="D82" s="10" t="str">
        <x:f>IF($A82="","",IFERROR(XLOOKUP($A82,TasksTable[Task ID],TasksTable[Status],""),""))</x:f>
      </x:c>
      <x:c r="E82" s="86" t="str">
        <x:f>IF($A82="","",IFERROR(XLOOKUP($A82,TasksTable[Task ID],TasksTable[Progress %],0),0))</x:f>
      </x:c>
      <x:c r="F82" s="10" t="str">
        <x:f>IF($A82="","",IFERROR(XLOOKUP($A82,TasksTable[Task ID],TasksTable[Schedule Health],""),""))</x:f>
      </x:c>
      <x:c r="G82" s="10" t="str">
        <x:f>IF($A82="","",IFERROR(XLOOKUP($A82,TasksTable[Task ID],TasksTable[Milestone],""),""))</x:f>
      </x:c>
      <x:c r="H82" s="90" t="str">
        <x:f>IF($A82="","",IF(AND($G82="Yes",H$2=XLOOKUP($A82,TasksTable[Task ID],TasksTable[Start Date],"")),"◆",""))</x:f>
      </x:c>
      <x:c r="I82" s="90" t="str">
        <x:f>IF($A82="","",IF(AND($G82="Yes",I$2=XLOOKUP($A82,TasksTable[Task ID],TasksTable[Start Date],"")),"◆",""))</x:f>
      </x:c>
      <x:c r="J82" s="90" t="str">
        <x:f>IF($A82="","",IF(AND($G82="Yes",J$2=XLOOKUP($A82,TasksTable[Task ID],TasksTable[Start Date],"")),"◆",""))</x:f>
      </x:c>
      <x:c r="K82" s="90" t="str">
        <x:f>IF($A82="","",IF(AND($G82="Yes",K$2=XLOOKUP($A82,TasksTable[Task ID],TasksTable[Start Date],"")),"◆",""))</x:f>
      </x:c>
      <x:c r="L82" s="90" t="str">
        <x:f>IF($A82="","",IF(AND($G82="Yes",L$2=XLOOKUP($A82,TasksTable[Task ID],TasksTable[Start Date],"")),"◆",""))</x:f>
      </x:c>
      <x:c r="M82" s="90" t="str">
        <x:f>IF($A82="","",IF(AND($G82="Yes",M$2=XLOOKUP($A82,TasksTable[Task ID],TasksTable[Start Date],"")),"◆",""))</x:f>
      </x:c>
      <x:c r="N82" s="90" t="str">
        <x:f>IF($A82="","",IF(AND($G82="Yes",N$2=XLOOKUP($A82,TasksTable[Task ID],TasksTable[Start Date],"")),"◆",""))</x:f>
      </x:c>
      <x:c r="O82" s="90" t="str">
        <x:f>IF($A82="","",IF(AND($G82="Yes",O$2=XLOOKUP($A82,TasksTable[Task ID],TasksTable[Start Date],"")),"◆",""))</x:f>
      </x:c>
      <x:c r="P82" s="90" t="str">
        <x:f>IF($A82="","",IF(AND($G82="Yes",P$2=XLOOKUP($A82,TasksTable[Task ID],TasksTable[Start Date],"")),"◆",""))</x:f>
      </x:c>
      <x:c r="Q82" s="90" t="str">
        <x:f>IF($A82="","",IF(AND($G82="Yes",Q$2=XLOOKUP($A82,TasksTable[Task ID],TasksTable[Start Date],"")),"◆",""))</x:f>
      </x:c>
      <x:c r="R82" s="90" t="str">
        <x:f>IF($A82="","",IF(AND($G82="Yes",R$2=XLOOKUP($A82,TasksTable[Task ID],TasksTable[Start Date],"")),"◆",""))</x:f>
      </x:c>
      <x:c r="S82" s="90" t="str">
        <x:f>IF($A82="","",IF(AND($G82="Yes",S$2=XLOOKUP($A82,TasksTable[Task ID],TasksTable[Start Date],"")),"◆",""))</x:f>
      </x:c>
      <x:c r="T82" s="90" t="str">
        <x:f>IF($A82="","",IF(AND($G82="Yes",T$2=XLOOKUP($A82,TasksTable[Task ID],TasksTable[Start Date],"")),"◆",""))</x:f>
      </x:c>
      <x:c r="U82" s="90" t="str">
        <x:f>IF($A82="","",IF(AND($G82="Yes",U$2=XLOOKUP($A82,TasksTable[Task ID],TasksTable[Start Date],"")),"◆",""))</x:f>
      </x:c>
      <x:c r="V82" s="90" t="str">
        <x:f>IF($A82="","",IF(AND($G82="Yes",V$2=XLOOKUP($A82,TasksTable[Task ID],TasksTable[Start Date],"")),"◆",""))</x:f>
      </x:c>
      <x:c r="W82" s="90" t="str">
        <x:f>IF($A82="","",IF(AND($G82="Yes",W$2=XLOOKUP($A82,TasksTable[Task ID],TasksTable[Start Date],"")),"◆",""))</x:f>
      </x:c>
      <x:c r="X82" s="90" t="str">
        <x:f>IF($A82="","",IF(AND($G82="Yes",X$2=XLOOKUP($A82,TasksTable[Task ID],TasksTable[Start Date],"")),"◆",""))</x:f>
      </x:c>
      <x:c r="Y82" s="90" t="str">
        <x:f>IF($A82="","",IF(AND($G82="Yes",Y$2=XLOOKUP($A82,TasksTable[Task ID],TasksTable[Start Date],"")),"◆",""))</x:f>
      </x:c>
      <x:c r="Z82" s="90" t="str">
        <x:f>IF($A82="","",IF(AND($G82="Yes",Z$2=XLOOKUP($A82,TasksTable[Task ID],TasksTable[Start Date],"")),"◆",""))</x:f>
      </x:c>
      <x:c r="AA82" s="90" t="str">
        <x:f>IF($A82="","",IF(AND($G82="Yes",AA$2=XLOOKUP($A82,TasksTable[Task ID],TasksTable[Start Date],"")),"◆",""))</x:f>
      </x:c>
      <x:c r="AB82" s="90" t="str">
        <x:f>IF($A82="","",IF(AND($G82="Yes",AB$2=XLOOKUP($A82,TasksTable[Task ID],TasksTable[Start Date],"")),"◆",""))</x:f>
      </x:c>
      <x:c r="AC82" s="90" t="str">
        <x:f>IF($A82="","",IF(AND($G82="Yes",AC$2=XLOOKUP($A82,TasksTable[Task ID],TasksTable[Start Date],"")),"◆",""))</x:f>
      </x:c>
      <x:c r="AD82" s="90" t="str">
        <x:f>IF($A82="","",IF(AND($G82="Yes",AD$2=XLOOKUP($A82,TasksTable[Task ID],TasksTable[Start Date],"")),"◆",""))</x:f>
      </x:c>
      <x:c r="AE82" s="90" t="str">
        <x:f>IF($A82="","",IF(AND($G82="Yes",AE$2=XLOOKUP($A82,TasksTable[Task ID],TasksTable[Start Date],"")),"◆",""))</x:f>
      </x:c>
      <x:c r="AF82" s="90" t="str">
        <x:f>IF($A82="","",IF(AND($G82="Yes",AF$2=XLOOKUP($A82,TasksTable[Task ID],TasksTable[Start Date],"")),"◆",""))</x:f>
      </x:c>
      <x:c r="AG82" s="90" t="str">
        <x:f>IF($A82="","",IF(AND($G82="Yes",AG$2=XLOOKUP($A82,TasksTable[Task ID],TasksTable[Start Date],"")),"◆",""))</x:f>
      </x:c>
      <x:c r="AH82" s="90" t="str">
        <x:f>IF($A82="","",IF(AND($G82="Yes",AH$2=XLOOKUP($A82,TasksTable[Task ID],TasksTable[Start Date],"")),"◆",""))</x:f>
      </x:c>
      <x:c r="AI82" s="90" t="str">
        <x:f>IF($A82="","",IF(AND($G82="Yes",AI$2=XLOOKUP($A82,TasksTable[Task ID],TasksTable[Start Date],"")),"◆",""))</x:f>
      </x:c>
      <x:c r="AJ82" s="90" t="str">
        <x:f>IF($A82="","",IF(AND($G82="Yes",AJ$2=XLOOKUP($A82,TasksTable[Task ID],TasksTable[Start Date],"")),"◆",""))</x:f>
      </x:c>
      <x:c r="AK82" s="90" t="str">
        <x:f>IF($A82="","",IF(AND($G82="Yes",AK$2=XLOOKUP($A82,TasksTable[Task ID],TasksTable[Start Date],"")),"◆",""))</x:f>
      </x:c>
      <x:c r="AL82" s="90" t="str">
        <x:f>IF($A82="","",IF(AND($G82="Yes",AL$2=XLOOKUP($A82,TasksTable[Task ID],TasksTable[Start Date],"")),"◆",""))</x:f>
      </x:c>
      <x:c r="AM82" s="90" t="str">
        <x:f>IF($A82="","",IF(AND($G82="Yes",AM$2=XLOOKUP($A82,TasksTable[Task ID],TasksTable[Start Date],"")),"◆",""))</x:f>
      </x:c>
      <x:c r="AN82" s="90" t="str">
        <x:f>IF($A82="","",IF(AND($G82="Yes",AN$2=XLOOKUP($A82,TasksTable[Task ID],TasksTable[Start Date],"")),"◆",""))</x:f>
      </x:c>
      <x:c r="AO82" s="90" t="str">
        <x:f>IF($A82="","",IF(AND($G82="Yes",AO$2=XLOOKUP($A82,TasksTable[Task ID],TasksTable[Start Date],"")),"◆",""))</x:f>
      </x:c>
    </x:row>
    <x:row r="83">
      <x:c r="A83" s="10" t="str">
        <x:f>IFERROR(INDEX(TasksTable[Task ID],ROWS($A$4:A83)),"")</x:f>
      </x:c>
      <x:c r="B83" s="10" t="str">
        <x:f>IF($A83="","",IFERROR(XLOOKUP($A83,TasksTable[Task ID],TasksTable[Phase],""),""))</x:f>
      </x:c>
      <x:c r="C83" s="10" t="str">
        <x:f>IF($A83="","",IFERROR(XLOOKUP($A83,TasksTable[Task ID],TasksTable[Task Name],""),""))</x:f>
      </x:c>
      <x:c r="D83" s="10" t="str">
        <x:f>IF($A83="","",IFERROR(XLOOKUP($A83,TasksTable[Task ID],TasksTable[Status],""),""))</x:f>
      </x:c>
      <x:c r="E83" s="86" t="str">
        <x:f>IF($A83="","",IFERROR(XLOOKUP($A83,TasksTable[Task ID],TasksTable[Progress %],0),0))</x:f>
      </x:c>
      <x:c r="F83" s="10" t="str">
        <x:f>IF($A83="","",IFERROR(XLOOKUP($A83,TasksTable[Task ID],TasksTable[Schedule Health],""),""))</x:f>
      </x:c>
      <x:c r="G83" s="10" t="str">
        <x:f>IF($A83="","",IFERROR(XLOOKUP($A83,TasksTable[Task ID],TasksTable[Milestone],""),""))</x:f>
      </x:c>
      <x:c r="H83" s="90" t="str">
        <x:f>IF($A83="","",IF(AND($G83="Yes",H$2=XLOOKUP($A83,TasksTable[Task ID],TasksTable[Start Date],"")),"◆",""))</x:f>
      </x:c>
      <x:c r="I83" s="90" t="str">
        <x:f>IF($A83="","",IF(AND($G83="Yes",I$2=XLOOKUP($A83,TasksTable[Task ID],TasksTable[Start Date],"")),"◆",""))</x:f>
      </x:c>
      <x:c r="J83" s="90" t="str">
        <x:f>IF($A83="","",IF(AND($G83="Yes",J$2=XLOOKUP($A83,TasksTable[Task ID],TasksTable[Start Date],"")),"◆",""))</x:f>
      </x:c>
      <x:c r="K83" s="90" t="str">
        <x:f>IF($A83="","",IF(AND($G83="Yes",K$2=XLOOKUP($A83,TasksTable[Task ID],TasksTable[Start Date],"")),"◆",""))</x:f>
      </x:c>
      <x:c r="L83" s="90" t="str">
        <x:f>IF($A83="","",IF(AND($G83="Yes",L$2=XLOOKUP($A83,TasksTable[Task ID],TasksTable[Start Date],"")),"◆",""))</x:f>
      </x:c>
      <x:c r="M83" s="90" t="str">
        <x:f>IF($A83="","",IF(AND($G83="Yes",M$2=XLOOKUP($A83,TasksTable[Task ID],TasksTable[Start Date],"")),"◆",""))</x:f>
      </x:c>
      <x:c r="N83" s="90" t="str">
        <x:f>IF($A83="","",IF(AND($G83="Yes",N$2=XLOOKUP($A83,TasksTable[Task ID],TasksTable[Start Date],"")),"◆",""))</x:f>
      </x:c>
      <x:c r="O83" s="90" t="str">
        <x:f>IF($A83="","",IF(AND($G83="Yes",O$2=XLOOKUP($A83,TasksTable[Task ID],TasksTable[Start Date],"")),"◆",""))</x:f>
      </x:c>
      <x:c r="P83" s="90" t="str">
        <x:f>IF($A83="","",IF(AND($G83="Yes",P$2=XLOOKUP($A83,TasksTable[Task ID],TasksTable[Start Date],"")),"◆",""))</x:f>
      </x:c>
      <x:c r="Q83" s="90" t="str">
        <x:f>IF($A83="","",IF(AND($G83="Yes",Q$2=XLOOKUP($A83,TasksTable[Task ID],TasksTable[Start Date],"")),"◆",""))</x:f>
      </x:c>
      <x:c r="R83" s="90" t="str">
        <x:f>IF($A83="","",IF(AND($G83="Yes",R$2=XLOOKUP($A83,TasksTable[Task ID],TasksTable[Start Date],"")),"◆",""))</x:f>
      </x:c>
      <x:c r="S83" s="90" t="str">
        <x:f>IF($A83="","",IF(AND($G83="Yes",S$2=XLOOKUP($A83,TasksTable[Task ID],TasksTable[Start Date],"")),"◆",""))</x:f>
      </x:c>
      <x:c r="T83" s="90" t="str">
        <x:f>IF($A83="","",IF(AND($G83="Yes",T$2=XLOOKUP($A83,TasksTable[Task ID],TasksTable[Start Date],"")),"◆",""))</x:f>
      </x:c>
      <x:c r="U83" s="90" t="str">
        <x:f>IF($A83="","",IF(AND($G83="Yes",U$2=XLOOKUP($A83,TasksTable[Task ID],TasksTable[Start Date],"")),"◆",""))</x:f>
      </x:c>
      <x:c r="V83" s="90" t="str">
        <x:f>IF($A83="","",IF(AND($G83="Yes",V$2=XLOOKUP($A83,TasksTable[Task ID],TasksTable[Start Date],"")),"◆",""))</x:f>
      </x:c>
      <x:c r="W83" s="90" t="str">
        <x:f>IF($A83="","",IF(AND($G83="Yes",W$2=XLOOKUP($A83,TasksTable[Task ID],TasksTable[Start Date],"")),"◆",""))</x:f>
      </x:c>
      <x:c r="X83" s="90" t="str">
        <x:f>IF($A83="","",IF(AND($G83="Yes",X$2=XLOOKUP($A83,TasksTable[Task ID],TasksTable[Start Date],"")),"◆",""))</x:f>
      </x:c>
      <x:c r="Y83" s="90" t="str">
        <x:f>IF($A83="","",IF(AND($G83="Yes",Y$2=XLOOKUP($A83,TasksTable[Task ID],TasksTable[Start Date],"")),"◆",""))</x:f>
      </x:c>
      <x:c r="Z83" s="90" t="str">
        <x:f>IF($A83="","",IF(AND($G83="Yes",Z$2=XLOOKUP($A83,TasksTable[Task ID],TasksTable[Start Date],"")),"◆",""))</x:f>
      </x:c>
      <x:c r="AA83" s="90" t="str">
        <x:f>IF($A83="","",IF(AND($G83="Yes",AA$2=XLOOKUP($A83,TasksTable[Task ID],TasksTable[Start Date],"")),"◆",""))</x:f>
      </x:c>
      <x:c r="AB83" s="90" t="str">
        <x:f>IF($A83="","",IF(AND($G83="Yes",AB$2=XLOOKUP($A83,TasksTable[Task ID],TasksTable[Start Date],"")),"◆",""))</x:f>
      </x:c>
      <x:c r="AC83" s="90" t="str">
        <x:f>IF($A83="","",IF(AND($G83="Yes",AC$2=XLOOKUP($A83,TasksTable[Task ID],TasksTable[Start Date],"")),"◆",""))</x:f>
      </x:c>
      <x:c r="AD83" s="90" t="str">
        <x:f>IF($A83="","",IF(AND($G83="Yes",AD$2=XLOOKUP($A83,TasksTable[Task ID],TasksTable[Start Date],"")),"◆",""))</x:f>
      </x:c>
      <x:c r="AE83" s="90" t="str">
        <x:f>IF($A83="","",IF(AND($G83="Yes",AE$2=XLOOKUP($A83,TasksTable[Task ID],TasksTable[Start Date],"")),"◆",""))</x:f>
      </x:c>
      <x:c r="AF83" s="90" t="str">
        <x:f>IF($A83="","",IF(AND($G83="Yes",AF$2=XLOOKUP($A83,TasksTable[Task ID],TasksTable[Start Date],"")),"◆",""))</x:f>
      </x:c>
      <x:c r="AG83" s="90" t="str">
        <x:f>IF($A83="","",IF(AND($G83="Yes",AG$2=XLOOKUP($A83,TasksTable[Task ID],TasksTable[Start Date],"")),"◆",""))</x:f>
      </x:c>
      <x:c r="AH83" s="90" t="str">
        <x:f>IF($A83="","",IF(AND($G83="Yes",AH$2=XLOOKUP($A83,TasksTable[Task ID],TasksTable[Start Date],"")),"◆",""))</x:f>
      </x:c>
      <x:c r="AI83" s="90" t="str">
        <x:f>IF($A83="","",IF(AND($G83="Yes",AI$2=XLOOKUP($A83,TasksTable[Task ID],TasksTable[Start Date],"")),"◆",""))</x:f>
      </x:c>
      <x:c r="AJ83" s="90" t="str">
        <x:f>IF($A83="","",IF(AND($G83="Yes",AJ$2=XLOOKUP($A83,TasksTable[Task ID],TasksTable[Start Date],"")),"◆",""))</x:f>
      </x:c>
      <x:c r="AK83" s="90" t="str">
        <x:f>IF($A83="","",IF(AND($G83="Yes",AK$2=XLOOKUP($A83,TasksTable[Task ID],TasksTable[Start Date],"")),"◆",""))</x:f>
      </x:c>
      <x:c r="AL83" s="90" t="str">
        <x:f>IF($A83="","",IF(AND($G83="Yes",AL$2=XLOOKUP($A83,TasksTable[Task ID],TasksTable[Start Date],"")),"◆",""))</x:f>
      </x:c>
      <x:c r="AM83" s="90" t="str">
        <x:f>IF($A83="","",IF(AND($G83="Yes",AM$2=XLOOKUP($A83,TasksTable[Task ID],TasksTable[Start Date],"")),"◆",""))</x:f>
      </x:c>
      <x:c r="AN83" s="90" t="str">
        <x:f>IF($A83="","",IF(AND($G83="Yes",AN$2=XLOOKUP($A83,TasksTable[Task ID],TasksTable[Start Date],"")),"◆",""))</x:f>
      </x:c>
      <x:c r="AO83" s="90" t="str">
        <x:f>IF($A83="","",IF(AND($G83="Yes",AO$2=XLOOKUP($A83,TasksTable[Task ID],TasksTable[Start Date],"")),"◆",""))</x:f>
      </x:c>
    </x:row>
    <x:row r="84">
      <x:c r="A84" s="10" t="str">
        <x:f>IFERROR(INDEX(TasksTable[Task ID],ROWS($A$4:A84)),"")</x:f>
      </x:c>
      <x:c r="B84" s="10" t="str">
        <x:f>IF($A84="","",IFERROR(XLOOKUP($A84,TasksTable[Task ID],TasksTable[Phase],""),""))</x:f>
      </x:c>
      <x:c r="C84" s="10" t="str">
        <x:f>IF($A84="","",IFERROR(XLOOKUP($A84,TasksTable[Task ID],TasksTable[Task Name],""),""))</x:f>
      </x:c>
      <x:c r="D84" s="10" t="str">
        <x:f>IF($A84="","",IFERROR(XLOOKUP($A84,TasksTable[Task ID],TasksTable[Status],""),""))</x:f>
      </x:c>
      <x:c r="E84" s="86" t="str">
        <x:f>IF($A84="","",IFERROR(XLOOKUP($A84,TasksTable[Task ID],TasksTable[Progress %],0),0))</x:f>
      </x:c>
      <x:c r="F84" s="10" t="str">
        <x:f>IF($A84="","",IFERROR(XLOOKUP($A84,TasksTable[Task ID],TasksTable[Schedule Health],""),""))</x:f>
      </x:c>
      <x:c r="G84" s="10" t="str">
        <x:f>IF($A84="","",IFERROR(XLOOKUP($A84,TasksTable[Task ID],TasksTable[Milestone],""),""))</x:f>
      </x:c>
      <x:c r="H84" s="90" t="str">
        <x:f>IF($A84="","",IF(AND($G84="Yes",H$2=XLOOKUP($A84,TasksTable[Task ID],TasksTable[Start Date],"")),"◆",""))</x:f>
      </x:c>
      <x:c r="I84" s="90" t="str">
        <x:f>IF($A84="","",IF(AND($G84="Yes",I$2=XLOOKUP($A84,TasksTable[Task ID],TasksTable[Start Date],"")),"◆",""))</x:f>
      </x:c>
      <x:c r="J84" s="90" t="str">
        <x:f>IF($A84="","",IF(AND($G84="Yes",J$2=XLOOKUP($A84,TasksTable[Task ID],TasksTable[Start Date],"")),"◆",""))</x:f>
      </x:c>
      <x:c r="K84" s="90" t="str">
        <x:f>IF($A84="","",IF(AND($G84="Yes",K$2=XLOOKUP($A84,TasksTable[Task ID],TasksTable[Start Date],"")),"◆",""))</x:f>
      </x:c>
      <x:c r="L84" s="90" t="str">
        <x:f>IF($A84="","",IF(AND($G84="Yes",L$2=XLOOKUP($A84,TasksTable[Task ID],TasksTable[Start Date],"")),"◆",""))</x:f>
      </x:c>
      <x:c r="M84" s="90" t="str">
        <x:f>IF($A84="","",IF(AND($G84="Yes",M$2=XLOOKUP($A84,TasksTable[Task ID],TasksTable[Start Date],"")),"◆",""))</x:f>
      </x:c>
      <x:c r="N84" s="90" t="str">
        <x:f>IF($A84="","",IF(AND($G84="Yes",N$2=XLOOKUP($A84,TasksTable[Task ID],TasksTable[Start Date],"")),"◆",""))</x:f>
      </x:c>
      <x:c r="O84" s="90" t="str">
        <x:f>IF($A84="","",IF(AND($G84="Yes",O$2=XLOOKUP($A84,TasksTable[Task ID],TasksTable[Start Date],"")),"◆",""))</x:f>
      </x:c>
      <x:c r="P84" s="90" t="str">
        <x:f>IF($A84="","",IF(AND($G84="Yes",P$2=XLOOKUP($A84,TasksTable[Task ID],TasksTable[Start Date],"")),"◆",""))</x:f>
      </x:c>
      <x:c r="Q84" s="90" t="str">
        <x:f>IF($A84="","",IF(AND($G84="Yes",Q$2=XLOOKUP($A84,TasksTable[Task ID],TasksTable[Start Date],"")),"◆",""))</x:f>
      </x:c>
      <x:c r="R84" s="90" t="str">
        <x:f>IF($A84="","",IF(AND($G84="Yes",R$2=XLOOKUP($A84,TasksTable[Task ID],TasksTable[Start Date],"")),"◆",""))</x:f>
      </x:c>
      <x:c r="S84" s="90" t="str">
        <x:f>IF($A84="","",IF(AND($G84="Yes",S$2=XLOOKUP($A84,TasksTable[Task ID],TasksTable[Start Date],"")),"◆",""))</x:f>
      </x:c>
      <x:c r="T84" s="90" t="str">
        <x:f>IF($A84="","",IF(AND($G84="Yes",T$2=XLOOKUP($A84,TasksTable[Task ID],TasksTable[Start Date],"")),"◆",""))</x:f>
      </x:c>
      <x:c r="U84" s="90" t="str">
        <x:f>IF($A84="","",IF(AND($G84="Yes",U$2=XLOOKUP($A84,TasksTable[Task ID],TasksTable[Start Date],"")),"◆",""))</x:f>
      </x:c>
      <x:c r="V84" s="90" t="str">
        <x:f>IF($A84="","",IF(AND($G84="Yes",V$2=XLOOKUP($A84,TasksTable[Task ID],TasksTable[Start Date],"")),"◆",""))</x:f>
      </x:c>
      <x:c r="W84" s="90" t="str">
        <x:f>IF($A84="","",IF(AND($G84="Yes",W$2=XLOOKUP($A84,TasksTable[Task ID],TasksTable[Start Date],"")),"◆",""))</x:f>
      </x:c>
      <x:c r="X84" s="90" t="str">
        <x:f>IF($A84="","",IF(AND($G84="Yes",X$2=XLOOKUP($A84,TasksTable[Task ID],TasksTable[Start Date],"")),"◆",""))</x:f>
      </x:c>
      <x:c r="Y84" s="90" t="str">
        <x:f>IF($A84="","",IF(AND($G84="Yes",Y$2=XLOOKUP($A84,TasksTable[Task ID],TasksTable[Start Date],"")),"◆",""))</x:f>
      </x:c>
      <x:c r="Z84" s="90" t="str">
        <x:f>IF($A84="","",IF(AND($G84="Yes",Z$2=XLOOKUP($A84,TasksTable[Task ID],TasksTable[Start Date],"")),"◆",""))</x:f>
      </x:c>
      <x:c r="AA84" s="90" t="str">
        <x:f>IF($A84="","",IF(AND($G84="Yes",AA$2=XLOOKUP($A84,TasksTable[Task ID],TasksTable[Start Date],"")),"◆",""))</x:f>
      </x:c>
      <x:c r="AB84" s="90" t="str">
        <x:f>IF($A84="","",IF(AND($G84="Yes",AB$2=XLOOKUP($A84,TasksTable[Task ID],TasksTable[Start Date],"")),"◆",""))</x:f>
      </x:c>
      <x:c r="AC84" s="90" t="str">
        <x:f>IF($A84="","",IF(AND($G84="Yes",AC$2=XLOOKUP($A84,TasksTable[Task ID],TasksTable[Start Date],"")),"◆",""))</x:f>
      </x:c>
      <x:c r="AD84" s="90" t="str">
        <x:f>IF($A84="","",IF(AND($G84="Yes",AD$2=XLOOKUP($A84,TasksTable[Task ID],TasksTable[Start Date],"")),"◆",""))</x:f>
      </x:c>
      <x:c r="AE84" s="90" t="str">
        <x:f>IF($A84="","",IF(AND($G84="Yes",AE$2=XLOOKUP($A84,TasksTable[Task ID],TasksTable[Start Date],"")),"◆",""))</x:f>
      </x:c>
      <x:c r="AF84" s="90" t="str">
        <x:f>IF($A84="","",IF(AND($G84="Yes",AF$2=XLOOKUP($A84,TasksTable[Task ID],TasksTable[Start Date],"")),"◆",""))</x:f>
      </x:c>
      <x:c r="AG84" s="90" t="str">
        <x:f>IF($A84="","",IF(AND($G84="Yes",AG$2=XLOOKUP($A84,TasksTable[Task ID],TasksTable[Start Date],"")),"◆",""))</x:f>
      </x:c>
      <x:c r="AH84" s="90" t="str">
        <x:f>IF($A84="","",IF(AND($G84="Yes",AH$2=XLOOKUP($A84,TasksTable[Task ID],TasksTable[Start Date],"")),"◆",""))</x:f>
      </x:c>
      <x:c r="AI84" s="90" t="str">
        <x:f>IF($A84="","",IF(AND($G84="Yes",AI$2=XLOOKUP($A84,TasksTable[Task ID],TasksTable[Start Date],"")),"◆",""))</x:f>
      </x:c>
      <x:c r="AJ84" s="90" t="str">
        <x:f>IF($A84="","",IF(AND($G84="Yes",AJ$2=XLOOKUP($A84,TasksTable[Task ID],TasksTable[Start Date],"")),"◆",""))</x:f>
      </x:c>
      <x:c r="AK84" s="90" t="str">
        <x:f>IF($A84="","",IF(AND($G84="Yes",AK$2=XLOOKUP($A84,TasksTable[Task ID],TasksTable[Start Date],"")),"◆",""))</x:f>
      </x:c>
      <x:c r="AL84" s="90" t="str">
        <x:f>IF($A84="","",IF(AND($G84="Yes",AL$2=XLOOKUP($A84,TasksTable[Task ID],TasksTable[Start Date],"")),"◆",""))</x:f>
      </x:c>
      <x:c r="AM84" s="90" t="str">
        <x:f>IF($A84="","",IF(AND($G84="Yes",AM$2=XLOOKUP($A84,TasksTable[Task ID],TasksTable[Start Date],"")),"◆",""))</x:f>
      </x:c>
      <x:c r="AN84" s="90" t="str">
        <x:f>IF($A84="","",IF(AND($G84="Yes",AN$2=XLOOKUP($A84,TasksTable[Task ID],TasksTable[Start Date],"")),"◆",""))</x:f>
      </x:c>
      <x:c r="AO84" s="90" t="str">
        <x:f>IF($A84="","",IF(AND($G84="Yes",AO$2=XLOOKUP($A84,TasksTable[Task ID],TasksTable[Start Date],"")),"◆",""))</x:f>
      </x:c>
    </x:row>
    <x:row r="85">
      <x:c r="A85" s="10" t="str">
        <x:f>IFERROR(INDEX(TasksTable[Task ID],ROWS($A$4:A85)),"")</x:f>
      </x:c>
      <x:c r="B85" s="10" t="str">
        <x:f>IF($A85="","",IFERROR(XLOOKUP($A85,TasksTable[Task ID],TasksTable[Phase],""),""))</x:f>
      </x:c>
      <x:c r="C85" s="10" t="str">
        <x:f>IF($A85="","",IFERROR(XLOOKUP($A85,TasksTable[Task ID],TasksTable[Task Name],""),""))</x:f>
      </x:c>
      <x:c r="D85" s="10" t="str">
        <x:f>IF($A85="","",IFERROR(XLOOKUP($A85,TasksTable[Task ID],TasksTable[Status],""),""))</x:f>
      </x:c>
      <x:c r="E85" s="86" t="str">
        <x:f>IF($A85="","",IFERROR(XLOOKUP($A85,TasksTable[Task ID],TasksTable[Progress %],0),0))</x:f>
      </x:c>
      <x:c r="F85" s="10" t="str">
        <x:f>IF($A85="","",IFERROR(XLOOKUP($A85,TasksTable[Task ID],TasksTable[Schedule Health],""),""))</x:f>
      </x:c>
      <x:c r="G85" s="10" t="str">
        <x:f>IF($A85="","",IFERROR(XLOOKUP($A85,TasksTable[Task ID],TasksTable[Milestone],""),""))</x:f>
      </x:c>
      <x:c r="H85" s="90" t="str">
        <x:f>IF($A85="","",IF(AND($G85="Yes",H$2=XLOOKUP($A85,TasksTable[Task ID],TasksTable[Start Date],"")),"◆",""))</x:f>
      </x:c>
      <x:c r="I85" s="90" t="str">
        <x:f>IF($A85="","",IF(AND($G85="Yes",I$2=XLOOKUP($A85,TasksTable[Task ID],TasksTable[Start Date],"")),"◆",""))</x:f>
      </x:c>
      <x:c r="J85" s="90" t="str">
        <x:f>IF($A85="","",IF(AND($G85="Yes",J$2=XLOOKUP($A85,TasksTable[Task ID],TasksTable[Start Date],"")),"◆",""))</x:f>
      </x:c>
      <x:c r="K85" s="90" t="str">
        <x:f>IF($A85="","",IF(AND($G85="Yes",K$2=XLOOKUP($A85,TasksTable[Task ID],TasksTable[Start Date],"")),"◆",""))</x:f>
      </x:c>
      <x:c r="L85" s="90" t="str">
        <x:f>IF($A85="","",IF(AND($G85="Yes",L$2=XLOOKUP($A85,TasksTable[Task ID],TasksTable[Start Date],"")),"◆",""))</x:f>
      </x:c>
      <x:c r="M85" s="90" t="str">
        <x:f>IF($A85="","",IF(AND($G85="Yes",M$2=XLOOKUP($A85,TasksTable[Task ID],TasksTable[Start Date],"")),"◆",""))</x:f>
      </x:c>
      <x:c r="N85" s="90" t="str">
        <x:f>IF($A85="","",IF(AND($G85="Yes",N$2=XLOOKUP($A85,TasksTable[Task ID],TasksTable[Start Date],"")),"◆",""))</x:f>
      </x:c>
      <x:c r="O85" s="90" t="str">
        <x:f>IF($A85="","",IF(AND($G85="Yes",O$2=XLOOKUP($A85,TasksTable[Task ID],TasksTable[Start Date],"")),"◆",""))</x:f>
      </x:c>
      <x:c r="P85" s="90" t="str">
        <x:f>IF($A85="","",IF(AND($G85="Yes",P$2=XLOOKUP($A85,TasksTable[Task ID],TasksTable[Start Date],"")),"◆",""))</x:f>
      </x:c>
      <x:c r="Q85" s="90" t="str">
        <x:f>IF($A85="","",IF(AND($G85="Yes",Q$2=XLOOKUP($A85,TasksTable[Task ID],TasksTable[Start Date],"")),"◆",""))</x:f>
      </x:c>
      <x:c r="R85" s="90" t="str">
        <x:f>IF($A85="","",IF(AND($G85="Yes",R$2=XLOOKUP($A85,TasksTable[Task ID],TasksTable[Start Date],"")),"◆",""))</x:f>
      </x:c>
      <x:c r="S85" s="90" t="str">
        <x:f>IF($A85="","",IF(AND($G85="Yes",S$2=XLOOKUP($A85,TasksTable[Task ID],TasksTable[Start Date],"")),"◆",""))</x:f>
      </x:c>
      <x:c r="T85" s="90" t="str">
        <x:f>IF($A85="","",IF(AND($G85="Yes",T$2=XLOOKUP($A85,TasksTable[Task ID],TasksTable[Start Date],"")),"◆",""))</x:f>
      </x:c>
      <x:c r="U85" s="90" t="str">
        <x:f>IF($A85="","",IF(AND($G85="Yes",U$2=XLOOKUP($A85,TasksTable[Task ID],TasksTable[Start Date],"")),"◆",""))</x:f>
      </x:c>
      <x:c r="V85" s="90" t="str">
        <x:f>IF($A85="","",IF(AND($G85="Yes",V$2=XLOOKUP($A85,TasksTable[Task ID],TasksTable[Start Date],"")),"◆",""))</x:f>
      </x:c>
      <x:c r="W85" s="90" t="str">
        <x:f>IF($A85="","",IF(AND($G85="Yes",W$2=XLOOKUP($A85,TasksTable[Task ID],TasksTable[Start Date],"")),"◆",""))</x:f>
      </x:c>
      <x:c r="X85" s="90" t="str">
        <x:f>IF($A85="","",IF(AND($G85="Yes",X$2=XLOOKUP($A85,TasksTable[Task ID],TasksTable[Start Date],"")),"◆",""))</x:f>
      </x:c>
      <x:c r="Y85" s="90" t="str">
        <x:f>IF($A85="","",IF(AND($G85="Yes",Y$2=XLOOKUP($A85,TasksTable[Task ID],TasksTable[Start Date],"")),"◆",""))</x:f>
      </x:c>
      <x:c r="Z85" s="90" t="str">
        <x:f>IF($A85="","",IF(AND($G85="Yes",Z$2=XLOOKUP($A85,TasksTable[Task ID],TasksTable[Start Date],"")),"◆",""))</x:f>
      </x:c>
      <x:c r="AA85" s="90" t="str">
        <x:f>IF($A85="","",IF(AND($G85="Yes",AA$2=XLOOKUP($A85,TasksTable[Task ID],TasksTable[Start Date],"")),"◆",""))</x:f>
      </x:c>
      <x:c r="AB85" s="90" t="str">
        <x:f>IF($A85="","",IF(AND($G85="Yes",AB$2=XLOOKUP($A85,TasksTable[Task ID],TasksTable[Start Date],"")),"◆",""))</x:f>
      </x:c>
      <x:c r="AC85" s="90" t="str">
        <x:f>IF($A85="","",IF(AND($G85="Yes",AC$2=XLOOKUP($A85,TasksTable[Task ID],TasksTable[Start Date],"")),"◆",""))</x:f>
      </x:c>
      <x:c r="AD85" s="90" t="str">
        <x:f>IF($A85="","",IF(AND($G85="Yes",AD$2=XLOOKUP($A85,TasksTable[Task ID],TasksTable[Start Date],"")),"◆",""))</x:f>
      </x:c>
      <x:c r="AE85" s="90" t="str">
        <x:f>IF($A85="","",IF(AND($G85="Yes",AE$2=XLOOKUP($A85,TasksTable[Task ID],TasksTable[Start Date],"")),"◆",""))</x:f>
      </x:c>
      <x:c r="AF85" s="90" t="str">
        <x:f>IF($A85="","",IF(AND($G85="Yes",AF$2=XLOOKUP($A85,TasksTable[Task ID],TasksTable[Start Date],"")),"◆",""))</x:f>
      </x:c>
      <x:c r="AG85" s="90" t="str">
        <x:f>IF($A85="","",IF(AND($G85="Yes",AG$2=XLOOKUP($A85,TasksTable[Task ID],TasksTable[Start Date],"")),"◆",""))</x:f>
      </x:c>
      <x:c r="AH85" s="90" t="str">
        <x:f>IF($A85="","",IF(AND($G85="Yes",AH$2=XLOOKUP($A85,TasksTable[Task ID],TasksTable[Start Date],"")),"◆",""))</x:f>
      </x:c>
      <x:c r="AI85" s="90" t="str">
        <x:f>IF($A85="","",IF(AND($G85="Yes",AI$2=XLOOKUP($A85,TasksTable[Task ID],TasksTable[Start Date],"")),"◆",""))</x:f>
      </x:c>
      <x:c r="AJ85" s="90" t="str">
        <x:f>IF($A85="","",IF(AND($G85="Yes",AJ$2=XLOOKUP($A85,TasksTable[Task ID],TasksTable[Start Date],"")),"◆",""))</x:f>
      </x:c>
      <x:c r="AK85" s="90" t="str">
        <x:f>IF($A85="","",IF(AND($G85="Yes",AK$2=XLOOKUP($A85,TasksTable[Task ID],TasksTable[Start Date],"")),"◆",""))</x:f>
      </x:c>
      <x:c r="AL85" s="90" t="str">
        <x:f>IF($A85="","",IF(AND($G85="Yes",AL$2=XLOOKUP($A85,TasksTable[Task ID],TasksTable[Start Date],"")),"◆",""))</x:f>
      </x:c>
      <x:c r="AM85" s="90" t="str">
        <x:f>IF($A85="","",IF(AND($G85="Yes",AM$2=XLOOKUP($A85,TasksTable[Task ID],TasksTable[Start Date],"")),"◆",""))</x:f>
      </x:c>
      <x:c r="AN85" s="90" t="str">
        <x:f>IF($A85="","",IF(AND($G85="Yes",AN$2=XLOOKUP($A85,TasksTable[Task ID],TasksTable[Start Date],"")),"◆",""))</x:f>
      </x:c>
      <x:c r="AO85" s="90" t="str">
        <x:f>IF($A85="","",IF(AND($G85="Yes",AO$2=XLOOKUP($A85,TasksTable[Task ID],TasksTable[Start Date],"")),"◆",""))</x:f>
      </x:c>
    </x:row>
    <x:row r="86">
      <x:c r="A86" s="10" t="str">
        <x:f>IFERROR(INDEX(TasksTable[Task ID],ROWS($A$4:A86)),"")</x:f>
      </x:c>
      <x:c r="B86" s="10" t="str">
        <x:f>IF($A86="","",IFERROR(XLOOKUP($A86,TasksTable[Task ID],TasksTable[Phase],""),""))</x:f>
      </x:c>
      <x:c r="C86" s="10" t="str">
        <x:f>IF($A86="","",IFERROR(XLOOKUP($A86,TasksTable[Task ID],TasksTable[Task Name],""),""))</x:f>
      </x:c>
      <x:c r="D86" s="10" t="str">
        <x:f>IF($A86="","",IFERROR(XLOOKUP($A86,TasksTable[Task ID],TasksTable[Status],""),""))</x:f>
      </x:c>
      <x:c r="E86" s="86" t="str">
        <x:f>IF($A86="","",IFERROR(XLOOKUP($A86,TasksTable[Task ID],TasksTable[Progress %],0),0))</x:f>
      </x:c>
      <x:c r="F86" s="10" t="str">
        <x:f>IF($A86="","",IFERROR(XLOOKUP($A86,TasksTable[Task ID],TasksTable[Schedule Health],""),""))</x:f>
      </x:c>
      <x:c r="G86" s="10" t="str">
        <x:f>IF($A86="","",IFERROR(XLOOKUP($A86,TasksTable[Task ID],TasksTable[Milestone],""),""))</x:f>
      </x:c>
      <x:c r="H86" s="90" t="str">
        <x:f>IF($A86="","",IF(AND($G86="Yes",H$2=XLOOKUP($A86,TasksTable[Task ID],TasksTable[Start Date],"")),"◆",""))</x:f>
      </x:c>
      <x:c r="I86" s="90" t="str">
        <x:f>IF($A86="","",IF(AND($G86="Yes",I$2=XLOOKUP($A86,TasksTable[Task ID],TasksTable[Start Date],"")),"◆",""))</x:f>
      </x:c>
      <x:c r="J86" s="90" t="str">
        <x:f>IF($A86="","",IF(AND($G86="Yes",J$2=XLOOKUP($A86,TasksTable[Task ID],TasksTable[Start Date],"")),"◆",""))</x:f>
      </x:c>
      <x:c r="K86" s="90" t="str">
        <x:f>IF($A86="","",IF(AND($G86="Yes",K$2=XLOOKUP($A86,TasksTable[Task ID],TasksTable[Start Date],"")),"◆",""))</x:f>
      </x:c>
      <x:c r="L86" s="90" t="str">
        <x:f>IF($A86="","",IF(AND($G86="Yes",L$2=XLOOKUP($A86,TasksTable[Task ID],TasksTable[Start Date],"")),"◆",""))</x:f>
      </x:c>
      <x:c r="M86" s="90" t="str">
        <x:f>IF($A86="","",IF(AND($G86="Yes",M$2=XLOOKUP($A86,TasksTable[Task ID],TasksTable[Start Date],"")),"◆",""))</x:f>
      </x:c>
      <x:c r="N86" s="90" t="str">
        <x:f>IF($A86="","",IF(AND($G86="Yes",N$2=XLOOKUP($A86,TasksTable[Task ID],TasksTable[Start Date],"")),"◆",""))</x:f>
      </x:c>
      <x:c r="O86" s="90" t="str">
        <x:f>IF($A86="","",IF(AND($G86="Yes",O$2=XLOOKUP($A86,TasksTable[Task ID],TasksTable[Start Date],"")),"◆",""))</x:f>
      </x:c>
      <x:c r="P86" s="90" t="str">
        <x:f>IF($A86="","",IF(AND($G86="Yes",P$2=XLOOKUP($A86,TasksTable[Task ID],TasksTable[Start Date],"")),"◆",""))</x:f>
      </x:c>
      <x:c r="Q86" s="90" t="str">
        <x:f>IF($A86="","",IF(AND($G86="Yes",Q$2=XLOOKUP($A86,TasksTable[Task ID],TasksTable[Start Date],"")),"◆",""))</x:f>
      </x:c>
      <x:c r="R86" s="90" t="str">
        <x:f>IF($A86="","",IF(AND($G86="Yes",R$2=XLOOKUP($A86,TasksTable[Task ID],TasksTable[Start Date],"")),"◆",""))</x:f>
      </x:c>
      <x:c r="S86" s="90" t="str">
        <x:f>IF($A86="","",IF(AND($G86="Yes",S$2=XLOOKUP($A86,TasksTable[Task ID],TasksTable[Start Date],"")),"◆",""))</x:f>
      </x:c>
      <x:c r="T86" s="90" t="str">
        <x:f>IF($A86="","",IF(AND($G86="Yes",T$2=XLOOKUP($A86,TasksTable[Task ID],TasksTable[Start Date],"")),"◆",""))</x:f>
      </x:c>
      <x:c r="U86" s="90" t="str">
        <x:f>IF($A86="","",IF(AND($G86="Yes",U$2=XLOOKUP($A86,TasksTable[Task ID],TasksTable[Start Date],"")),"◆",""))</x:f>
      </x:c>
      <x:c r="V86" s="90" t="str">
        <x:f>IF($A86="","",IF(AND($G86="Yes",V$2=XLOOKUP($A86,TasksTable[Task ID],TasksTable[Start Date],"")),"◆",""))</x:f>
      </x:c>
      <x:c r="W86" s="90" t="str">
        <x:f>IF($A86="","",IF(AND($G86="Yes",W$2=XLOOKUP($A86,TasksTable[Task ID],TasksTable[Start Date],"")),"◆",""))</x:f>
      </x:c>
      <x:c r="X86" s="90" t="str">
        <x:f>IF($A86="","",IF(AND($G86="Yes",X$2=XLOOKUP($A86,TasksTable[Task ID],TasksTable[Start Date],"")),"◆",""))</x:f>
      </x:c>
      <x:c r="Y86" s="90" t="str">
        <x:f>IF($A86="","",IF(AND($G86="Yes",Y$2=XLOOKUP($A86,TasksTable[Task ID],TasksTable[Start Date],"")),"◆",""))</x:f>
      </x:c>
      <x:c r="Z86" s="90" t="str">
        <x:f>IF($A86="","",IF(AND($G86="Yes",Z$2=XLOOKUP($A86,TasksTable[Task ID],TasksTable[Start Date],"")),"◆",""))</x:f>
      </x:c>
      <x:c r="AA86" s="90" t="str">
        <x:f>IF($A86="","",IF(AND($G86="Yes",AA$2=XLOOKUP($A86,TasksTable[Task ID],TasksTable[Start Date],"")),"◆",""))</x:f>
      </x:c>
      <x:c r="AB86" s="90" t="str">
        <x:f>IF($A86="","",IF(AND($G86="Yes",AB$2=XLOOKUP($A86,TasksTable[Task ID],TasksTable[Start Date],"")),"◆",""))</x:f>
      </x:c>
      <x:c r="AC86" s="90" t="str">
        <x:f>IF($A86="","",IF(AND($G86="Yes",AC$2=XLOOKUP($A86,TasksTable[Task ID],TasksTable[Start Date],"")),"◆",""))</x:f>
      </x:c>
      <x:c r="AD86" s="90" t="str">
        <x:f>IF($A86="","",IF(AND($G86="Yes",AD$2=XLOOKUP($A86,TasksTable[Task ID],TasksTable[Start Date],"")),"◆",""))</x:f>
      </x:c>
      <x:c r="AE86" s="90" t="str">
        <x:f>IF($A86="","",IF(AND($G86="Yes",AE$2=XLOOKUP($A86,TasksTable[Task ID],TasksTable[Start Date],"")),"◆",""))</x:f>
      </x:c>
      <x:c r="AF86" s="90" t="str">
        <x:f>IF($A86="","",IF(AND($G86="Yes",AF$2=XLOOKUP($A86,TasksTable[Task ID],TasksTable[Start Date],"")),"◆",""))</x:f>
      </x:c>
      <x:c r="AG86" s="90" t="str">
        <x:f>IF($A86="","",IF(AND($G86="Yes",AG$2=XLOOKUP($A86,TasksTable[Task ID],TasksTable[Start Date],"")),"◆",""))</x:f>
      </x:c>
      <x:c r="AH86" s="90" t="str">
        <x:f>IF($A86="","",IF(AND($G86="Yes",AH$2=XLOOKUP($A86,TasksTable[Task ID],TasksTable[Start Date],"")),"◆",""))</x:f>
      </x:c>
      <x:c r="AI86" s="90" t="str">
        <x:f>IF($A86="","",IF(AND($G86="Yes",AI$2=XLOOKUP($A86,TasksTable[Task ID],TasksTable[Start Date],"")),"◆",""))</x:f>
      </x:c>
      <x:c r="AJ86" s="90" t="str">
        <x:f>IF($A86="","",IF(AND($G86="Yes",AJ$2=XLOOKUP($A86,TasksTable[Task ID],TasksTable[Start Date],"")),"◆",""))</x:f>
      </x:c>
      <x:c r="AK86" s="90" t="str">
        <x:f>IF($A86="","",IF(AND($G86="Yes",AK$2=XLOOKUP($A86,TasksTable[Task ID],TasksTable[Start Date],"")),"◆",""))</x:f>
      </x:c>
      <x:c r="AL86" s="90" t="str">
        <x:f>IF($A86="","",IF(AND($G86="Yes",AL$2=XLOOKUP($A86,TasksTable[Task ID],TasksTable[Start Date],"")),"◆",""))</x:f>
      </x:c>
      <x:c r="AM86" s="90" t="str">
        <x:f>IF($A86="","",IF(AND($G86="Yes",AM$2=XLOOKUP($A86,TasksTable[Task ID],TasksTable[Start Date],"")),"◆",""))</x:f>
      </x:c>
      <x:c r="AN86" s="90" t="str">
        <x:f>IF($A86="","",IF(AND($G86="Yes",AN$2=XLOOKUP($A86,TasksTable[Task ID],TasksTable[Start Date],"")),"◆",""))</x:f>
      </x:c>
      <x:c r="AO86" s="90" t="str">
        <x:f>IF($A86="","",IF(AND($G86="Yes",AO$2=XLOOKUP($A86,TasksTable[Task ID],TasksTable[Start Date],"")),"◆",""))</x:f>
      </x:c>
    </x:row>
    <x:row r="87">
      <x:c r="A87" s="10" t="str">
        <x:f>IFERROR(INDEX(TasksTable[Task ID],ROWS($A$4:A87)),"")</x:f>
      </x:c>
      <x:c r="B87" s="10" t="str">
        <x:f>IF($A87="","",IFERROR(XLOOKUP($A87,TasksTable[Task ID],TasksTable[Phase],""),""))</x:f>
      </x:c>
      <x:c r="C87" s="10" t="str">
        <x:f>IF($A87="","",IFERROR(XLOOKUP($A87,TasksTable[Task ID],TasksTable[Task Name],""),""))</x:f>
      </x:c>
      <x:c r="D87" s="10" t="str">
        <x:f>IF($A87="","",IFERROR(XLOOKUP($A87,TasksTable[Task ID],TasksTable[Status],""),""))</x:f>
      </x:c>
      <x:c r="E87" s="86" t="str">
        <x:f>IF($A87="","",IFERROR(XLOOKUP($A87,TasksTable[Task ID],TasksTable[Progress %],0),0))</x:f>
      </x:c>
      <x:c r="F87" s="10" t="str">
        <x:f>IF($A87="","",IFERROR(XLOOKUP($A87,TasksTable[Task ID],TasksTable[Schedule Health],""),""))</x:f>
      </x:c>
      <x:c r="G87" s="10" t="str">
        <x:f>IF($A87="","",IFERROR(XLOOKUP($A87,TasksTable[Task ID],TasksTable[Milestone],""),""))</x:f>
      </x:c>
      <x:c r="H87" s="90" t="str">
        <x:f>IF($A87="","",IF(AND($G87="Yes",H$2=XLOOKUP($A87,TasksTable[Task ID],TasksTable[Start Date],"")),"◆",""))</x:f>
      </x:c>
      <x:c r="I87" s="90" t="str">
        <x:f>IF($A87="","",IF(AND($G87="Yes",I$2=XLOOKUP($A87,TasksTable[Task ID],TasksTable[Start Date],"")),"◆",""))</x:f>
      </x:c>
      <x:c r="J87" s="90" t="str">
        <x:f>IF($A87="","",IF(AND($G87="Yes",J$2=XLOOKUP($A87,TasksTable[Task ID],TasksTable[Start Date],"")),"◆",""))</x:f>
      </x:c>
      <x:c r="K87" s="90" t="str">
        <x:f>IF($A87="","",IF(AND($G87="Yes",K$2=XLOOKUP($A87,TasksTable[Task ID],TasksTable[Start Date],"")),"◆",""))</x:f>
      </x:c>
      <x:c r="L87" s="90" t="str">
        <x:f>IF($A87="","",IF(AND($G87="Yes",L$2=XLOOKUP($A87,TasksTable[Task ID],TasksTable[Start Date],"")),"◆",""))</x:f>
      </x:c>
      <x:c r="M87" s="90" t="str">
        <x:f>IF($A87="","",IF(AND($G87="Yes",M$2=XLOOKUP($A87,TasksTable[Task ID],TasksTable[Start Date],"")),"◆",""))</x:f>
      </x:c>
      <x:c r="N87" s="90" t="str">
        <x:f>IF($A87="","",IF(AND($G87="Yes",N$2=XLOOKUP($A87,TasksTable[Task ID],TasksTable[Start Date],"")),"◆",""))</x:f>
      </x:c>
      <x:c r="O87" s="90" t="str">
        <x:f>IF($A87="","",IF(AND($G87="Yes",O$2=XLOOKUP($A87,TasksTable[Task ID],TasksTable[Start Date],"")),"◆",""))</x:f>
      </x:c>
      <x:c r="P87" s="90" t="str">
        <x:f>IF($A87="","",IF(AND($G87="Yes",P$2=XLOOKUP($A87,TasksTable[Task ID],TasksTable[Start Date],"")),"◆",""))</x:f>
      </x:c>
      <x:c r="Q87" s="90" t="str">
        <x:f>IF($A87="","",IF(AND($G87="Yes",Q$2=XLOOKUP($A87,TasksTable[Task ID],TasksTable[Start Date],"")),"◆",""))</x:f>
      </x:c>
      <x:c r="R87" s="90" t="str">
        <x:f>IF($A87="","",IF(AND($G87="Yes",R$2=XLOOKUP($A87,TasksTable[Task ID],TasksTable[Start Date],"")),"◆",""))</x:f>
      </x:c>
      <x:c r="S87" s="90" t="str">
        <x:f>IF($A87="","",IF(AND($G87="Yes",S$2=XLOOKUP($A87,TasksTable[Task ID],TasksTable[Start Date],"")),"◆",""))</x:f>
      </x:c>
      <x:c r="T87" s="90" t="str">
        <x:f>IF($A87="","",IF(AND($G87="Yes",T$2=XLOOKUP($A87,TasksTable[Task ID],TasksTable[Start Date],"")),"◆",""))</x:f>
      </x:c>
      <x:c r="U87" s="90" t="str">
        <x:f>IF($A87="","",IF(AND($G87="Yes",U$2=XLOOKUP($A87,TasksTable[Task ID],TasksTable[Start Date],"")),"◆",""))</x:f>
      </x:c>
      <x:c r="V87" s="90" t="str">
        <x:f>IF($A87="","",IF(AND($G87="Yes",V$2=XLOOKUP($A87,TasksTable[Task ID],TasksTable[Start Date],"")),"◆",""))</x:f>
      </x:c>
      <x:c r="W87" s="90" t="str">
        <x:f>IF($A87="","",IF(AND($G87="Yes",W$2=XLOOKUP($A87,TasksTable[Task ID],TasksTable[Start Date],"")),"◆",""))</x:f>
      </x:c>
      <x:c r="X87" s="90" t="str">
        <x:f>IF($A87="","",IF(AND($G87="Yes",X$2=XLOOKUP($A87,TasksTable[Task ID],TasksTable[Start Date],"")),"◆",""))</x:f>
      </x:c>
      <x:c r="Y87" s="90" t="str">
        <x:f>IF($A87="","",IF(AND($G87="Yes",Y$2=XLOOKUP($A87,TasksTable[Task ID],TasksTable[Start Date],"")),"◆",""))</x:f>
      </x:c>
      <x:c r="Z87" s="90" t="str">
        <x:f>IF($A87="","",IF(AND($G87="Yes",Z$2=XLOOKUP($A87,TasksTable[Task ID],TasksTable[Start Date],"")),"◆",""))</x:f>
      </x:c>
      <x:c r="AA87" s="90" t="str">
        <x:f>IF($A87="","",IF(AND($G87="Yes",AA$2=XLOOKUP($A87,TasksTable[Task ID],TasksTable[Start Date],"")),"◆",""))</x:f>
      </x:c>
      <x:c r="AB87" s="90" t="str">
        <x:f>IF($A87="","",IF(AND($G87="Yes",AB$2=XLOOKUP($A87,TasksTable[Task ID],TasksTable[Start Date],"")),"◆",""))</x:f>
      </x:c>
      <x:c r="AC87" s="90" t="str">
        <x:f>IF($A87="","",IF(AND($G87="Yes",AC$2=XLOOKUP($A87,TasksTable[Task ID],TasksTable[Start Date],"")),"◆",""))</x:f>
      </x:c>
      <x:c r="AD87" s="90" t="str">
        <x:f>IF($A87="","",IF(AND($G87="Yes",AD$2=XLOOKUP($A87,TasksTable[Task ID],TasksTable[Start Date],"")),"◆",""))</x:f>
      </x:c>
      <x:c r="AE87" s="90" t="str">
        <x:f>IF($A87="","",IF(AND($G87="Yes",AE$2=XLOOKUP($A87,TasksTable[Task ID],TasksTable[Start Date],"")),"◆",""))</x:f>
      </x:c>
      <x:c r="AF87" s="90" t="str">
        <x:f>IF($A87="","",IF(AND($G87="Yes",AF$2=XLOOKUP($A87,TasksTable[Task ID],TasksTable[Start Date],"")),"◆",""))</x:f>
      </x:c>
      <x:c r="AG87" s="90" t="str">
        <x:f>IF($A87="","",IF(AND($G87="Yes",AG$2=XLOOKUP($A87,TasksTable[Task ID],TasksTable[Start Date],"")),"◆",""))</x:f>
      </x:c>
      <x:c r="AH87" s="90" t="str">
        <x:f>IF($A87="","",IF(AND($G87="Yes",AH$2=XLOOKUP($A87,TasksTable[Task ID],TasksTable[Start Date],"")),"◆",""))</x:f>
      </x:c>
      <x:c r="AI87" s="90" t="str">
        <x:f>IF($A87="","",IF(AND($G87="Yes",AI$2=XLOOKUP($A87,TasksTable[Task ID],TasksTable[Start Date],"")),"◆",""))</x:f>
      </x:c>
      <x:c r="AJ87" s="90" t="str">
        <x:f>IF($A87="","",IF(AND($G87="Yes",AJ$2=XLOOKUP($A87,TasksTable[Task ID],TasksTable[Start Date],"")),"◆",""))</x:f>
      </x:c>
      <x:c r="AK87" s="90" t="str">
        <x:f>IF($A87="","",IF(AND($G87="Yes",AK$2=XLOOKUP($A87,TasksTable[Task ID],TasksTable[Start Date],"")),"◆",""))</x:f>
      </x:c>
      <x:c r="AL87" s="90" t="str">
        <x:f>IF($A87="","",IF(AND($G87="Yes",AL$2=XLOOKUP($A87,TasksTable[Task ID],TasksTable[Start Date],"")),"◆",""))</x:f>
      </x:c>
      <x:c r="AM87" s="90" t="str">
        <x:f>IF($A87="","",IF(AND($G87="Yes",AM$2=XLOOKUP($A87,TasksTable[Task ID],TasksTable[Start Date],"")),"◆",""))</x:f>
      </x:c>
      <x:c r="AN87" s="90" t="str">
        <x:f>IF($A87="","",IF(AND($G87="Yes",AN$2=XLOOKUP($A87,TasksTable[Task ID],TasksTable[Start Date],"")),"◆",""))</x:f>
      </x:c>
      <x:c r="AO87" s="90" t="str">
        <x:f>IF($A87="","",IF(AND($G87="Yes",AO$2=XLOOKUP($A87,TasksTable[Task ID],TasksTable[Start Date],"")),"◆",""))</x:f>
      </x:c>
    </x:row>
    <x:row r="88">
      <x:c r="A88" s="10" t="str">
        <x:f>IFERROR(INDEX(TasksTable[Task ID],ROWS($A$4:A88)),"")</x:f>
      </x:c>
      <x:c r="B88" s="10" t="str">
        <x:f>IF($A88="","",IFERROR(XLOOKUP($A88,TasksTable[Task ID],TasksTable[Phase],""),""))</x:f>
      </x:c>
      <x:c r="C88" s="10" t="str">
        <x:f>IF($A88="","",IFERROR(XLOOKUP($A88,TasksTable[Task ID],TasksTable[Task Name],""),""))</x:f>
      </x:c>
      <x:c r="D88" s="10" t="str">
        <x:f>IF($A88="","",IFERROR(XLOOKUP($A88,TasksTable[Task ID],TasksTable[Status],""),""))</x:f>
      </x:c>
      <x:c r="E88" s="86" t="str">
        <x:f>IF($A88="","",IFERROR(XLOOKUP($A88,TasksTable[Task ID],TasksTable[Progress %],0),0))</x:f>
      </x:c>
      <x:c r="F88" s="10" t="str">
        <x:f>IF($A88="","",IFERROR(XLOOKUP($A88,TasksTable[Task ID],TasksTable[Schedule Health],""),""))</x:f>
      </x:c>
      <x:c r="G88" s="10" t="str">
        <x:f>IF($A88="","",IFERROR(XLOOKUP($A88,TasksTable[Task ID],TasksTable[Milestone],""),""))</x:f>
      </x:c>
      <x:c r="H88" s="90" t="str">
        <x:f>IF($A88="","",IF(AND($G88="Yes",H$2=XLOOKUP($A88,TasksTable[Task ID],TasksTable[Start Date],"")),"◆",""))</x:f>
      </x:c>
      <x:c r="I88" s="90" t="str">
        <x:f>IF($A88="","",IF(AND($G88="Yes",I$2=XLOOKUP($A88,TasksTable[Task ID],TasksTable[Start Date],"")),"◆",""))</x:f>
      </x:c>
      <x:c r="J88" s="90" t="str">
        <x:f>IF($A88="","",IF(AND($G88="Yes",J$2=XLOOKUP($A88,TasksTable[Task ID],TasksTable[Start Date],"")),"◆",""))</x:f>
      </x:c>
      <x:c r="K88" s="90" t="str">
        <x:f>IF($A88="","",IF(AND($G88="Yes",K$2=XLOOKUP($A88,TasksTable[Task ID],TasksTable[Start Date],"")),"◆",""))</x:f>
      </x:c>
      <x:c r="L88" s="90" t="str">
        <x:f>IF($A88="","",IF(AND($G88="Yes",L$2=XLOOKUP($A88,TasksTable[Task ID],TasksTable[Start Date],"")),"◆",""))</x:f>
      </x:c>
      <x:c r="M88" s="90" t="str">
        <x:f>IF($A88="","",IF(AND($G88="Yes",M$2=XLOOKUP($A88,TasksTable[Task ID],TasksTable[Start Date],"")),"◆",""))</x:f>
      </x:c>
      <x:c r="N88" s="90" t="str">
        <x:f>IF($A88="","",IF(AND($G88="Yes",N$2=XLOOKUP($A88,TasksTable[Task ID],TasksTable[Start Date],"")),"◆",""))</x:f>
      </x:c>
      <x:c r="O88" s="90" t="str">
        <x:f>IF($A88="","",IF(AND($G88="Yes",O$2=XLOOKUP($A88,TasksTable[Task ID],TasksTable[Start Date],"")),"◆",""))</x:f>
      </x:c>
      <x:c r="P88" s="90" t="str">
        <x:f>IF($A88="","",IF(AND($G88="Yes",P$2=XLOOKUP($A88,TasksTable[Task ID],TasksTable[Start Date],"")),"◆",""))</x:f>
      </x:c>
      <x:c r="Q88" s="90" t="str">
        <x:f>IF($A88="","",IF(AND($G88="Yes",Q$2=XLOOKUP($A88,TasksTable[Task ID],TasksTable[Start Date],"")),"◆",""))</x:f>
      </x:c>
      <x:c r="R88" s="90" t="str">
        <x:f>IF($A88="","",IF(AND($G88="Yes",R$2=XLOOKUP($A88,TasksTable[Task ID],TasksTable[Start Date],"")),"◆",""))</x:f>
      </x:c>
      <x:c r="S88" s="90" t="str">
        <x:f>IF($A88="","",IF(AND($G88="Yes",S$2=XLOOKUP($A88,TasksTable[Task ID],TasksTable[Start Date],"")),"◆",""))</x:f>
      </x:c>
      <x:c r="T88" s="90" t="str">
        <x:f>IF($A88="","",IF(AND($G88="Yes",T$2=XLOOKUP($A88,TasksTable[Task ID],TasksTable[Start Date],"")),"◆",""))</x:f>
      </x:c>
      <x:c r="U88" s="90" t="str">
        <x:f>IF($A88="","",IF(AND($G88="Yes",U$2=XLOOKUP($A88,TasksTable[Task ID],TasksTable[Start Date],"")),"◆",""))</x:f>
      </x:c>
      <x:c r="V88" s="90" t="str">
        <x:f>IF($A88="","",IF(AND($G88="Yes",V$2=XLOOKUP($A88,TasksTable[Task ID],TasksTable[Start Date],"")),"◆",""))</x:f>
      </x:c>
      <x:c r="W88" s="90" t="str">
        <x:f>IF($A88="","",IF(AND($G88="Yes",W$2=XLOOKUP($A88,TasksTable[Task ID],TasksTable[Start Date],"")),"◆",""))</x:f>
      </x:c>
      <x:c r="X88" s="90" t="str">
        <x:f>IF($A88="","",IF(AND($G88="Yes",X$2=XLOOKUP($A88,TasksTable[Task ID],TasksTable[Start Date],"")),"◆",""))</x:f>
      </x:c>
      <x:c r="Y88" s="90" t="str">
        <x:f>IF($A88="","",IF(AND($G88="Yes",Y$2=XLOOKUP($A88,TasksTable[Task ID],TasksTable[Start Date],"")),"◆",""))</x:f>
      </x:c>
      <x:c r="Z88" s="90" t="str">
        <x:f>IF($A88="","",IF(AND($G88="Yes",Z$2=XLOOKUP($A88,TasksTable[Task ID],TasksTable[Start Date],"")),"◆",""))</x:f>
      </x:c>
      <x:c r="AA88" s="90" t="str">
        <x:f>IF($A88="","",IF(AND($G88="Yes",AA$2=XLOOKUP($A88,TasksTable[Task ID],TasksTable[Start Date],"")),"◆",""))</x:f>
      </x:c>
      <x:c r="AB88" s="90" t="str">
        <x:f>IF($A88="","",IF(AND($G88="Yes",AB$2=XLOOKUP($A88,TasksTable[Task ID],TasksTable[Start Date],"")),"◆",""))</x:f>
      </x:c>
      <x:c r="AC88" s="90" t="str">
        <x:f>IF($A88="","",IF(AND($G88="Yes",AC$2=XLOOKUP($A88,TasksTable[Task ID],TasksTable[Start Date],"")),"◆",""))</x:f>
      </x:c>
      <x:c r="AD88" s="90" t="str">
        <x:f>IF($A88="","",IF(AND($G88="Yes",AD$2=XLOOKUP($A88,TasksTable[Task ID],TasksTable[Start Date],"")),"◆",""))</x:f>
      </x:c>
      <x:c r="AE88" s="90" t="str">
        <x:f>IF($A88="","",IF(AND($G88="Yes",AE$2=XLOOKUP($A88,TasksTable[Task ID],TasksTable[Start Date],"")),"◆",""))</x:f>
      </x:c>
      <x:c r="AF88" s="90" t="str">
        <x:f>IF($A88="","",IF(AND($G88="Yes",AF$2=XLOOKUP($A88,TasksTable[Task ID],TasksTable[Start Date],"")),"◆",""))</x:f>
      </x:c>
      <x:c r="AG88" s="90" t="str">
        <x:f>IF($A88="","",IF(AND($G88="Yes",AG$2=XLOOKUP($A88,TasksTable[Task ID],TasksTable[Start Date],"")),"◆",""))</x:f>
      </x:c>
      <x:c r="AH88" s="90" t="str">
        <x:f>IF($A88="","",IF(AND($G88="Yes",AH$2=XLOOKUP($A88,TasksTable[Task ID],TasksTable[Start Date],"")),"◆",""))</x:f>
      </x:c>
      <x:c r="AI88" s="90" t="str">
        <x:f>IF($A88="","",IF(AND($G88="Yes",AI$2=XLOOKUP($A88,TasksTable[Task ID],TasksTable[Start Date],"")),"◆",""))</x:f>
      </x:c>
      <x:c r="AJ88" s="90" t="str">
        <x:f>IF($A88="","",IF(AND($G88="Yes",AJ$2=XLOOKUP($A88,TasksTable[Task ID],TasksTable[Start Date],"")),"◆",""))</x:f>
      </x:c>
      <x:c r="AK88" s="90" t="str">
        <x:f>IF($A88="","",IF(AND($G88="Yes",AK$2=XLOOKUP($A88,TasksTable[Task ID],TasksTable[Start Date],"")),"◆",""))</x:f>
      </x:c>
      <x:c r="AL88" s="90" t="str">
        <x:f>IF($A88="","",IF(AND($G88="Yes",AL$2=XLOOKUP($A88,TasksTable[Task ID],TasksTable[Start Date],"")),"◆",""))</x:f>
      </x:c>
      <x:c r="AM88" s="90" t="str">
        <x:f>IF($A88="","",IF(AND($G88="Yes",AM$2=XLOOKUP($A88,TasksTable[Task ID],TasksTable[Start Date],"")),"◆",""))</x:f>
      </x:c>
      <x:c r="AN88" s="90" t="str">
        <x:f>IF($A88="","",IF(AND($G88="Yes",AN$2=XLOOKUP($A88,TasksTable[Task ID],TasksTable[Start Date],"")),"◆",""))</x:f>
      </x:c>
      <x:c r="AO88" s="90" t="str">
        <x:f>IF($A88="","",IF(AND($G88="Yes",AO$2=XLOOKUP($A88,TasksTable[Task ID],TasksTable[Start Date],"")),"◆",""))</x:f>
      </x:c>
    </x:row>
    <x:row r="89">
      <x:c r="A89" s="10" t="str">
        <x:f>IFERROR(INDEX(TasksTable[Task ID],ROWS($A$4:A89)),"")</x:f>
      </x:c>
      <x:c r="B89" s="10" t="str">
        <x:f>IF($A89="","",IFERROR(XLOOKUP($A89,TasksTable[Task ID],TasksTable[Phase],""),""))</x:f>
      </x:c>
      <x:c r="C89" s="10" t="str">
        <x:f>IF($A89="","",IFERROR(XLOOKUP($A89,TasksTable[Task ID],TasksTable[Task Name],""),""))</x:f>
      </x:c>
      <x:c r="D89" s="10" t="str">
        <x:f>IF($A89="","",IFERROR(XLOOKUP($A89,TasksTable[Task ID],TasksTable[Status],""),""))</x:f>
      </x:c>
      <x:c r="E89" s="86" t="str">
        <x:f>IF($A89="","",IFERROR(XLOOKUP($A89,TasksTable[Task ID],TasksTable[Progress %],0),0))</x:f>
      </x:c>
      <x:c r="F89" s="10" t="str">
        <x:f>IF($A89="","",IFERROR(XLOOKUP($A89,TasksTable[Task ID],TasksTable[Schedule Health],""),""))</x:f>
      </x:c>
      <x:c r="G89" s="10" t="str">
        <x:f>IF($A89="","",IFERROR(XLOOKUP($A89,TasksTable[Task ID],TasksTable[Milestone],""),""))</x:f>
      </x:c>
      <x:c r="H89" s="90" t="str">
        <x:f>IF($A89="","",IF(AND($G89="Yes",H$2=XLOOKUP($A89,TasksTable[Task ID],TasksTable[Start Date],"")),"◆",""))</x:f>
      </x:c>
      <x:c r="I89" s="90" t="str">
        <x:f>IF($A89="","",IF(AND($G89="Yes",I$2=XLOOKUP($A89,TasksTable[Task ID],TasksTable[Start Date],"")),"◆",""))</x:f>
      </x:c>
      <x:c r="J89" s="90" t="str">
        <x:f>IF($A89="","",IF(AND($G89="Yes",J$2=XLOOKUP($A89,TasksTable[Task ID],TasksTable[Start Date],"")),"◆",""))</x:f>
      </x:c>
      <x:c r="K89" s="90" t="str">
        <x:f>IF($A89="","",IF(AND($G89="Yes",K$2=XLOOKUP($A89,TasksTable[Task ID],TasksTable[Start Date],"")),"◆",""))</x:f>
      </x:c>
      <x:c r="L89" s="90" t="str">
        <x:f>IF($A89="","",IF(AND($G89="Yes",L$2=XLOOKUP($A89,TasksTable[Task ID],TasksTable[Start Date],"")),"◆",""))</x:f>
      </x:c>
      <x:c r="M89" s="90" t="str">
        <x:f>IF($A89="","",IF(AND($G89="Yes",M$2=XLOOKUP($A89,TasksTable[Task ID],TasksTable[Start Date],"")),"◆",""))</x:f>
      </x:c>
      <x:c r="N89" s="90" t="str">
        <x:f>IF($A89="","",IF(AND($G89="Yes",N$2=XLOOKUP($A89,TasksTable[Task ID],TasksTable[Start Date],"")),"◆",""))</x:f>
      </x:c>
      <x:c r="O89" s="90" t="str">
        <x:f>IF($A89="","",IF(AND($G89="Yes",O$2=XLOOKUP($A89,TasksTable[Task ID],TasksTable[Start Date],"")),"◆",""))</x:f>
      </x:c>
      <x:c r="P89" s="90" t="str">
        <x:f>IF($A89="","",IF(AND($G89="Yes",P$2=XLOOKUP($A89,TasksTable[Task ID],TasksTable[Start Date],"")),"◆",""))</x:f>
      </x:c>
      <x:c r="Q89" s="90" t="str">
        <x:f>IF($A89="","",IF(AND($G89="Yes",Q$2=XLOOKUP($A89,TasksTable[Task ID],TasksTable[Start Date],"")),"◆",""))</x:f>
      </x:c>
      <x:c r="R89" s="90" t="str">
        <x:f>IF($A89="","",IF(AND($G89="Yes",R$2=XLOOKUP($A89,TasksTable[Task ID],TasksTable[Start Date],"")),"◆",""))</x:f>
      </x:c>
      <x:c r="S89" s="90" t="str">
        <x:f>IF($A89="","",IF(AND($G89="Yes",S$2=XLOOKUP($A89,TasksTable[Task ID],TasksTable[Start Date],"")),"◆",""))</x:f>
      </x:c>
      <x:c r="T89" s="90" t="str">
        <x:f>IF($A89="","",IF(AND($G89="Yes",T$2=XLOOKUP($A89,TasksTable[Task ID],TasksTable[Start Date],"")),"◆",""))</x:f>
      </x:c>
      <x:c r="U89" s="90" t="str">
        <x:f>IF($A89="","",IF(AND($G89="Yes",U$2=XLOOKUP($A89,TasksTable[Task ID],TasksTable[Start Date],"")),"◆",""))</x:f>
      </x:c>
      <x:c r="V89" s="90" t="str">
        <x:f>IF($A89="","",IF(AND($G89="Yes",V$2=XLOOKUP($A89,TasksTable[Task ID],TasksTable[Start Date],"")),"◆",""))</x:f>
      </x:c>
      <x:c r="W89" s="90" t="str">
        <x:f>IF($A89="","",IF(AND($G89="Yes",W$2=XLOOKUP($A89,TasksTable[Task ID],TasksTable[Start Date],"")),"◆",""))</x:f>
      </x:c>
      <x:c r="X89" s="90" t="str">
        <x:f>IF($A89="","",IF(AND($G89="Yes",X$2=XLOOKUP($A89,TasksTable[Task ID],TasksTable[Start Date],"")),"◆",""))</x:f>
      </x:c>
      <x:c r="Y89" s="90" t="str">
        <x:f>IF($A89="","",IF(AND($G89="Yes",Y$2=XLOOKUP($A89,TasksTable[Task ID],TasksTable[Start Date],"")),"◆",""))</x:f>
      </x:c>
      <x:c r="Z89" s="90" t="str">
        <x:f>IF($A89="","",IF(AND($G89="Yes",Z$2=XLOOKUP($A89,TasksTable[Task ID],TasksTable[Start Date],"")),"◆",""))</x:f>
      </x:c>
      <x:c r="AA89" s="90" t="str">
        <x:f>IF($A89="","",IF(AND($G89="Yes",AA$2=XLOOKUP($A89,TasksTable[Task ID],TasksTable[Start Date],"")),"◆",""))</x:f>
      </x:c>
      <x:c r="AB89" s="90" t="str">
        <x:f>IF($A89="","",IF(AND($G89="Yes",AB$2=XLOOKUP($A89,TasksTable[Task ID],TasksTable[Start Date],"")),"◆",""))</x:f>
      </x:c>
      <x:c r="AC89" s="90" t="str">
        <x:f>IF($A89="","",IF(AND($G89="Yes",AC$2=XLOOKUP($A89,TasksTable[Task ID],TasksTable[Start Date],"")),"◆",""))</x:f>
      </x:c>
      <x:c r="AD89" s="90" t="str">
        <x:f>IF($A89="","",IF(AND($G89="Yes",AD$2=XLOOKUP($A89,TasksTable[Task ID],TasksTable[Start Date],"")),"◆",""))</x:f>
      </x:c>
      <x:c r="AE89" s="90" t="str">
        <x:f>IF($A89="","",IF(AND($G89="Yes",AE$2=XLOOKUP($A89,TasksTable[Task ID],TasksTable[Start Date],"")),"◆",""))</x:f>
      </x:c>
      <x:c r="AF89" s="90" t="str">
        <x:f>IF($A89="","",IF(AND($G89="Yes",AF$2=XLOOKUP($A89,TasksTable[Task ID],TasksTable[Start Date],"")),"◆",""))</x:f>
      </x:c>
      <x:c r="AG89" s="90" t="str">
        <x:f>IF($A89="","",IF(AND($G89="Yes",AG$2=XLOOKUP($A89,TasksTable[Task ID],TasksTable[Start Date],"")),"◆",""))</x:f>
      </x:c>
      <x:c r="AH89" s="90" t="str">
        <x:f>IF($A89="","",IF(AND($G89="Yes",AH$2=XLOOKUP($A89,TasksTable[Task ID],TasksTable[Start Date],"")),"◆",""))</x:f>
      </x:c>
      <x:c r="AI89" s="90" t="str">
        <x:f>IF($A89="","",IF(AND($G89="Yes",AI$2=XLOOKUP($A89,TasksTable[Task ID],TasksTable[Start Date],"")),"◆",""))</x:f>
      </x:c>
      <x:c r="AJ89" s="90" t="str">
        <x:f>IF($A89="","",IF(AND($G89="Yes",AJ$2=XLOOKUP($A89,TasksTable[Task ID],TasksTable[Start Date],"")),"◆",""))</x:f>
      </x:c>
      <x:c r="AK89" s="90" t="str">
        <x:f>IF($A89="","",IF(AND($G89="Yes",AK$2=XLOOKUP($A89,TasksTable[Task ID],TasksTable[Start Date],"")),"◆",""))</x:f>
      </x:c>
      <x:c r="AL89" s="90" t="str">
        <x:f>IF($A89="","",IF(AND($G89="Yes",AL$2=XLOOKUP($A89,TasksTable[Task ID],TasksTable[Start Date],"")),"◆",""))</x:f>
      </x:c>
      <x:c r="AM89" s="90" t="str">
        <x:f>IF($A89="","",IF(AND($G89="Yes",AM$2=XLOOKUP($A89,TasksTable[Task ID],TasksTable[Start Date],"")),"◆",""))</x:f>
      </x:c>
      <x:c r="AN89" s="90" t="str">
        <x:f>IF($A89="","",IF(AND($G89="Yes",AN$2=XLOOKUP($A89,TasksTable[Task ID],TasksTable[Start Date],"")),"◆",""))</x:f>
      </x:c>
      <x:c r="AO89" s="90" t="str">
        <x:f>IF($A89="","",IF(AND($G89="Yes",AO$2=XLOOKUP($A89,TasksTable[Task ID],TasksTable[Start Date],"")),"◆",""))</x:f>
      </x:c>
    </x:row>
    <x:row r="90">
      <x:c r="A90" s="10" t="str">
        <x:f>IFERROR(INDEX(TasksTable[Task ID],ROWS($A$4:A90)),"")</x:f>
      </x:c>
      <x:c r="B90" s="10" t="str">
        <x:f>IF($A90="","",IFERROR(XLOOKUP($A90,TasksTable[Task ID],TasksTable[Phase],""),""))</x:f>
      </x:c>
      <x:c r="C90" s="10" t="str">
        <x:f>IF($A90="","",IFERROR(XLOOKUP($A90,TasksTable[Task ID],TasksTable[Task Name],""),""))</x:f>
      </x:c>
      <x:c r="D90" s="10" t="str">
        <x:f>IF($A90="","",IFERROR(XLOOKUP($A90,TasksTable[Task ID],TasksTable[Status],""),""))</x:f>
      </x:c>
      <x:c r="E90" s="86" t="str">
        <x:f>IF($A90="","",IFERROR(XLOOKUP($A90,TasksTable[Task ID],TasksTable[Progress %],0),0))</x:f>
      </x:c>
      <x:c r="F90" s="10" t="str">
        <x:f>IF($A90="","",IFERROR(XLOOKUP($A90,TasksTable[Task ID],TasksTable[Schedule Health],""),""))</x:f>
      </x:c>
      <x:c r="G90" s="10" t="str">
        <x:f>IF($A90="","",IFERROR(XLOOKUP($A90,TasksTable[Task ID],TasksTable[Milestone],""),""))</x:f>
      </x:c>
      <x:c r="H90" s="90" t="str">
        <x:f>IF($A90="","",IF(AND($G90="Yes",H$2=XLOOKUP($A90,TasksTable[Task ID],TasksTable[Start Date],"")),"◆",""))</x:f>
      </x:c>
      <x:c r="I90" s="90" t="str">
        <x:f>IF($A90="","",IF(AND($G90="Yes",I$2=XLOOKUP($A90,TasksTable[Task ID],TasksTable[Start Date],"")),"◆",""))</x:f>
      </x:c>
      <x:c r="J90" s="90" t="str">
        <x:f>IF($A90="","",IF(AND($G90="Yes",J$2=XLOOKUP($A90,TasksTable[Task ID],TasksTable[Start Date],"")),"◆",""))</x:f>
      </x:c>
      <x:c r="K90" s="90" t="str">
        <x:f>IF($A90="","",IF(AND($G90="Yes",K$2=XLOOKUP($A90,TasksTable[Task ID],TasksTable[Start Date],"")),"◆",""))</x:f>
      </x:c>
      <x:c r="L90" s="90" t="str">
        <x:f>IF($A90="","",IF(AND($G90="Yes",L$2=XLOOKUP($A90,TasksTable[Task ID],TasksTable[Start Date],"")),"◆",""))</x:f>
      </x:c>
      <x:c r="M90" s="90" t="str">
        <x:f>IF($A90="","",IF(AND($G90="Yes",M$2=XLOOKUP($A90,TasksTable[Task ID],TasksTable[Start Date],"")),"◆",""))</x:f>
      </x:c>
      <x:c r="N90" s="90" t="str">
        <x:f>IF($A90="","",IF(AND($G90="Yes",N$2=XLOOKUP($A90,TasksTable[Task ID],TasksTable[Start Date],"")),"◆",""))</x:f>
      </x:c>
      <x:c r="O90" s="90" t="str">
        <x:f>IF($A90="","",IF(AND($G90="Yes",O$2=XLOOKUP($A90,TasksTable[Task ID],TasksTable[Start Date],"")),"◆",""))</x:f>
      </x:c>
      <x:c r="P90" s="90" t="str">
        <x:f>IF($A90="","",IF(AND($G90="Yes",P$2=XLOOKUP($A90,TasksTable[Task ID],TasksTable[Start Date],"")),"◆",""))</x:f>
      </x:c>
      <x:c r="Q90" s="90" t="str">
        <x:f>IF($A90="","",IF(AND($G90="Yes",Q$2=XLOOKUP($A90,TasksTable[Task ID],TasksTable[Start Date],"")),"◆",""))</x:f>
      </x:c>
      <x:c r="R90" s="90" t="str">
        <x:f>IF($A90="","",IF(AND($G90="Yes",R$2=XLOOKUP($A90,TasksTable[Task ID],TasksTable[Start Date],"")),"◆",""))</x:f>
      </x:c>
      <x:c r="S90" s="90" t="str">
        <x:f>IF($A90="","",IF(AND($G90="Yes",S$2=XLOOKUP($A90,TasksTable[Task ID],TasksTable[Start Date],"")),"◆",""))</x:f>
      </x:c>
      <x:c r="T90" s="90" t="str">
        <x:f>IF($A90="","",IF(AND($G90="Yes",T$2=XLOOKUP($A90,TasksTable[Task ID],TasksTable[Start Date],"")),"◆",""))</x:f>
      </x:c>
      <x:c r="U90" s="90" t="str">
        <x:f>IF($A90="","",IF(AND($G90="Yes",U$2=XLOOKUP($A90,TasksTable[Task ID],TasksTable[Start Date],"")),"◆",""))</x:f>
      </x:c>
      <x:c r="V90" s="90" t="str">
        <x:f>IF($A90="","",IF(AND($G90="Yes",V$2=XLOOKUP($A90,TasksTable[Task ID],TasksTable[Start Date],"")),"◆",""))</x:f>
      </x:c>
      <x:c r="W90" s="90" t="str">
        <x:f>IF($A90="","",IF(AND($G90="Yes",W$2=XLOOKUP($A90,TasksTable[Task ID],TasksTable[Start Date],"")),"◆",""))</x:f>
      </x:c>
      <x:c r="X90" s="90" t="str">
        <x:f>IF($A90="","",IF(AND($G90="Yes",X$2=XLOOKUP($A90,TasksTable[Task ID],TasksTable[Start Date],"")),"◆",""))</x:f>
      </x:c>
      <x:c r="Y90" s="90" t="str">
        <x:f>IF($A90="","",IF(AND($G90="Yes",Y$2=XLOOKUP($A90,TasksTable[Task ID],TasksTable[Start Date],"")),"◆",""))</x:f>
      </x:c>
      <x:c r="Z90" s="90" t="str">
        <x:f>IF($A90="","",IF(AND($G90="Yes",Z$2=XLOOKUP($A90,TasksTable[Task ID],TasksTable[Start Date],"")),"◆",""))</x:f>
      </x:c>
      <x:c r="AA90" s="90" t="str">
        <x:f>IF($A90="","",IF(AND($G90="Yes",AA$2=XLOOKUP($A90,TasksTable[Task ID],TasksTable[Start Date],"")),"◆",""))</x:f>
      </x:c>
      <x:c r="AB90" s="90" t="str">
        <x:f>IF($A90="","",IF(AND($G90="Yes",AB$2=XLOOKUP($A90,TasksTable[Task ID],TasksTable[Start Date],"")),"◆",""))</x:f>
      </x:c>
      <x:c r="AC90" s="90" t="str">
        <x:f>IF($A90="","",IF(AND($G90="Yes",AC$2=XLOOKUP($A90,TasksTable[Task ID],TasksTable[Start Date],"")),"◆",""))</x:f>
      </x:c>
      <x:c r="AD90" s="90" t="str">
        <x:f>IF($A90="","",IF(AND($G90="Yes",AD$2=XLOOKUP($A90,TasksTable[Task ID],TasksTable[Start Date],"")),"◆",""))</x:f>
      </x:c>
      <x:c r="AE90" s="90" t="str">
        <x:f>IF($A90="","",IF(AND($G90="Yes",AE$2=XLOOKUP($A90,TasksTable[Task ID],TasksTable[Start Date],"")),"◆",""))</x:f>
      </x:c>
      <x:c r="AF90" s="90" t="str">
        <x:f>IF($A90="","",IF(AND($G90="Yes",AF$2=XLOOKUP($A90,TasksTable[Task ID],TasksTable[Start Date],"")),"◆",""))</x:f>
      </x:c>
      <x:c r="AG90" s="90" t="str">
        <x:f>IF($A90="","",IF(AND($G90="Yes",AG$2=XLOOKUP($A90,TasksTable[Task ID],TasksTable[Start Date],"")),"◆",""))</x:f>
      </x:c>
      <x:c r="AH90" s="90" t="str">
        <x:f>IF($A90="","",IF(AND($G90="Yes",AH$2=XLOOKUP($A90,TasksTable[Task ID],TasksTable[Start Date],"")),"◆",""))</x:f>
      </x:c>
      <x:c r="AI90" s="90" t="str">
        <x:f>IF($A90="","",IF(AND($G90="Yes",AI$2=XLOOKUP($A90,TasksTable[Task ID],TasksTable[Start Date],"")),"◆",""))</x:f>
      </x:c>
      <x:c r="AJ90" s="90" t="str">
        <x:f>IF($A90="","",IF(AND($G90="Yes",AJ$2=XLOOKUP($A90,TasksTable[Task ID],TasksTable[Start Date],"")),"◆",""))</x:f>
      </x:c>
      <x:c r="AK90" s="90" t="str">
        <x:f>IF($A90="","",IF(AND($G90="Yes",AK$2=XLOOKUP($A90,TasksTable[Task ID],TasksTable[Start Date],"")),"◆",""))</x:f>
      </x:c>
      <x:c r="AL90" s="90" t="str">
        <x:f>IF($A90="","",IF(AND($G90="Yes",AL$2=XLOOKUP($A90,TasksTable[Task ID],TasksTable[Start Date],"")),"◆",""))</x:f>
      </x:c>
      <x:c r="AM90" s="90" t="str">
        <x:f>IF($A90="","",IF(AND($G90="Yes",AM$2=XLOOKUP($A90,TasksTable[Task ID],TasksTable[Start Date],"")),"◆",""))</x:f>
      </x:c>
      <x:c r="AN90" s="90" t="str">
        <x:f>IF($A90="","",IF(AND($G90="Yes",AN$2=XLOOKUP($A90,TasksTable[Task ID],TasksTable[Start Date],"")),"◆",""))</x:f>
      </x:c>
      <x:c r="AO90" s="90" t="str">
        <x:f>IF($A90="","",IF(AND($G90="Yes",AO$2=XLOOKUP($A90,TasksTable[Task ID],TasksTable[Start Date],"")),"◆",""))</x:f>
      </x:c>
    </x:row>
    <x:row r="91">
      <x:c r="A91" s="10" t="str">
        <x:f>IFERROR(INDEX(TasksTable[Task ID],ROWS($A$4:A91)),"")</x:f>
      </x:c>
      <x:c r="B91" s="10" t="str">
        <x:f>IF($A91="","",IFERROR(XLOOKUP($A91,TasksTable[Task ID],TasksTable[Phase],""),""))</x:f>
      </x:c>
      <x:c r="C91" s="10" t="str">
        <x:f>IF($A91="","",IFERROR(XLOOKUP($A91,TasksTable[Task ID],TasksTable[Task Name],""),""))</x:f>
      </x:c>
      <x:c r="D91" s="10" t="str">
        <x:f>IF($A91="","",IFERROR(XLOOKUP($A91,TasksTable[Task ID],TasksTable[Status],""),""))</x:f>
      </x:c>
      <x:c r="E91" s="86" t="str">
        <x:f>IF($A91="","",IFERROR(XLOOKUP($A91,TasksTable[Task ID],TasksTable[Progress %],0),0))</x:f>
      </x:c>
      <x:c r="F91" s="10" t="str">
        <x:f>IF($A91="","",IFERROR(XLOOKUP($A91,TasksTable[Task ID],TasksTable[Schedule Health],""),""))</x:f>
      </x:c>
      <x:c r="G91" s="10" t="str">
        <x:f>IF($A91="","",IFERROR(XLOOKUP($A91,TasksTable[Task ID],TasksTable[Milestone],""),""))</x:f>
      </x:c>
      <x:c r="H91" s="90" t="str">
        <x:f>IF($A91="","",IF(AND($G91="Yes",H$2=XLOOKUP($A91,TasksTable[Task ID],TasksTable[Start Date],"")),"◆",""))</x:f>
      </x:c>
      <x:c r="I91" s="90" t="str">
        <x:f>IF($A91="","",IF(AND($G91="Yes",I$2=XLOOKUP($A91,TasksTable[Task ID],TasksTable[Start Date],"")),"◆",""))</x:f>
      </x:c>
      <x:c r="J91" s="90" t="str">
        <x:f>IF($A91="","",IF(AND($G91="Yes",J$2=XLOOKUP($A91,TasksTable[Task ID],TasksTable[Start Date],"")),"◆",""))</x:f>
      </x:c>
      <x:c r="K91" s="90" t="str">
        <x:f>IF($A91="","",IF(AND($G91="Yes",K$2=XLOOKUP($A91,TasksTable[Task ID],TasksTable[Start Date],"")),"◆",""))</x:f>
      </x:c>
      <x:c r="L91" s="90" t="str">
        <x:f>IF($A91="","",IF(AND($G91="Yes",L$2=XLOOKUP($A91,TasksTable[Task ID],TasksTable[Start Date],"")),"◆",""))</x:f>
      </x:c>
      <x:c r="M91" s="90" t="str">
        <x:f>IF($A91="","",IF(AND($G91="Yes",M$2=XLOOKUP($A91,TasksTable[Task ID],TasksTable[Start Date],"")),"◆",""))</x:f>
      </x:c>
      <x:c r="N91" s="90" t="str">
        <x:f>IF($A91="","",IF(AND($G91="Yes",N$2=XLOOKUP($A91,TasksTable[Task ID],TasksTable[Start Date],"")),"◆",""))</x:f>
      </x:c>
      <x:c r="O91" s="90" t="str">
        <x:f>IF($A91="","",IF(AND($G91="Yes",O$2=XLOOKUP($A91,TasksTable[Task ID],TasksTable[Start Date],"")),"◆",""))</x:f>
      </x:c>
      <x:c r="P91" s="90" t="str">
        <x:f>IF($A91="","",IF(AND($G91="Yes",P$2=XLOOKUP($A91,TasksTable[Task ID],TasksTable[Start Date],"")),"◆",""))</x:f>
      </x:c>
      <x:c r="Q91" s="90" t="str">
        <x:f>IF($A91="","",IF(AND($G91="Yes",Q$2=XLOOKUP($A91,TasksTable[Task ID],TasksTable[Start Date],"")),"◆",""))</x:f>
      </x:c>
      <x:c r="R91" s="90" t="str">
        <x:f>IF($A91="","",IF(AND($G91="Yes",R$2=XLOOKUP($A91,TasksTable[Task ID],TasksTable[Start Date],"")),"◆",""))</x:f>
      </x:c>
      <x:c r="S91" s="90" t="str">
        <x:f>IF($A91="","",IF(AND($G91="Yes",S$2=XLOOKUP($A91,TasksTable[Task ID],TasksTable[Start Date],"")),"◆",""))</x:f>
      </x:c>
      <x:c r="T91" s="90" t="str">
        <x:f>IF($A91="","",IF(AND($G91="Yes",T$2=XLOOKUP($A91,TasksTable[Task ID],TasksTable[Start Date],"")),"◆",""))</x:f>
      </x:c>
      <x:c r="U91" s="90" t="str">
        <x:f>IF($A91="","",IF(AND($G91="Yes",U$2=XLOOKUP($A91,TasksTable[Task ID],TasksTable[Start Date],"")),"◆",""))</x:f>
      </x:c>
      <x:c r="V91" s="90" t="str">
        <x:f>IF($A91="","",IF(AND($G91="Yes",V$2=XLOOKUP($A91,TasksTable[Task ID],TasksTable[Start Date],"")),"◆",""))</x:f>
      </x:c>
      <x:c r="W91" s="90" t="str">
        <x:f>IF($A91="","",IF(AND($G91="Yes",W$2=XLOOKUP($A91,TasksTable[Task ID],TasksTable[Start Date],"")),"◆",""))</x:f>
      </x:c>
      <x:c r="X91" s="90" t="str">
        <x:f>IF($A91="","",IF(AND($G91="Yes",X$2=XLOOKUP($A91,TasksTable[Task ID],TasksTable[Start Date],"")),"◆",""))</x:f>
      </x:c>
      <x:c r="Y91" s="90" t="str">
        <x:f>IF($A91="","",IF(AND($G91="Yes",Y$2=XLOOKUP($A91,TasksTable[Task ID],TasksTable[Start Date],"")),"◆",""))</x:f>
      </x:c>
      <x:c r="Z91" s="90" t="str">
        <x:f>IF($A91="","",IF(AND($G91="Yes",Z$2=XLOOKUP($A91,TasksTable[Task ID],TasksTable[Start Date],"")),"◆",""))</x:f>
      </x:c>
      <x:c r="AA91" s="90" t="str">
        <x:f>IF($A91="","",IF(AND($G91="Yes",AA$2=XLOOKUP($A91,TasksTable[Task ID],TasksTable[Start Date],"")),"◆",""))</x:f>
      </x:c>
      <x:c r="AB91" s="90" t="str">
        <x:f>IF($A91="","",IF(AND($G91="Yes",AB$2=XLOOKUP($A91,TasksTable[Task ID],TasksTable[Start Date],"")),"◆",""))</x:f>
      </x:c>
      <x:c r="AC91" s="90" t="str">
        <x:f>IF($A91="","",IF(AND($G91="Yes",AC$2=XLOOKUP($A91,TasksTable[Task ID],TasksTable[Start Date],"")),"◆",""))</x:f>
      </x:c>
      <x:c r="AD91" s="90" t="str">
        <x:f>IF($A91="","",IF(AND($G91="Yes",AD$2=XLOOKUP($A91,TasksTable[Task ID],TasksTable[Start Date],"")),"◆",""))</x:f>
      </x:c>
      <x:c r="AE91" s="90" t="str">
        <x:f>IF($A91="","",IF(AND($G91="Yes",AE$2=XLOOKUP($A91,TasksTable[Task ID],TasksTable[Start Date],"")),"◆",""))</x:f>
      </x:c>
      <x:c r="AF91" s="90" t="str">
        <x:f>IF($A91="","",IF(AND($G91="Yes",AF$2=XLOOKUP($A91,TasksTable[Task ID],TasksTable[Start Date],"")),"◆",""))</x:f>
      </x:c>
      <x:c r="AG91" s="90" t="str">
        <x:f>IF($A91="","",IF(AND($G91="Yes",AG$2=XLOOKUP($A91,TasksTable[Task ID],TasksTable[Start Date],"")),"◆",""))</x:f>
      </x:c>
      <x:c r="AH91" s="90" t="str">
        <x:f>IF($A91="","",IF(AND($G91="Yes",AH$2=XLOOKUP($A91,TasksTable[Task ID],TasksTable[Start Date],"")),"◆",""))</x:f>
      </x:c>
      <x:c r="AI91" s="90" t="str">
        <x:f>IF($A91="","",IF(AND($G91="Yes",AI$2=XLOOKUP($A91,TasksTable[Task ID],TasksTable[Start Date],"")),"◆",""))</x:f>
      </x:c>
      <x:c r="AJ91" s="90" t="str">
        <x:f>IF($A91="","",IF(AND($G91="Yes",AJ$2=XLOOKUP($A91,TasksTable[Task ID],TasksTable[Start Date],"")),"◆",""))</x:f>
      </x:c>
      <x:c r="AK91" s="90" t="str">
        <x:f>IF($A91="","",IF(AND($G91="Yes",AK$2=XLOOKUP($A91,TasksTable[Task ID],TasksTable[Start Date],"")),"◆",""))</x:f>
      </x:c>
      <x:c r="AL91" s="90" t="str">
        <x:f>IF($A91="","",IF(AND($G91="Yes",AL$2=XLOOKUP($A91,TasksTable[Task ID],TasksTable[Start Date],"")),"◆",""))</x:f>
      </x:c>
      <x:c r="AM91" s="90" t="str">
        <x:f>IF($A91="","",IF(AND($G91="Yes",AM$2=XLOOKUP($A91,TasksTable[Task ID],TasksTable[Start Date],"")),"◆",""))</x:f>
      </x:c>
      <x:c r="AN91" s="90" t="str">
        <x:f>IF($A91="","",IF(AND($G91="Yes",AN$2=XLOOKUP($A91,TasksTable[Task ID],TasksTable[Start Date],"")),"◆",""))</x:f>
      </x:c>
      <x:c r="AO91" s="90" t="str">
        <x:f>IF($A91="","",IF(AND($G91="Yes",AO$2=XLOOKUP($A91,TasksTable[Task ID],TasksTable[Start Date],"")),"◆",""))</x:f>
      </x:c>
    </x:row>
    <x:row r="92">
      <x:c r="A92" s="10" t="str">
        <x:f>IFERROR(INDEX(TasksTable[Task ID],ROWS($A$4:A92)),"")</x:f>
      </x:c>
      <x:c r="B92" s="10" t="str">
        <x:f>IF($A92="","",IFERROR(XLOOKUP($A92,TasksTable[Task ID],TasksTable[Phase],""),""))</x:f>
      </x:c>
      <x:c r="C92" s="10" t="str">
        <x:f>IF($A92="","",IFERROR(XLOOKUP($A92,TasksTable[Task ID],TasksTable[Task Name],""),""))</x:f>
      </x:c>
      <x:c r="D92" s="10" t="str">
        <x:f>IF($A92="","",IFERROR(XLOOKUP($A92,TasksTable[Task ID],TasksTable[Status],""),""))</x:f>
      </x:c>
      <x:c r="E92" s="86" t="str">
        <x:f>IF($A92="","",IFERROR(XLOOKUP($A92,TasksTable[Task ID],TasksTable[Progress %],0),0))</x:f>
      </x:c>
      <x:c r="F92" s="10" t="str">
        <x:f>IF($A92="","",IFERROR(XLOOKUP($A92,TasksTable[Task ID],TasksTable[Schedule Health],""),""))</x:f>
      </x:c>
      <x:c r="G92" s="10" t="str">
        <x:f>IF($A92="","",IFERROR(XLOOKUP($A92,TasksTable[Task ID],TasksTable[Milestone],""),""))</x:f>
      </x:c>
      <x:c r="H92" s="90" t="str">
        <x:f>IF($A92="","",IF(AND($G92="Yes",H$2=XLOOKUP($A92,TasksTable[Task ID],TasksTable[Start Date],"")),"◆",""))</x:f>
      </x:c>
      <x:c r="I92" s="90" t="str">
        <x:f>IF($A92="","",IF(AND($G92="Yes",I$2=XLOOKUP($A92,TasksTable[Task ID],TasksTable[Start Date],"")),"◆",""))</x:f>
      </x:c>
      <x:c r="J92" s="90" t="str">
        <x:f>IF($A92="","",IF(AND($G92="Yes",J$2=XLOOKUP($A92,TasksTable[Task ID],TasksTable[Start Date],"")),"◆",""))</x:f>
      </x:c>
      <x:c r="K92" s="90" t="str">
        <x:f>IF($A92="","",IF(AND($G92="Yes",K$2=XLOOKUP($A92,TasksTable[Task ID],TasksTable[Start Date],"")),"◆",""))</x:f>
      </x:c>
      <x:c r="L92" s="90" t="str">
        <x:f>IF($A92="","",IF(AND($G92="Yes",L$2=XLOOKUP($A92,TasksTable[Task ID],TasksTable[Start Date],"")),"◆",""))</x:f>
      </x:c>
      <x:c r="M92" s="90" t="str">
        <x:f>IF($A92="","",IF(AND($G92="Yes",M$2=XLOOKUP($A92,TasksTable[Task ID],TasksTable[Start Date],"")),"◆",""))</x:f>
      </x:c>
      <x:c r="N92" s="90" t="str">
        <x:f>IF($A92="","",IF(AND($G92="Yes",N$2=XLOOKUP($A92,TasksTable[Task ID],TasksTable[Start Date],"")),"◆",""))</x:f>
      </x:c>
      <x:c r="O92" s="90" t="str">
        <x:f>IF($A92="","",IF(AND($G92="Yes",O$2=XLOOKUP($A92,TasksTable[Task ID],TasksTable[Start Date],"")),"◆",""))</x:f>
      </x:c>
      <x:c r="P92" s="90" t="str">
        <x:f>IF($A92="","",IF(AND($G92="Yes",P$2=XLOOKUP($A92,TasksTable[Task ID],TasksTable[Start Date],"")),"◆",""))</x:f>
      </x:c>
      <x:c r="Q92" s="90" t="str">
        <x:f>IF($A92="","",IF(AND($G92="Yes",Q$2=XLOOKUP($A92,TasksTable[Task ID],TasksTable[Start Date],"")),"◆",""))</x:f>
      </x:c>
      <x:c r="R92" s="90" t="str">
        <x:f>IF($A92="","",IF(AND($G92="Yes",R$2=XLOOKUP($A92,TasksTable[Task ID],TasksTable[Start Date],"")),"◆",""))</x:f>
      </x:c>
      <x:c r="S92" s="90" t="str">
        <x:f>IF($A92="","",IF(AND($G92="Yes",S$2=XLOOKUP($A92,TasksTable[Task ID],TasksTable[Start Date],"")),"◆",""))</x:f>
      </x:c>
      <x:c r="T92" s="90" t="str">
        <x:f>IF($A92="","",IF(AND($G92="Yes",T$2=XLOOKUP($A92,TasksTable[Task ID],TasksTable[Start Date],"")),"◆",""))</x:f>
      </x:c>
      <x:c r="U92" s="90" t="str">
        <x:f>IF($A92="","",IF(AND($G92="Yes",U$2=XLOOKUP($A92,TasksTable[Task ID],TasksTable[Start Date],"")),"◆",""))</x:f>
      </x:c>
      <x:c r="V92" s="90" t="str">
        <x:f>IF($A92="","",IF(AND($G92="Yes",V$2=XLOOKUP($A92,TasksTable[Task ID],TasksTable[Start Date],"")),"◆",""))</x:f>
      </x:c>
      <x:c r="W92" s="90" t="str">
        <x:f>IF($A92="","",IF(AND($G92="Yes",W$2=XLOOKUP($A92,TasksTable[Task ID],TasksTable[Start Date],"")),"◆",""))</x:f>
      </x:c>
      <x:c r="X92" s="90" t="str">
        <x:f>IF($A92="","",IF(AND($G92="Yes",X$2=XLOOKUP($A92,TasksTable[Task ID],TasksTable[Start Date],"")),"◆",""))</x:f>
      </x:c>
      <x:c r="Y92" s="90" t="str">
        <x:f>IF($A92="","",IF(AND($G92="Yes",Y$2=XLOOKUP($A92,TasksTable[Task ID],TasksTable[Start Date],"")),"◆",""))</x:f>
      </x:c>
      <x:c r="Z92" s="90" t="str">
        <x:f>IF($A92="","",IF(AND($G92="Yes",Z$2=XLOOKUP($A92,TasksTable[Task ID],TasksTable[Start Date],"")),"◆",""))</x:f>
      </x:c>
      <x:c r="AA92" s="90" t="str">
        <x:f>IF($A92="","",IF(AND($G92="Yes",AA$2=XLOOKUP($A92,TasksTable[Task ID],TasksTable[Start Date],"")),"◆",""))</x:f>
      </x:c>
      <x:c r="AB92" s="90" t="str">
        <x:f>IF($A92="","",IF(AND($G92="Yes",AB$2=XLOOKUP($A92,TasksTable[Task ID],TasksTable[Start Date],"")),"◆",""))</x:f>
      </x:c>
      <x:c r="AC92" s="90" t="str">
        <x:f>IF($A92="","",IF(AND($G92="Yes",AC$2=XLOOKUP($A92,TasksTable[Task ID],TasksTable[Start Date],"")),"◆",""))</x:f>
      </x:c>
      <x:c r="AD92" s="90" t="str">
        <x:f>IF($A92="","",IF(AND($G92="Yes",AD$2=XLOOKUP($A92,TasksTable[Task ID],TasksTable[Start Date],"")),"◆",""))</x:f>
      </x:c>
      <x:c r="AE92" s="90" t="str">
        <x:f>IF($A92="","",IF(AND($G92="Yes",AE$2=XLOOKUP($A92,TasksTable[Task ID],TasksTable[Start Date],"")),"◆",""))</x:f>
      </x:c>
      <x:c r="AF92" s="90" t="str">
        <x:f>IF($A92="","",IF(AND($G92="Yes",AF$2=XLOOKUP($A92,TasksTable[Task ID],TasksTable[Start Date],"")),"◆",""))</x:f>
      </x:c>
      <x:c r="AG92" s="90" t="str">
        <x:f>IF($A92="","",IF(AND($G92="Yes",AG$2=XLOOKUP($A92,TasksTable[Task ID],TasksTable[Start Date],"")),"◆",""))</x:f>
      </x:c>
      <x:c r="AH92" s="90" t="str">
        <x:f>IF($A92="","",IF(AND($G92="Yes",AH$2=XLOOKUP($A92,TasksTable[Task ID],TasksTable[Start Date],"")),"◆",""))</x:f>
      </x:c>
      <x:c r="AI92" s="90" t="str">
        <x:f>IF($A92="","",IF(AND($G92="Yes",AI$2=XLOOKUP($A92,TasksTable[Task ID],TasksTable[Start Date],"")),"◆",""))</x:f>
      </x:c>
      <x:c r="AJ92" s="90" t="str">
        <x:f>IF($A92="","",IF(AND($G92="Yes",AJ$2=XLOOKUP($A92,TasksTable[Task ID],TasksTable[Start Date],"")),"◆",""))</x:f>
      </x:c>
      <x:c r="AK92" s="90" t="str">
        <x:f>IF($A92="","",IF(AND($G92="Yes",AK$2=XLOOKUP($A92,TasksTable[Task ID],TasksTable[Start Date],"")),"◆",""))</x:f>
      </x:c>
      <x:c r="AL92" s="90" t="str">
        <x:f>IF($A92="","",IF(AND($G92="Yes",AL$2=XLOOKUP($A92,TasksTable[Task ID],TasksTable[Start Date],"")),"◆",""))</x:f>
      </x:c>
      <x:c r="AM92" s="90" t="str">
        <x:f>IF($A92="","",IF(AND($G92="Yes",AM$2=XLOOKUP($A92,TasksTable[Task ID],TasksTable[Start Date],"")),"◆",""))</x:f>
      </x:c>
      <x:c r="AN92" s="90" t="str">
        <x:f>IF($A92="","",IF(AND($G92="Yes",AN$2=XLOOKUP($A92,TasksTable[Task ID],TasksTable[Start Date],"")),"◆",""))</x:f>
      </x:c>
      <x:c r="AO92" s="90" t="str">
        <x:f>IF($A92="","",IF(AND($G92="Yes",AO$2=XLOOKUP($A92,TasksTable[Task ID],TasksTable[Start Date],"")),"◆",""))</x:f>
      </x:c>
    </x:row>
    <x:row r="93">
      <x:c r="A93" s="10" t="str">
        <x:f>IFERROR(INDEX(TasksTable[Task ID],ROWS($A$4:A93)),"")</x:f>
      </x:c>
      <x:c r="B93" s="10" t="str">
        <x:f>IF($A93="","",IFERROR(XLOOKUP($A93,TasksTable[Task ID],TasksTable[Phase],""),""))</x:f>
      </x:c>
      <x:c r="C93" s="10" t="str">
        <x:f>IF($A93="","",IFERROR(XLOOKUP($A93,TasksTable[Task ID],TasksTable[Task Name],""),""))</x:f>
      </x:c>
      <x:c r="D93" s="10" t="str">
        <x:f>IF($A93="","",IFERROR(XLOOKUP($A93,TasksTable[Task ID],TasksTable[Status],""),""))</x:f>
      </x:c>
      <x:c r="E93" s="86" t="str">
        <x:f>IF($A93="","",IFERROR(XLOOKUP($A93,TasksTable[Task ID],TasksTable[Progress %],0),0))</x:f>
      </x:c>
      <x:c r="F93" s="10" t="str">
        <x:f>IF($A93="","",IFERROR(XLOOKUP($A93,TasksTable[Task ID],TasksTable[Schedule Health],""),""))</x:f>
      </x:c>
      <x:c r="G93" s="10" t="str">
        <x:f>IF($A93="","",IFERROR(XLOOKUP($A93,TasksTable[Task ID],TasksTable[Milestone],""),""))</x:f>
      </x:c>
      <x:c r="H93" s="90" t="str">
        <x:f>IF($A93="","",IF(AND($G93="Yes",H$2=XLOOKUP($A93,TasksTable[Task ID],TasksTable[Start Date],"")),"◆",""))</x:f>
      </x:c>
      <x:c r="I93" s="90" t="str">
        <x:f>IF($A93="","",IF(AND($G93="Yes",I$2=XLOOKUP($A93,TasksTable[Task ID],TasksTable[Start Date],"")),"◆",""))</x:f>
      </x:c>
      <x:c r="J93" s="90" t="str">
        <x:f>IF($A93="","",IF(AND($G93="Yes",J$2=XLOOKUP($A93,TasksTable[Task ID],TasksTable[Start Date],"")),"◆",""))</x:f>
      </x:c>
      <x:c r="K93" s="90" t="str">
        <x:f>IF($A93="","",IF(AND($G93="Yes",K$2=XLOOKUP($A93,TasksTable[Task ID],TasksTable[Start Date],"")),"◆",""))</x:f>
      </x:c>
      <x:c r="L93" s="90" t="str">
        <x:f>IF($A93="","",IF(AND($G93="Yes",L$2=XLOOKUP($A93,TasksTable[Task ID],TasksTable[Start Date],"")),"◆",""))</x:f>
      </x:c>
      <x:c r="M93" s="90" t="str">
        <x:f>IF($A93="","",IF(AND($G93="Yes",M$2=XLOOKUP($A93,TasksTable[Task ID],TasksTable[Start Date],"")),"◆",""))</x:f>
      </x:c>
      <x:c r="N93" s="90" t="str">
        <x:f>IF($A93="","",IF(AND($G93="Yes",N$2=XLOOKUP($A93,TasksTable[Task ID],TasksTable[Start Date],"")),"◆",""))</x:f>
      </x:c>
      <x:c r="O93" s="90" t="str">
        <x:f>IF($A93="","",IF(AND($G93="Yes",O$2=XLOOKUP($A93,TasksTable[Task ID],TasksTable[Start Date],"")),"◆",""))</x:f>
      </x:c>
      <x:c r="P93" s="90" t="str">
        <x:f>IF($A93="","",IF(AND($G93="Yes",P$2=XLOOKUP($A93,TasksTable[Task ID],TasksTable[Start Date],"")),"◆",""))</x:f>
      </x:c>
      <x:c r="Q93" s="90" t="str">
        <x:f>IF($A93="","",IF(AND($G93="Yes",Q$2=XLOOKUP($A93,TasksTable[Task ID],TasksTable[Start Date],"")),"◆",""))</x:f>
      </x:c>
      <x:c r="R93" s="90" t="str">
        <x:f>IF($A93="","",IF(AND($G93="Yes",R$2=XLOOKUP($A93,TasksTable[Task ID],TasksTable[Start Date],"")),"◆",""))</x:f>
      </x:c>
      <x:c r="S93" s="90" t="str">
        <x:f>IF($A93="","",IF(AND($G93="Yes",S$2=XLOOKUP($A93,TasksTable[Task ID],TasksTable[Start Date],"")),"◆",""))</x:f>
      </x:c>
      <x:c r="T93" s="90" t="str">
        <x:f>IF($A93="","",IF(AND($G93="Yes",T$2=XLOOKUP($A93,TasksTable[Task ID],TasksTable[Start Date],"")),"◆",""))</x:f>
      </x:c>
      <x:c r="U93" s="90" t="str">
        <x:f>IF($A93="","",IF(AND($G93="Yes",U$2=XLOOKUP($A93,TasksTable[Task ID],TasksTable[Start Date],"")),"◆",""))</x:f>
      </x:c>
      <x:c r="V93" s="90" t="str">
        <x:f>IF($A93="","",IF(AND($G93="Yes",V$2=XLOOKUP($A93,TasksTable[Task ID],TasksTable[Start Date],"")),"◆",""))</x:f>
      </x:c>
      <x:c r="W93" s="90" t="str">
        <x:f>IF($A93="","",IF(AND($G93="Yes",W$2=XLOOKUP($A93,TasksTable[Task ID],TasksTable[Start Date],"")),"◆",""))</x:f>
      </x:c>
      <x:c r="X93" s="90" t="str">
        <x:f>IF($A93="","",IF(AND($G93="Yes",X$2=XLOOKUP($A93,TasksTable[Task ID],TasksTable[Start Date],"")),"◆",""))</x:f>
      </x:c>
      <x:c r="Y93" s="90" t="str">
        <x:f>IF($A93="","",IF(AND($G93="Yes",Y$2=XLOOKUP($A93,TasksTable[Task ID],TasksTable[Start Date],"")),"◆",""))</x:f>
      </x:c>
      <x:c r="Z93" s="90" t="str">
        <x:f>IF($A93="","",IF(AND($G93="Yes",Z$2=XLOOKUP($A93,TasksTable[Task ID],TasksTable[Start Date],"")),"◆",""))</x:f>
      </x:c>
      <x:c r="AA93" s="90" t="str">
        <x:f>IF($A93="","",IF(AND($G93="Yes",AA$2=XLOOKUP($A93,TasksTable[Task ID],TasksTable[Start Date],"")),"◆",""))</x:f>
      </x:c>
      <x:c r="AB93" s="90" t="str">
        <x:f>IF($A93="","",IF(AND($G93="Yes",AB$2=XLOOKUP($A93,TasksTable[Task ID],TasksTable[Start Date],"")),"◆",""))</x:f>
      </x:c>
      <x:c r="AC93" s="90" t="str">
        <x:f>IF($A93="","",IF(AND($G93="Yes",AC$2=XLOOKUP($A93,TasksTable[Task ID],TasksTable[Start Date],"")),"◆",""))</x:f>
      </x:c>
      <x:c r="AD93" s="90" t="str">
        <x:f>IF($A93="","",IF(AND($G93="Yes",AD$2=XLOOKUP($A93,TasksTable[Task ID],TasksTable[Start Date],"")),"◆",""))</x:f>
      </x:c>
      <x:c r="AE93" s="90" t="str">
        <x:f>IF($A93="","",IF(AND($G93="Yes",AE$2=XLOOKUP($A93,TasksTable[Task ID],TasksTable[Start Date],"")),"◆",""))</x:f>
      </x:c>
      <x:c r="AF93" s="90" t="str">
        <x:f>IF($A93="","",IF(AND($G93="Yes",AF$2=XLOOKUP($A93,TasksTable[Task ID],TasksTable[Start Date],"")),"◆",""))</x:f>
      </x:c>
      <x:c r="AG93" s="90" t="str">
        <x:f>IF($A93="","",IF(AND($G93="Yes",AG$2=XLOOKUP($A93,TasksTable[Task ID],TasksTable[Start Date],"")),"◆",""))</x:f>
      </x:c>
      <x:c r="AH93" s="90" t="str">
        <x:f>IF($A93="","",IF(AND($G93="Yes",AH$2=XLOOKUP($A93,TasksTable[Task ID],TasksTable[Start Date],"")),"◆",""))</x:f>
      </x:c>
      <x:c r="AI93" s="90" t="str">
        <x:f>IF($A93="","",IF(AND($G93="Yes",AI$2=XLOOKUP($A93,TasksTable[Task ID],TasksTable[Start Date],"")),"◆",""))</x:f>
      </x:c>
      <x:c r="AJ93" s="90" t="str">
        <x:f>IF($A93="","",IF(AND($G93="Yes",AJ$2=XLOOKUP($A93,TasksTable[Task ID],TasksTable[Start Date],"")),"◆",""))</x:f>
      </x:c>
      <x:c r="AK93" s="90" t="str">
        <x:f>IF($A93="","",IF(AND($G93="Yes",AK$2=XLOOKUP($A93,TasksTable[Task ID],TasksTable[Start Date],"")),"◆",""))</x:f>
      </x:c>
      <x:c r="AL93" s="90" t="str">
        <x:f>IF($A93="","",IF(AND($G93="Yes",AL$2=XLOOKUP($A93,TasksTable[Task ID],TasksTable[Start Date],"")),"◆",""))</x:f>
      </x:c>
      <x:c r="AM93" s="90" t="str">
        <x:f>IF($A93="","",IF(AND($G93="Yes",AM$2=XLOOKUP($A93,TasksTable[Task ID],TasksTable[Start Date],"")),"◆",""))</x:f>
      </x:c>
      <x:c r="AN93" s="90" t="str">
        <x:f>IF($A93="","",IF(AND($G93="Yes",AN$2=XLOOKUP($A93,TasksTable[Task ID],TasksTable[Start Date],"")),"◆",""))</x:f>
      </x:c>
      <x:c r="AO93" s="90" t="str">
        <x:f>IF($A93="","",IF(AND($G93="Yes",AO$2=XLOOKUP($A93,TasksTable[Task ID],TasksTable[Start Date],"")),"◆",""))</x:f>
      </x:c>
    </x:row>
    <x:row r="94">
      <x:c r="A94" s="10" t="str">
        <x:f>IFERROR(INDEX(TasksTable[Task ID],ROWS($A$4:A94)),"")</x:f>
      </x:c>
      <x:c r="B94" s="10" t="str">
        <x:f>IF($A94="","",IFERROR(XLOOKUP($A94,TasksTable[Task ID],TasksTable[Phase],""),""))</x:f>
      </x:c>
      <x:c r="C94" s="10" t="str">
        <x:f>IF($A94="","",IFERROR(XLOOKUP($A94,TasksTable[Task ID],TasksTable[Task Name],""),""))</x:f>
      </x:c>
      <x:c r="D94" s="10" t="str">
        <x:f>IF($A94="","",IFERROR(XLOOKUP($A94,TasksTable[Task ID],TasksTable[Status],""),""))</x:f>
      </x:c>
      <x:c r="E94" s="86" t="str">
        <x:f>IF($A94="","",IFERROR(XLOOKUP($A94,TasksTable[Task ID],TasksTable[Progress %],0),0))</x:f>
      </x:c>
      <x:c r="F94" s="10" t="str">
        <x:f>IF($A94="","",IFERROR(XLOOKUP($A94,TasksTable[Task ID],TasksTable[Schedule Health],""),""))</x:f>
      </x:c>
      <x:c r="G94" s="10" t="str">
        <x:f>IF($A94="","",IFERROR(XLOOKUP($A94,TasksTable[Task ID],TasksTable[Milestone],""),""))</x:f>
      </x:c>
      <x:c r="H94" s="90" t="str">
        <x:f>IF($A94="","",IF(AND($G94="Yes",H$2=XLOOKUP($A94,TasksTable[Task ID],TasksTable[Start Date],"")),"◆",""))</x:f>
      </x:c>
      <x:c r="I94" s="90" t="str">
        <x:f>IF($A94="","",IF(AND($G94="Yes",I$2=XLOOKUP($A94,TasksTable[Task ID],TasksTable[Start Date],"")),"◆",""))</x:f>
      </x:c>
      <x:c r="J94" s="90" t="str">
        <x:f>IF($A94="","",IF(AND($G94="Yes",J$2=XLOOKUP($A94,TasksTable[Task ID],TasksTable[Start Date],"")),"◆",""))</x:f>
      </x:c>
      <x:c r="K94" s="90" t="str">
        <x:f>IF($A94="","",IF(AND($G94="Yes",K$2=XLOOKUP($A94,TasksTable[Task ID],TasksTable[Start Date],"")),"◆",""))</x:f>
      </x:c>
      <x:c r="L94" s="90" t="str">
        <x:f>IF($A94="","",IF(AND($G94="Yes",L$2=XLOOKUP($A94,TasksTable[Task ID],TasksTable[Start Date],"")),"◆",""))</x:f>
      </x:c>
      <x:c r="M94" s="90" t="str">
        <x:f>IF($A94="","",IF(AND($G94="Yes",M$2=XLOOKUP($A94,TasksTable[Task ID],TasksTable[Start Date],"")),"◆",""))</x:f>
      </x:c>
      <x:c r="N94" s="90" t="str">
        <x:f>IF($A94="","",IF(AND($G94="Yes",N$2=XLOOKUP($A94,TasksTable[Task ID],TasksTable[Start Date],"")),"◆",""))</x:f>
      </x:c>
      <x:c r="O94" s="90" t="str">
        <x:f>IF($A94="","",IF(AND($G94="Yes",O$2=XLOOKUP($A94,TasksTable[Task ID],TasksTable[Start Date],"")),"◆",""))</x:f>
      </x:c>
      <x:c r="P94" s="90" t="str">
        <x:f>IF($A94="","",IF(AND($G94="Yes",P$2=XLOOKUP($A94,TasksTable[Task ID],TasksTable[Start Date],"")),"◆",""))</x:f>
      </x:c>
      <x:c r="Q94" s="90" t="str">
        <x:f>IF($A94="","",IF(AND($G94="Yes",Q$2=XLOOKUP($A94,TasksTable[Task ID],TasksTable[Start Date],"")),"◆",""))</x:f>
      </x:c>
      <x:c r="R94" s="90" t="str">
        <x:f>IF($A94="","",IF(AND($G94="Yes",R$2=XLOOKUP($A94,TasksTable[Task ID],TasksTable[Start Date],"")),"◆",""))</x:f>
      </x:c>
      <x:c r="S94" s="90" t="str">
        <x:f>IF($A94="","",IF(AND($G94="Yes",S$2=XLOOKUP($A94,TasksTable[Task ID],TasksTable[Start Date],"")),"◆",""))</x:f>
      </x:c>
      <x:c r="T94" s="90" t="str">
        <x:f>IF($A94="","",IF(AND($G94="Yes",T$2=XLOOKUP($A94,TasksTable[Task ID],TasksTable[Start Date],"")),"◆",""))</x:f>
      </x:c>
      <x:c r="U94" s="90" t="str">
        <x:f>IF($A94="","",IF(AND($G94="Yes",U$2=XLOOKUP($A94,TasksTable[Task ID],TasksTable[Start Date],"")),"◆",""))</x:f>
      </x:c>
      <x:c r="V94" s="90" t="str">
        <x:f>IF($A94="","",IF(AND($G94="Yes",V$2=XLOOKUP($A94,TasksTable[Task ID],TasksTable[Start Date],"")),"◆",""))</x:f>
      </x:c>
      <x:c r="W94" s="90" t="str">
        <x:f>IF($A94="","",IF(AND($G94="Yes",W$2=XLOOKUP($A94,TasksTable[Task ID],TasksTable[Start Date],"")),"◆",""))</x:f>
      </x:c>
      <x:c r="X94" s="90" t="str">
        <x:f>IF($A94="","",IF(AND($G94="Yes",X$2=XLOOKUP($A94,TasksTable[Task ID],TasksTable[Start Date],"")),"◆",""))</x:f>
      </x:c>
      <x:c r="Y94" s="90" t="str">
        <x:f>IF($A94="","",IF(AND($G94="Yes",Y$2=XLOOKUP($A94,TasksTable[Task ID],TasksTable[Start Date],"")),"◆",""))</x:f>
      </x:c>
      <x:c r="Z94" s="90" t="str">
        <x:f>IF($A94="","",IF(AND($G94="Yes",Z$2=XLOOKUP($A94,TasksTable[Task ID],TasksTable[Start Date],"")),"◆",""))</x:f>
      </x:c>
      <x:c r="AA94" s="90" t="str">
        <x:f>IF($A94="","",IF(AND($G94="Yes",AA$2=XLOOKUP($A94,TasksTable[Task ID],TasksTable[Start Date],"")),"◆",""))</x:f>
      </x:c>
      <x:c r="AB94" s="90" t="str">
        <x:f>IF($A94="","",IF(AND($G94="Yes",AB$2=XLOOKUP($A94,TasksTable[Task ID],TasksTable[Start Date],"")),"◆",""))</x:f>
      </x:c>
      <x:c r="AC94" s="90" t="str">
        <x:f>IF($A94="","",IF(AND($G94="Yes",AC$2=XLOOKUP($A94,TasksTable[Task ID],TasksTable[Start Date],"")),"◆",""))</x:f>
      </x:c>
      <x:c r="AD94" s="90" t="str">
        <x:f>IF($A94="","",IF(AND($G94="Yes",AD$2=XLOOKUP($A94,TasksTable[Task ID],TasksTable[Start Date],"")),"◆",""))</x:f>
      </x:c>
      <x:c r="AE94" s="90" t="str">
        <x:f>IF($A94="","",IF(AND($G94="Yes",AE$2=XLOOKUP($A94,TasksTable[Task ID],TasksTable[Start Date],"")),"◆",""))</x:f>
      </x:c>
      <x:c r="AF94" s="90" t="str">
        <x:f>IF($A94="","",IF(AND($G94="Yes",AF$2=XLOOKUP($A94,TasksTable[Task ID],TasksTable[Start Date],"")),"◆",""))</x:f>
      </x:c>
      <x:c r="AG94" s="90" t="str">
        <x:f>IF($A94="","",IF(AND($G94="Yes",AG$2=XLOOKUP($A94,TasksTable[Task ID],TasksTable[Start Date],"")),"◆",""))</x:f>
      </x:c>
      <x:c r="AH94" s="90" t="str">
        <x:f>IF($A94="","",IF(AND($G94="Yes",AH$2=XLOOKUP($A94,TasksTable[Task ID],TasksTable[Start Date],"")),"◆",""))</x:f>
      </x:c>
      <x:c r="AI94" s="90" t="str">
        <x:f>IF($A94="","",IF(AND($G94="Yes",AI$2=XLOOKUP($A94,TasksTable[Task ID],TasksTable[Start Date],"")),"◆",""))</x:f>
      </x:c>
      <x:c r="AJ94" s="90" t="str">
        <x:f>IF($A94="","",IF(AND($G94="Yes",AJ$2=XLOOKUP($A94,TasksTable[Task ID],TasksTable[Start Date],"")),"◆",""))</x:f>
      </x:c>
      <x:c r="AK94" s="90" t="str">
        <x:f>IF($A94="","",IF(AND($G94="Yes",AK$2=XLOOKUP($A94,TasksTable[Task ID],TasksTable[Start Date],"")),"◆",""))</x:f>
      </x:c>
      <x:c r="AL94" s="90" t="str">
        <x:f>IF($A94="","",IF(AND($G94="Yes",AL$2=XLOOKUP($A94,TasksTable[Task ID],TasksTable[Start Date],"")),"◆",""))</x:f>
      </x:c>
      <x:c r="AM94" s="90" t="str">
        <x:f>IF($A94="","",IF(AND($G94="Yes",AM$2=XLOOKUP($A94,TasksTable[Task ID],TasksTable[Start Date],"")),"◆",""))</x:f>
      </x:c>
      <x:c r="AN94" s="90" t="str">
        <x:f>IF($A94="","",IF(AND($G94="Yes",AN$2=XLOOKUP($A94,TasksTable[Task ID],TasksTable[Start Date],"")),"◆",""))</x:f>
      </x:c>
      <x:c r="AO94" s="90" t="str">
        <x:f>IF($A94="","",IF(AND($G94="Yes",AO$2=XLOOKUP($A94,TasksTable[Task ID],TasksTable[Start Date],"")),"◆",""))</x:f>
      </x:c>
    </x:row>
    <x:row r="95">
      <x:c r="A95" s="10" t="str">
        <x:f>IFERROR(INDEX(TasksTable[Task ID],ROWS($A$4:A95)),"")</x:f>
      </x:c>
      <x:c r="B95" s="10" t="str">
        <x:f>IF($A95="","",IFERROR(XLOOKUP($A95,TasksTable[Task ID],TasksTable[Phase],""),""))</x:f>
      </x:c>
      <x:c r="C95" s="10" t="str">
        <x:f>IF($A95="","",IFERROR(XLOOKUP($A95,TasksTable[Task ID],TasksTable[Task Name],""),""))</x:f>
      </x:c>
      <x:c r="D95" s="10" t="str">
        <x:f>IF($A95="","",IFERROR(XLOOKUP($A95,TasksTable[Task ID],TasksTable[Status],""),""))</x:f>
      </x:c>
      <x:c r="E95" s="86" t="str">
        <x:f>IF($A95="","",IFERROR(XLOOKUP($A95,TasksTable[Task ID],TasksTable[Progress %],0),0))</x:f>
      </x:c>
      <x:c r="F95" s="10" t="str">
        <x:f>IF($A95="","",IFERROR(XLOOKUP($A95,TasksTable[Task ID],TasksTable[Schedule Health],""),""))</x:f>
      </x:c>
      <x:c r="G95" s="10" t="str">
        <x:f>IF($A95="","",IFERROR(XLOOKUP($A95,TasksTable[Task ID],TasksTable[Milestone],""),""))</x:f>
      </x:c>
      <x:c r="H95" s="90" t="str">
        <x:f>IF($A95="","",IF(AND($G95="Yes",H$2=XLOOKUP($A95,TasksTable[Task ID],TasksTable[Start Date],"")),"◆",""))</x:f>
      </x:c>
      <x:c r="I95" s="90" t="str">
        <x:f>IF($A95="","",IF(AND($G95="Yes",I$2=XLOOKUP($A95,TasksTable[Task ID],TasksTable[Start Date],"")),"◆",""))</x:f>
      </x:c>
      <x:c r="J95" s="90" t="str">
        <x:f>IF($A95="","",IF(AND($G95="Yes",J$2=XLOOKUP($A95,TasksTable[Task ID],TasksTable[Start Date],"")),"◆",""))</x:f>
      </x:c>
      <x:c r="K95" s="90" t="str">
        <x:f>IF($A95="","",IF(AND($G95="Yes",K$2=XLOOKUP($A95,TasksTable[Task ID],TasksTable[Start Date],"")),"◆",""))</x:f>
      </x:c>
      <x:c r="L95" s="90" t="str">
        <x:f>IF($A95="","",IF(AND($G95="Yes",L$2=XLOOKUP($A95,TasksTable[Task ID],TasksTable[Start Date],"")),"◆",""))</x:f>
      </x:c>
      <x:c r="M95" s="90" t="str">
        <x:f>IF($A95="","",IF(AND($G95="Yes",M$2=XLOOKUP($A95,TasksTable[Task ID],TasksTable[Start Date],"")),"◆",""))</x:f>
      </x:c>
      <x:c r="N95" s="90" t="str">
        <x:f>IF($A95="","",IF(AND($G95="Yes",N$2=XLOOKUP($A95,TasksTable[Task ID],TasksTable[Start Date],"")),"◆",""))</x:f>
      </x:c>
      <x:c r="O95" s="90" t="str">
        <x:f>IF($A95="","",IF(AND($G95="Yes",O$2=XLOOKUP($A95,TasksTable[Task ID],TasksTable[Start Date],"")),"◆",""))</x:f>
      </x:c>
      <x:c r="P95" s="90" t="str">
        <x:f>IF($A95="","",IF(AND($G95="Yes",P$2=XLOOKUP($A95,TasksTable[Task ID],TasksTable[Start Date],"")),"◆",""))</x:f>
      </x:c>
      <x:c r="Q95" s="90" t="str">
        <x:f>IF($A95="","",IF(AND($G95="Yes",Q$2=XLOOKUP($A95,TasksTable[Task ID],TasksTable[Start Date],"")),"◆",""))</x:f>
      </x:c>
      <x:c r="R95" s="90" t="str">
        <x:f>IF($A95="","",IF(AND($G95="Yes",R$2=XLOOKUP($A95,TasksTable[Task ID],TasksTable[Start Date],"")),"◆",""))</x:f>
      </x:c>
      <x:c r="S95" s="90" t="str">
        <x:f>IF($A95="","",IF(AND($G95="Yes",S$2=XLOOKUP($A95,TasksTable[Task ID],TasksTable[Start Date],"")),"◆",""))</x:f>
      </x:c>
      <x:c r="T95" s="90" t="str">
        <x:f>IF($A95="","",IF(AND($G95="Yes",T$2=XLOOKUP($A95,TasksTable[Task ID],TasksTable[Start Date],"")),"◆",""))</x:f>
      </x:c>
      <x:c r="U95" s="90" t="str">
        <x:f>IF($A95="","",IF(AND($G95="Yes",U$2=XLOOKUP($A95,TasksTable[Task ID],TasksTable[Start Date],"")),"◆",""))</x:f>
      </x:c>
      <x:c r="V95" s="90" t="str">
        <x:f>IF($A95="","",IF(AND($G95="Yes",V$2=XLOOKUP($A95,TasksTable[Task ID],TasksTable[Start Date],"")),"◆",""))</x:f>
      </x:c>
      <x:c r="W95" s="90" t="str">
        <x:f>IF($A95="","",IF(AND($G95="Yes",W$2=XLOOKUP($A95,TasksTable[Task ID],TasksTable[Start Date],"")),"◆",""))</x:f>
      </x:c>
      <x:c r="X95" s="90" t="str">
        <x:f>IF($A95="","",IF(AND($G95="Yes",X$2=XLOOKUP($A95,TasksTable[Task ID],TasksTable[Start Date],"")),"◆",""))</x:f>
      </x:c>
      <x:c r="Y95" s="90" t="str">
        <x:f>IF($A95="","",IF(AND($G95="Yes",Y$2=XLOOKUP($A95,TasksTable[Task ID],TasksTable[Start Date],"")),"◆",""))</x:f>
      </x:c>
      <x:c r="Z95" s="90" t="str">
        <x:f>IF($A95="","",IF(AND($G95="Yes",Z$2=XLOOKUP($A95,TasksTable[Task ID],TasksTable[Start Date],"")),"◆",""))</x:f>
      </x:c>
      <x:c r="AA95" s="90" t="str">
        <x:f>IF($A95="","",IF(AND($G95="Yes",AA$2=XLOOKUP($A95,TasksTable[Task ID],TasksTable[Start Date],"")),"◆",""))</x:f>
      </x:c>
      <x:c r="AB95" s="90" t="str">
        <x:f>IF($A95="","",IF(AND($G95="Yes",AB$2=XLOOKUP($A95,TasksTable[Task ID],TasksTable[Start Date],"")),"◆",""))</x:f>
      </x:c>
      <x:c r="AC95" s="90" t="str">
        <x:f>IF($A95="","",IF(AND($G95="Yes",AC$2=XLOOKUP($A95,TasksTable[Task ID],TasksTable[Start Date],"")),"◆",""))</x:f>
      </x:c>
      <x:c r="AD95" s="90" t="str">
        <x:f>IF($A95="","",IF(AND($G95="Yes",AD$2=XLOOKUP($A95,TasksTable[Task ID],TasksTable[Start Date],"")),"◆",""))</x:f>
      </x:c>
      <x:c r="AE95" s="90" t="str">
        <x:f>IF($A95="","",IF(AND($G95="Yes",AE$2=XLOOKUP($A95,TasksTable[Task ID],TasksTable[Start Date],"")),"◆",""))</x:f>
      </x:c>
      <x:c r="AF95" s="90" t="str">
        <x:f>IF($A95="","",IF(AND($G95="Yes",AF$2=XLOOKUP($A95,TasksTable[Task ID],TasksTable[Start Date],"")),"◆",""))</x:f>
      </x:c>
      <x:c r="AG95" s="90" t="str">
        <x:f>IF($A95="","",IF(AND($G95="Yes",AG$2=XLOOKUP($A95,TasksTable[Task ID],TasksTable[Start Date],"")),"◆",""))</x:f>
      </x:c>
      <x:c r="AH95" s="90" t="str">
        <x:f>IF($A95="","",IF(AND($G95="Yes",AH$2=XLOOKUP($A95,TasksTable[Task ID],TasksTable[Start Date],"")),"◆",""))</x:f>
      </x:c>
      <x:c r="AI95" s="90" t="str">
        <x:f>IF($A95="","",IF(AND($G95="Yes",AI$2=XLOOKUP($A95,TasksTable[Task ID],TasksTable[Start Date],"")),"◆",""))</x:f>
      </x:c>
      <x:c r="AJ95" s="90" t="str">
        <x:f>IF($A95="","",IF(AND($G95="Yes",AJ$2=XLOOKUP($A95,TasksTable[Task ID],TasksTable[Start Date],"")),"◆",""))</x:f>
      </x:c>
      <x:c r="AK95" s="90" t="str">
        <x:f>IF($A95="","",IF(AND($G95="Yes",AK$2=XLOOKUP($A95,TasksTable[Task ID],TasksTable[Start Date],"")),"◆",""))</x:f>
      </x:c>
      <x:c r="AL95" s="90" t="str">
        <x:f>IF($A95="","",IF(AND($G95="Yes",AL$2=XLOOKUP($A95,TasksTable[Task ID],TasksTable[Start Date],"")),"◆",""))</x:f>
      </x:c>
      <x:c r="AM95" s="90" t="str">
        <x:f>IF($A95="","",IF(AND($G95="Yes",AM$2=XLOOKUP($A95,TasksTable[Task ID],TasksTable[Start Date],"")),"◆",""))</x:f>
      </x:c>
      <x:c r="AN95" s="90" t="str">
        <x:f>IF($A95="","",IF(AND($G95="Yes",AN$2=XLOOKUP($A95,TasksTable[Task ID],TasksTable[Start Date],"")),"◆",""))</x:f>
      </x:c>
      <x:c r="AO95" s="90" t="str">
        <x:f>IF($A95="","",IF(AND($G95="Yes",AO$2=XLOOKUP($A95,TasksTable[Task ID],TasksTable[Start Date],"")),"◆",""))</x:f>
      </x:c>
    </x:row>
    <x:row r="96">
      <x:c r="A96" s="10" t="str">
        <x:f>IFERROR(INDEX(TasksTable[Task ID],ROWS($A$4:A96)),"")</x:f>
      </x:c>
      <x:c r="B96" s="10" t="str">
        <x:f>IF($A96="","",IFERROR(XLOOKUP($A96,TasksTable[Task ID],TasksTable[Phase],""),""))</x:f>
      </x:c>
      <x:c r="C96" s="10" t="str">
        <x:f>IF($A96="","",IFERROR(XLOOKUP($A96,TasksTable[Task ID],TasksTable[Task Name],""),""))</x:f>
      </x:c>
      <x:c r="D96" s="10" t="str">
        <x:f>IF($A96="","",IFERROR(XLOOKUP($A96,TasksTable[Task ID],TasksTable[Status],""),""))</x:f>
      </x:c>
      <x:c r="E96" s="86" t="str">
        <x:f>IF($A96="","",IFERROR(XLOOKUP($A96,TasksTable[Task ID],TasksTable[Progress %],0),0))</x:f>
      </x:c>
      <x:c r="F96" s="10" t="str">
        <x:f>IF($A96="","",IFERROR(XLOOKUP($A96,TasksTable[Task ID],TasksTable[Schedule Health],""),""))</x:f>
      </x:c>
      <x:c r="G96" s="10" t="str">
        <x:f>IF($A96="","",IFERROR(XLOOKUP($A96,TasksTable[Task ID],TasksTable[Milestone],""),""))</x:f>
      </x:c>
      <x:c r="H96" s="90" t="str">
        <x:f>IF($A96="","",IF(AND($G96="Yes",H$2=XLOOKUP($A96,TasksTable[Task ID],TasksTable[Start Date],"")),"◆",""))</x:f>
      </x:c>
      <x:c r="I96" s="90" t="str">
        <x:f>IF($A96="","",IF(AND($G96="Yes",I$2=XLOOKUP($A96,TasksTable[Task ID],TasksTable[Start Date],"")),"◆",""))</x:f>
      </x:c>
      <x:c r="J96" s="90" t="str">
        <x:f>IF($A96="","",IF(AND($G96="Yes",J$2=XLOOKUP($A96,TasksTable[Task ID],TasksTable[Start Date],"")),"◆",""))</x:f>
      </x:c>
      <x:c r="K96" s="90" t="str">
        <x:f>IF($A96="","",IF(AND($G96="Yes",K$2=XLOOKUP($A96,TasksTable[Task ID],TasksTable[Start Date],"")),"◆",""))</x:f>
      </x:c>
      <x:c r="L96" s="90" t="str">
        <x:f>IF($A96="","",IF(AND($G96="Yes",L$2=XLOOKUP($A96,TasksTable[Task ID],TasksTable[Start Date],"")),"◆",""))</x:f>
      </x:c>
      <x:c r="M96" s="90" t="str">
        <x:f>IF($A96="","",IF(AND($G96="Yes",M$2=XLOOKUP($A96,TasksTable[Task ID],TasksTable[Start Date],"")),"◆",""))</x:f>
      </x:c>
      <x:c r="N96" s="90" t="str">
        <x:f>IF($A96="","",IF(AND($G96="Yes",N$2=XLOOKUP($A96,TasksTable[Task ID],TasksTable[Start Date],"")),"◆",""))</x:f>
      </x:c>
      <x:c r="O96" s="90" t="str">
        <x:f>IF($A96="","",IF(AND($G96="Yes",O$2=XLOOKUP($A96,TasksTable[Task ID],TasksTable[Start Date],"")),"◆",""))</x:f>
      </x:c>
      <x:c r="P96" s="90" t="str">
        <x:f>IF($A96="","",IF(AND($G96="Yes",P$2=XLOOKUP($A96,TasksTable[Task ID],TasksTable[Start Date],"")),"◆",""))</x:f>
      </x:c>
      <x:c r="Q96" s="90" t="str">
        <x:f>IF($A96="","",IF(AND($G96="Yes",Q$2=XLOOKUP($A96,TasksTable[Task ID],TasksTable[Start Date],"")),"◆",""))</x:f>
      </x:c>
      <x:c r="R96" s="90" t="str">
        <x:f>IF($A96="","",IF(AND($G96="Yes",R$2=XLOOKUP($A96,TasksTable[Task ID],TasksTable[Start Date],"")),"◆",""))</x:f>
      </x:c>
      <x:c r="S96" s="90" t="str">
        <x:f>IF($A96="","",IF(AND($G96="Yes",S$2=XLOOKUP($A96,TasksTable[Task ID],TasksTable[Start Date],"")),"◆",""))</x:f>
      </x:c>
      <x:c r="T96" s="90" t="str">
        <x:f>IF($A96="","",IF(AND($G96="Yes",T$2=XLOOKUP($A96,TasksTable[Task ID],TasksTable[Start Date],"")),"◆",""))</x:f>
      </x:c>
      <x:c r="U96" s="90" t="str">
        <x:f>IF($A96="","",IF(AND($G96="Yes",U$2=XLOOKUP($A96,TasksTable[Task ID],TasksTable[Start Date],"")),"◆",""))</x:f>
      </x:c>
      <x:c r="V96" s="90" t="str">
        <x:f>IF($A96="","",IF(AND($G96="Yes",V$2=XLOOKUP($A96,TasksTable[Task ID],TasksTable[Start Date],"")),"◆",""))</x:f>
      </x:c>
      <x:c r="W96" s="90" t="str">
        <x:f>IF($A96="","",IF(AND($G96="Yes",W$2=XLOOKUP($A96,TasksTable[Task ID],TasksTable[Start Date],"")),"◆",""))</x:f>
      </x:c>
      <x:c r="X96" s="90" t="str">
        <x:f>IF($A96="","",IF(AND($G96="Yes",X$2=XLOOKUP($A96,TasksTable[Task ID],TasksTable[Start Date],"")),"◆",""))</x:f>
      </x:c>
      <x:c r="Y96" s="90" t="str">
        <x:f>IF($A96="","",IF(AND($G96="Yes",Y$2=XLOOKUP($A96,TasksTable[Task ID],TasksTable[Start Date],"")),"◆",""))</x:f>
      </x:c>
      <x:c r="Z96" s="90" t="str">
        <x:f>IF($A96="","",IF(AND($G96="Yes",Z$2=XLOOKUP($A96,TasksTable[Task ID],TasksTable[Start Date],"")),"◆",""))</x:f>
      </x:c>
      <x:c r="AA96" s="90" t="str">
        <x:f>IF($A96="","",IF(AND($G96="Yes",AA$2=XLOOKUP($A96,TasksTable[Task ID],TasksTable[Start Date],"")),"◆",""))</x:f>
      </x:c>
      <x:c r="AB96" s="90" t="str">
        <x:f>IF($A96="","",IF(AND($G96="Yes",AB$2=XLOOKUP($A96,TasksTable[Task ID],TasksTable[Start Date],"")),"◆",""))</x:f>
      </x:c>
      <x:c r="AC96" s="90" t="str">
        <x:f>IF($A96="","",IF(AND($G96="Yes",AC$2=XLOOKUP($A96,TasksTable[Task ID],TasksTable[Start Date],"")),"◆",""))</x:f>
      </x:c>
      <x:c r="AD96" s="90" t="str">
        <x:f>IF($A96="","",IF(AND($G96="Yes",AD$2=XLOOKUP($A96,TasksTable[Task ID],TasksTable[Start Date],"")),"◆",""))</x:f>
      </x:c>
      <x:c r="AE96" s="90" t="str">
        <x:f>IF($A96="","",IF(AND($G96="Yes",AE$2=XLOOKUP($A96,TasksTable[Task ID],TasksTable[Start Date],"")),"◆",""))</x:f>
      </x:c>
      <x:c r="AF96" s="90" t="str">
        <x:f>IF($A96="","",IF(AND($G96="Yes",AF$2=XLOOKUP($A96,TasksTable[Task ID],TasksTable[Start Date],"")),"◆",""))</x:f>
      </x:c>
      <x:c r="AG96" s="90" t="str">
        <x:f>IF($A96="","",IF(AND($G96="Yes",AG$2=XLOOKUP($A96,TasksTable[Task ID],TasksTable[Start Date],"")),"◆",""))</x:f>
      </x:c>
      <x:c r="AH96" s="90" t="str">
        <x:f>IF($A96="","",IF(AND($G96="Yes",AH$2=XLOOKUP($A96,TasksTable[Task ID],TasksTable[Start Date],"")),"◆",""))</x:f>
      </x:c>
      <x:c r="AI96" s="90" t="str">
        <x:f>IF($A96="","",IF(AND($G96="Yes",AI$2=XLOOKUP($A96,TasksTable[Task ID],TasksTable[Start Date],"")),"◆",""))</x:f>
      </x:c>
      <x:c r="AJ96" s="90" t="str">
        <x:f>IF($A96="","",IF(AND($G96="Yes",AJ$2=XLOOKUP($A96,TasksTable[Task ID],TasksTable[Start Date],"")),"◆",""))</x:f>
      </x:c>
      <x:c r="AK96" s="90" t="str">
        <x:f>IF($A96="","",IF(AND($G96="Yes",AK$2=XLOOKUP($A96,TasksTable[Task ID],TasksTable[Start Date],"")),"◆",""))</x:f>
      </x:c>
      <x:c r="AL96" s="90" t="str">
        <x:f>IF($A96="","",IF(AND($G96="Yes",AL$2=XLOOKUP($A96,TasksTable[Task ID],TasksTable[Start Date],"")),"◆",""))</x:f>
      </x:c>
      <x:c r="AM96" s="90" t="str">
        <x:f>IF($A96="","",IF(AND($G96="Yes",AM$2=XLOOKUP($A96,TasksTable[Task ID],TasksTable[Start Date],"")),"◆",""))</x:f>
      </x:c>
      <x:c r="AN96" s="90" t="str">
        <x:f>IF($A96="","",IF(AND($G96="Yes",AN$2=XLOOKUP($A96,TasksTable[Task ID],TasksTable[Start Date],"")),"◆",""))</x:f>
      </x:c>
      <x:c r="AO96" s="90" t="str">
        <x:f>IF($A96="","",IF(AND($G96="Yes",AO$2=XLOOKUP($A96,TasksTable[Task ID],TasksTable[Start Date],"")),"◆",""))</x:f>
      </x:c>
    </x:row>
    <x:row r="97">
      <x:c r="A97" s="10" t="str">
        <x:f>IFERROR(INDEX(TasksTable[Task ID],ROWS($A$4:A97)),"")</x:f>
      </x:c>
      <x:c r="B97" s="10" t="str">
        <x:f>IF($A97="","",IFERROR(XLOOKUP($A97,TasksTable[Task ID],TasksTable[Phase],""),""))</x:f>
      </x:c>
      <x:c r="C97" s="10" t="str">
        <x:f>IF($A97="","",IFERROR(XLOOKUP($A97,TasksTable[Task ID],TasksTable[Task Name],""),""))</x:f>
      </x:c>
      <x:c r="D97" s="10" t="str">
        <x:f>IF($A97="","",IFERROR(XLOOKUP($A97,TasksTable[Task ID],TasksTable[Status],""),""))</x:f>
      </x:c>
      <x:c r="E97" s="86" t="str">
        <x:f>IF($A97="","",IFERROR(XLOOKUP($A97,TasksTable[Task ID],TasksTable[Progress %],0),0))</x:f>
      </x:c>
      <x:c r="F97" s="10" t="str">
        <x:f>IF($A97="","",IFERROR(XLOOKUP($A97,TasksTable[Task ID],TasksTable[Schedule Health],""),""))</x:f>
      </x:c>
      <x:c r="G97" s="10" t="str">
        <x:f>IF($A97="","",IFERROR(XLOOKUP($A97,TasksTable[Task ID],TasksTable[Milestone],""),""))</x:f>
      </x:c>
      <x:c r="H97" s="90" t="str">
        <x:f>IF($A97="","",IF(AND($G97="Yes",H$2=XLOOKUP($A97,TasksTable[Task ID],TasksTable[Start Date],"")),"◆",""))</x:f>
      </x:c>
      <x:c r="I97" s="90" t="str">
        <x:f>IF($A97="","",IF(AND($G97="Yes",I$2=XLOOKUP($A97,TasksTable[Task ID],TasksTable[Start Date],"")),"◆",""))</x:f>
      </x:c>
      <x:c r="J97" s="90" t="str">
        <x:f>IF($A97="","",IF(AND($G97="Yes",J$2=XLOOKUP($A97,TasksTable[Task ID],TasksTable[Start Date],"")),"◆",""))</x:f>
      </x:c>
      <x:c r="K97" s="90" t="str">
        <x:f>IF($A97="","",IF(AND($G97="Yes",K$2=XLOOKUP($A97,TasksTable[Task ID],TasksTable[Start Date],"")),"◆",""))</x:f>
      </x:c>
      <x:c r="L97" s="90" t="str">
        <x:f>IF($A97="","",IF(AND($G97="Yes",L$2=XLOOKUP($A97,TasksTable[Task ID],TasksTable[Start Date],"")),"◆",""))</x:f>
      </x:c>
      <x:c r="M97" s="90" t="str">
        <x:f>IF($A97="","",IF(AND($G97="Yes",M$2=XLOOKUP($A97,TasksTable[Task ID],TasksTable[Start Date],"")),"◆",""))</x:f>
      </x:c>
      <x:c r="N97" s="90" t="str">
        <x:f>IF($A97="","",IF(AND($G97="Yes",N$2=XLOOKUP($A97,TasksTable[Task ID],TasksTable[Start Date],"")),"◆",""))</x:f>
      </x:c>
      <x:c r="O97" s="90" t="str">
        <x:f>IF($A97="","",IF(AND($G97="Yes",O$2=XLOOKUP($A97,TasksTable[Task ID],TasksTable[Start Date],"")),"◆",""))</x:f>
      </x:c>
      <x:c r="P97" s="90" t="str">
        <x:f>IF($A97="","",IF(AND($G97="Yes",P$2=XLOOKUP($A97,TasksTable[Task ID],TasksTable[Start Date],"")),"◆",""))</x:f>
      </x:c>
      <x:c r="Q97" s="90" t="str">
        <x:f>IF($A97="","",IF(AND($G97="Yes",Q$2=XLOOKUP($A97,TasksTable[Task ID],TasksTable[Start Date],"")),"◆",""))</x:f>
      </x:c>
      <x:c r="R97" s="90" t="str">
        <x:f>IF($A97="","",IF(AND($G97="Yes",R$2=XLOOKUP($A97,TasksTable[Task ID],TasksTable[Start Date],"")),"◆",""))</x:f>
      </x:c>
      <x:c r="S97" s="90" t="str">
        <x:f>IF($A97="","",IF(AND($G97="Yes",S$2=XLOOKUP($A97,TasksTable[Task ID],TasksTable[Start Date],"")),"◆",""))</x:f>
      </x:c>
      <x:c r="T97" s="90" t="str">
        <x:f>IF($A97="","",IF(AND($G97="Yes",T$2=XLOOKUP($A97,TasksTable[Task ID],TasksTable[Start Date],"")),"◆",""))</x:f>
      </x:c>
      <x:c r="U97" s="90" t="str">
        <x:f>IF($A97="","",IF(AND($G97="Yes",U$2=XLOOKUP($A97,TasksTable[Task ID],TasksTable[Start Date],"")),"◆",""))</x:f>
      </x:c>
      <x:c r="V97" s="90" t="str">
        <x:f>IF($A97="","",IF(AND($G97="Yes",V$2=XLOOKUP($A97,TasksTable[Task ID],TasksTable[Start Date],"")),"◆",""))</x:f>
      </x:c>
      <x:c r="W97" s="90" t="str">
        <x:f>IF($A97="","",IF(AND($G97="Yes",W$2=XLOOKUP($A97,TasksTable[Task ID],TasksTable[Start Date],"")),"◆",""))</x:f>
      </x:c>
      <x:c r="X97" s="90" t="str">
        <x:f>IF($A97="","",IF(AND($G97="Yes",X$2=XLOOKUP($A97,TasksTable[Task ID],TasksTable[Start Date],"")),"◆",""))</x:f>
      </x:c>
      <x:c r="Y97" s="90" t="str">
        <x:f>IF($A97="","",IF(AND($G97="Yes",Y$2=XLOOKUP($A97,TasksTable[Task ID],TasksTable[Start Date],"")),"◆",""))</x:f>
      </x:c>
      <x:c r="Z97" s="90" t="str">
        <x:f>IF($A97="","",IF(AND($G97="Yes",Z$2=XLOOKUP($A97,TasksTable[Task ID],TasksTable[Start Date],"")),"◆",""))</x:f>
      </x:c>
      <x:c r="AA97" s="90" t="str">
        <x:f>IF($A97="","",IF(AND($G97="Yes",AA$2=XLOOKUP($A97,TasksTable[Task ID],TasksTable[Start Date],"")),"◆",""))</x:f>
      </x:c>
      <x:c r="AB97" s="90" t="str">
        <x:f>IF($A97="","",IF(AND($G97="Yes",AB$2=XLOOKUP($A97,TasksTable[Task ID],TasksTable[Start Date],"")),"◆",""))</x:f>
      </x:c>
      <x:c r="AC97" s="90" t="str">
        <x:f>IF($A97="","",IF(AND($G97="Yes",AC$2=XLOOKUP($A97,TasksTable[Task ID],TasksTable[Start Date],"")),"◆",""))</x:f>
      </x:c>
      <x:c r="AD97" s="90" t="str">
        <x:f>IF($A97="","",IF(AND($G97="Yes",AD$2=XLOOKUP($A97,TasksTable[Task ID],TasksTable[Start Date],"")),"◆",""))</x:f>
      </x:c>
      <x:c r="AE97" s="90" t="str">
        <x:f>IF($A97="","",IF(AND($G97="Yes",AE$2=XLOOKUP($A97,TasksTable[Task ID],TasksTable[Start Date],"")),"◆",""))</x:f>
      </x:c>
      <x:c r="AF97" s="90" t="str">
        <x:f>IF($A97="","",IF(AND($G97="Yes",AF$2=XLOOKUP($A97,TasksTable[Task ID],TasksTable[Start Date],"")),"◆",""))</x:f>
      </x:c>
      <x:c r="AG97" s="90" t="str">
        <x:f>IF($A97="","",IF(AND($G97="Yes",AG$2=XLOOKUP($A97,TasksTable[Task ID],TasksTable[Start Date],"")),"◆",""))</x:f>
      </x:c>
      <x:c r="AH97" s="90" t="str">
        <x:f>IF($A97="","",IF(AND($G97="Yes",AH$2=XLOOKUP($A97,TasksTable[Task ID],TasksTable[Start Date],"")),"◆",""))</x:f>
      </x:c>
      <x:c r="AI97" s="90" t="str">
        <x:f>IF($A97="","",IF(AND($G97="Yes",AI$2=XLOOKUP($A97,TasksTable[Task ID],TasksTable[Start Date],"")),"◆",""))</x:f>
      </x:c>
      <x:c r="AJ97" s="90" t="str">
        <x:f>IF($A97="","",IF(AND($G97="Yes",AJ$2=XLOOKUP($A97,TasksTable[Task ID],TasksTable[Start Date],"")),"◆",""))</x:f>
      </x:c>
      <x:c r="AK97" s="90" t="str">
        <x:f>IF($A97="","",IF(AND($G97="Yes",AK$2=XLOOKUP($A97,TasksTable[Task ID],TasksTable[Start Date],"")),"◆",""))</x:f>
      </x:c>
      <x:c r="AL97" s="90" t="str">
        <x:f>IF($A97="","",IF(AND($G97="Yes",AL$2=XLOOKUP($A97,TasksTable[Task ID],TasksTable[Start Date],"")),"◆",""))</x:f>
      </x:c>
      <x:c r="AM97" s="90" t="str">
        <x:f>IF($A97="","",IF(AND($G97="Yes",AM$2=XLOOKUP($A97,TasksTable[Task ID],TasksTable[Start Date],"")),"◆",""))</x:f>
      </x:c>
      <x:c r="AN97" s="90" t="str">
        <x:f>IF($A97="","",IF(AND($G97="Yes",AN$2=XLOOKUP($A97,TasksTable[Task ID],TasksTable[Start Date],"")),"◆",""))</x:f>
      </x:c>
      <x:c r="AO97" s="90" t="str">
        <x:f>IF($A97="","",IF(AND($G97="Yes",AO$2=XLOOKUP($A97,TasksTable[Task ID],TasksTable[Start Date],"")),"◆",""))</x:f>
      </x:c>
    </x:row>
    <x:row r="98">
      <x:c r="A98" s="10" t="str">
        <x:f>IFERROR(INDEX(TasksTable[Task ID],ROWS($A$4:A98)),"")</x:f>
      </x:c>
      <x:c r="B98" s="10" t="str">
        <x:f>IF($A98="","",IFERROR(XLOOKUP($A98,TasksTable[Task ID],TasksTable[Phase],""),""))</x:f>
      </x:c>
      <x:c r="C98" s="10" t="str">
        <x:f>IF($A98="","",IFERROR(XLOOKUP($A98,TasksTable[Task ID],TasksTable[Task Name],""),""))</x:f>
      </x:c>
      <x:c r="D98" s="10" t="str">
        <x:f>IF($A98="","",IFERROR(XLOOKUP($A98,TasksTable[Task ID],TasksTable[Status],""),""))</x:f>
      </x:c>
      <x:c r="E98" s="86" t="str">
        <x:f>IF($A98="","",IFERROR(XLOOKUP($A98,TasksTable[Task ID],TasksTable[Progress %],0),0))</x:f>
      </x:c>
      <x:c r="F98" s="10" t="str">
        <x:f>IF($A98="","",IFERROR(XLOOKUP($A98,TasksTable[Task ID],TasksTable[Schedule Health],""),""))</x:f>
      </x:c>
      <x:c r="G98" s="10" t="str">
        <x:f>IF($A98="","",IFERROR(XLOOKUP($A98,TasksTable[Task ID],TasksTable[Milestone],""),""))</x:f>
      </x:c>
      <x:c r="H98" s="90" t="str">
        <x:f>IF($A98="","",IF(AND($G98="Yes",H$2=XLOOKUP($A98,TasksTable[Task ID],TasksTable[Start Date],"")),"◆",""))</x:f>
      </x:c>
      <x:c r="I98" s="90" t="str">
        <x:f>IF($A98="","",IF(AND($G98="Yes",I$2=XLOOKUP($A98,TasksTable[Task ID],TasksTable[Start Date],"")),"◆",""))</x:f>
      </x:c>
      <x:c r="J98" s="90" t="str">
        <x:f>IF($A98="","",IF(AND($G98="Yes",J$2=XLOOKUP($A98,TasksTable[Task ID],TasksTable[Start Date],"")),"◆",""))</x:f>
      </x:c>
      <x:c r="K98" s="90" t="str">
        <x:f>IF($A98="","",IF(AND($G98="Yes",K$2=XLOOKUP($A98,TasksTable[Task ID],TasksTable[Start Date],"")),"◆",""))</x:f>
      </x:c>
      <x:c r="L98" s="90" t="str">
        <x:f>IF($A98="","",IF(AND($G98="Yes",L$2=XLOOKUP($A98,TasksTable[Task ID],TasksTable[Start Date],"")),"◆",""))</x:f>
      </x:c>
      <x:c r="M98" s="90" t="str">
        <x:f>IF($A98="","",IF(AND($G98="Yes",M$2=XLOOKUP($A98,TasksTable[Task ID],TasksTable[Start Date],"")),"◆",""))</x:f>
      </x:c>
      <x:c r="N98" s="90" t="str">
        <x:f>IF($A98="","",IF(AND($G98="Yes",N$2=XLOOKUP($A98,TasksTable[Task ID],TasksTable[Start Date],"")),"◆",""))</x:f>
      </x:c>
      <x:c r="O98" s="90" t="str">
        <x:f>IF($A98="","",IF(AND($G98="Yes",O$2=XLOOKUP($A98,TasksTable[Task ID],TasksTable[Start Date],"")),"◆",""))</x:f>
      </x:c>
      <x:c r="P98" s="90" t="str">
        <x:f>IF($A98="","",IF(AND($G98="Yes",P$2=XLOOKUP($A98,TasksTable[Task ID],TasksTable[Start Date],"")),"◆",""))</x:f>
      </x:c>
      <x:c r="Q98" s="90" t="str">
        <x:f>IF($A98="","",IF(AND($G98="Yes",Q$2=XLOOKUP($A98,TasksTable[Task ID],TasksTable[Start Date],"")),"◆",""))</x:f>
      </x:c>
      <x:c r="R98" s="90" t="str">
        <x:f>IF($A98="","",IF(AND($G98="Yes",R$2=XLOOKUP($A98,TasksTable[Task ID],TasksTable[Start Date],"")),"◆",""))</x:f>
      </x:c>
      <x:c r="S98" s="90" t="str">
        <x:f>IF($A98="","",IF(AND($G98="Yes",S$2=XLOOKUP($A98,TasksTable[Task ID],TasksTable[Start Date],"")),"◆",""))</x:f>
      </x:c>
      <x:c r="T98" s="90" t="str">
        <x:f>IF($A98="","",IF(AND($G98="Yes",T$2=XLOOKUP($A98,TasksTable[Task ID],TasksTable[Start Date],"")),"◆",""))</x:f>
      </x:c>
      <x:c r="U98" s="90" t="str">
        <x:f>IF($A98="","",IF(AND($G98="Yes",U$2=XLOOKUP($A98,TasksTable[Task ID],TasksTable[Start Date],"")),"◆",""))</x:f>
      </x:c>
      <x:c r="V98" s="90" t="str">
        <x:f>IF($A98="","",IF(AND($G98="Yes",V$2=XLOOKUP($A98,TasksTable[Task ID],TasksTable[Start Date],"")),"◆",""))</x:f>
      </x:c>
      <x:c r="W98" s="90" t="str">
        <x:f>IF($A98="","",IF(AND($G98="Yes",W$2=XLOOKUP($A98,TasksTable[Task ID],TasksTable[Start Date],"")),"◆",""))</x:f>
      </x:c>
      <x:c r="X98" s="90" t="str">
        <x:f>IF($A98="","",IF(AND($G98="Yes",X$2=XLOOKUP($A98,TasksTable[Task ID],TasksTable[Start Date],"")),"◆",""))</x:f>
      </x:c>
      <x:c r="Y98" s="90" t="str">
        <x:f>IF($A98="","",IF(AND($G98="Yes",Y$2=XLOOKUP($A98,TasksTable[Task ID],TasksTable[Start Date],"")),"◆",""))</x:f>
      </x:c>
      <x:c r="Z98" s="90" t="str">
        <x:f>IF($A98="","",IF(AND($G98="Yes",Z$2=XLOOKUP($A98,TasksTable[Task ID],TasksTable[Start Date],"")),"◆",""))</x:f>
      </x:c>
      <x:c r="AA98" s="90" t="str">
        <x:f>IF($A98="","",IF(AND($G98="Yes",AA$2=XLOOKUP($A98,TasksTable[Task ID],TasksTable[Start Date],"")),"◆",""))</x:f>
      </x:c>
      <x:c r="AB98" s="90" t="str">
        <x:f>IF($A98="","",IF(AND($G98="Yes",AB$2=XLOOKUP($A98,TasksTable[Task ID],TasksTable[Start Date],"")),"◆",""))</x:f>
      </x:c>
      <x:c r="AC98" s="90" t="str">
        <x:f>IF($A98="","",IF(AND($G98="Yes",AC$2=XLOOKUP($A98,TasksTable[Task ID],TasksTable[Start Date],"")),"◆",""))</x:f>
      </x:c>
      <x:c r="AD98" s="90" t="str">
        <x:f>IF($A98="","",IF(AND($G98="Yes",AD$2=XLOOKUP($A98,TasksTable[Task ID],TasksTable[Start Date],"")),"◆",""))</x:f>
      </x:c>
      <x:c r="AE98" s="90" t="str">
        <x:f>IF($A98="","",IF(AND($G98="Yes",AE$2=XLOOKUP($A98,TasksTable[Task ID],TasksTable[Start Date],"")),"◆",""))</x:f>
      </x:c>
      <x:c r="AF98" s="90" t="str">
        <x:f>IF($A98="","",IF(AND($G98="Yes",AF$2=XLOOKUP($A98,TasksTable[Task ID],TasksTable[Start Date],"")),"◆",""))</x:f>
      </x:c>
      <x:c r="AG98" s="90" t="str">
        <x:f>IF($A98="","",IF(AND($G98="Yes",AG$2=XLOOKUP($A98,TasksTable[Task ID],TasksTable[Start Date],"")),"◆",""))</x:f>
      </x:c>
      <x:c r="AH98" s="90" t="str">
        <x:f>IF($A98="","",IF(AND($G98="Yes",AH$2=XLOOKUP($A98,TasksTable[Task ID],TasksTable[Start Date],"")),"◆",""))</x:f>
      </x:c>
      <x:c r="AI98" s="90" t="str">
        <x:f>IF($A98="","",IF(AND($G98="Yes",AI$2=XLOOKUP($A98,TasksTable[Task ID],TasksTable[Start Date],"")),"◆",""))</x:f>
      </x:c>
      <x:c r="AJ98" s="90" t="str">
        <x:f>IF($A98="","",IF(AND($G98="Yes",AJ$2=XLOOKUP($A98,TasksTable[Task ID],TasksTable[Start Date],"")),"◆",""))</x:f>
      </x:c>
      <x:c r="AK98" s="90" t="str">
        <x:f>IF($A98="","",IF(AND($G98="Yes",AK$2=XLOOKUP($A98,TasksTable[Task ID],TasksTable[Start Date],"")),"◆",""))</x:f>
      </x:c>
      <x:c r="AL98" s="90" t="str">
        <x:f>IF($A98="","",IF(AND($G98="Yes",AL$2=XLOOKUP($A98,TasksTable[Task ID],TasksTable[Start Date],"")),"◆",""))</x:f>
      </x:c>
      <x:c r="AM98" s="90" t="str">
        <x:f>IF($A98="","",IF(AND($G98="Yes",AM$2=XLOOKUP($A98,TasksTable[Task ID],TasksTable[Start Date],"")),"◆",""))</x:f>
      </x:c>
      <x:c r="AN98" s="90" t="str">
        <x:f>IF($A98="","",IF(AND($G98="Yes",AN$2=XLOOKUP($A98,TasksTable[Task ID],TasksTable[Start Date],"")),"◆",""))</x:f>
      </x:c>
      <x:c r="AO98" s="90" t="str">
        <x:f>IF($A98="","",IF(AND($G98="Yes",AO$2=XLOOKUP($A98,TasksTable[Task ID],TasksTable[Start Date],"")),"◆",""))</x:f>
      </x:c>
    </x:row>
    <x:row r="99">
      <x:c r="A99" s="10" t="str">
        <x:f>IFERROR(INDEX(TasksTable[Task ID],ROWS($A$4:A99)),"")</x:f>
      </x:c>
      <x:c r="B99" s="10" t="str">
        <x:f>IF($A99="","",IFERROR(XLOOKUP($A99,TasksTable[Task ID],TasksTable[Phase],""),""))</x:f>
      </x:c>
      <x:c r="C99" s="10" t="str">
        <x:f>IF($A99="","",IFERROR(XLOOKUP($A99,TasksTable[Task ID],TasksTable[Task Name],""),""))</x:f>
      </x:c>
      <x:c r="D99" s="10" t="str">
        <x:f>IF($A99="","",IFERROR(XLOOKUP($A99,TasksTable[Task ID],TasksTable[Status],""),""))</x:f>
      </x:c>
      <x:c r="E99" s="86" t="str">
        <x:f>IF($A99="","",IFERROR(XLOOKUP($A99,TasksTable[Task ID],TasksTable[Progress %],0),0))</x:f>
      </x:c>
      <x:c r="F99" s="10" t="str">
        <x:f>IF($A99="","",IFERROR(XLOOKUP($A99,TasksTable[Task ID],TasksTable[Schedule Health],""),""))</x:f>
      </x:c>
      <x:c r="G99" s="10" t="str">
        <x:f>IF($A99="","",IFERROR(XLOOKUP($A99,TasksTable[Task ID],TasksTable[Milestone],""),""))</x:f>
      </x:c>
      <x:c r="H99" s="90" t="str">
        <x:f>IF($A99="","",IF(AND($G99="Yes",H$2=XLOOKUP($A99,TasksTable[Task ID],TasksTable[Start Date],"")),"◆",""))</x:f>
      </x:c>
      <x:c r="I99" s="90" t="str">
        <x:f>IF($A99="","",IF(AND($G99="Yes",I$2=XLOOKUP($A99,TasksTable[Task ID],TasksTable[Start Date],"")),"◆",""))</x:f>
      </x:c>
      <x:c r="J99" s="90" t="str">
        <x:f>IF($A99="","",IF(AND($G99="Yes",J$2=XLOOKUP($A99,TasksTable[Task ID],TasksTable[Start Date],"")),"◆",""))</x:f>
      </x:c>
      <x:c r="K99" s="90" t="str">
        <x:f>IF($A99="","",IF(AND($G99="Yes",K$2=XLOOKUP($A99,TasksTable[Task ID],TasksTable[Start Date],"")),"◆",""))</x:f>
      </x:c>
      <x:c r="L99" s="90" t="str">
        <x:f>IF($A99="","",IF(AND($G99="Yes",L$2=XLOOKUP($A99,TasksTable[Task ID],TasksTable[Start Date],"")),"◆",""))</x:f>
      </x:c>
      <x:c r="M99" s="90" t="str">
        <x:f>IF($A99="","",IF(AND($G99="Yes",M$2=XLOOKUP($A99,TasksTable[Task ID],TasksTable[Start Date],"")),"◆",""))</x:f>
      </x:c>
      <x:c r="N99" s="90" t="str">
        <x:f>IF($A99="","",IF(AND($G99="Yes",N$2=XLOOKUP($A99,TasksTable[Task ID],TasksTable[Start Date],"")),"◆",""))</x:f>
      </x:c>
      <x:c r="O99" s="90" t="str">
        <x:f>IF($A99="","",IF(AND($G99="Yes",O$2=XLOOKUP($A99,TasksTable[Task ID],TasksTable[Start Date],"")),"◆",""))</x:f>
      </x:c>
      <x:c r="P99" s="90" t="str">
        <x:f>IF($A99="","",IF(AND($G99="Yes",P$2=XLOOKUP($A99,TasksTable[Task ID],TasksTable[Start Date],"")),"◆",""))</x:f>
      </x:c>
      <x:c r="Q99" s="90" t="str">
        <x:f>IF($A99="","",IF(AND($G99="Yes",Q$2=XLOOKUP($A99,TasksTable[Task ID],TasksTable[Start Date],"")),"◆",""))</x:f>
      </x:c>
      <x:c r="R99" s="90" t="str">
        <x:f>IF($A99="","",IF(AND($G99="Yes",R$2=XLOOKUP($A99,TasksTable[Task ID],TasksTable[Start Date],"")),"◆",""))</x:f>
      </x:c>
      <x:c r="S99" s="90" t="str">
        <x:f>IF($A99="","",IF(AND($G99="Yes",S$2=XLOOKUP($A99,TasksTable[Task ID],TasksTable[Start Date],"")),"◆",""))</x:f>
      </x:c>
      <x:c r="T99" s="90" t="str">
        <x:f>IF($A99="","",IF(AND($G99="Yes",T$2=XLOOKUP($A99,TasksTable[Task ID],TasksTable[Start Date],"")),"◆",""))</x:f>
      </x:c>
      <x:c r="U99" s="90" t="str">
        <x:f>IF($A99="","",IF(AND($G99="Yes",U$2=XLOOKUP($A99,TasksTable[Task ID],TasksTable[Start Date],"")),"◆",""))</x:f>
      </x:c>
      <x:c r="V99" s="90" t="str">
        <x:f>IF($A99="","",IF(AND($G99="Yes",V$2=XLOOKUP($A99,TasksTable[Task ID],TasksTable[Start Date],"")),"◆",""))</x:f>
      </x:c>
      <x:c r="W99" s="90" t="str">
        <x:f>IF($A99="","",IF(AND($G99="Yes",W$2=XLOOKUP($A99,TasksTable[Task ID],TasksTable[Start Date],"")),"◆",""))</x:f>
      </x:c>
      <x:c r="X99" s="90" t="str">
        <x:f>IF($A99="","",IF(AND($G99="Yes",X$2=XLOOKUP($A99,TasksTable[Task ID],TasksTable[Start Date],"")),"◆",""))</x:f>
      </x:c>
      <x:c r="Y99" s="90" t="str">
        <x:f>IF($A99="","",IF(AND($G99="Yes",Y$2=XLOOKUP($A99,TasksTable[Task ID],TasksTable[Start Date],"")),"◆",""))</x:f>
      </x:c>
      <x:c r="Z99" s="90" t="str">
        <x:f>IF($A99="","",IF(AND($G99="Yes",Z$2=XLOOKUP($A99,TasksTable[Task ID],TasksTable[Start Date],"")),"◆",""))</x:f>
      </x:c>
      <x:c r="AA99" s="90" t="str">
        <x:f>IF($A99="","",IF(AND($G99="Yes",AA$2=XLOOKUP($A99,TasksTable[Task ID],TasksTable[Start Date],"")),"◆",""))</x:f>
      </x:c>
      <x:c r="AB99" s="90" t="str">
        <x:f>IF($A99="","",IF(AND($G99="Yes",AB$2=XLOOKUP($A99,TasksTable[Task ID],TasksTable[Start Date],"")),"◆",""))</x:f>
      </x:c>
      <x:c r="AC99" s="90" t="str">
        <x:f>IF($A99="","",IF(AND($G99="Yes",AC$2=XLOOKUP($A99,TasksTable[Task ID],TasksTable[Start Date],"")),"◆",""))</x:f>
      </x:c>
      <x:c r="AD99" s="90" t="str">
        <x:f>IF($A99="","",IF(AND($G99="Yes",AD$2=XLOOKUP($A99,TasksTable[Task ID],TasksTable[Start Date],"")),"◆",""))</x:f>
      </x:c>
      <x:c r="AE99" s="90" t="str">
        <x:f>IF($A99="","",IF(AND($G99="Yes",AE$2=XLOOKUP($A99,TasksTable[Task ID],TasksTable[Start Date],"")),"◆",""))</x:f>
      </x:c>
      <x:c r="AF99" s="90" t="str">
        <x:f>IF($A99="","",IF(AND($G99="Yes",AF$2=XLOOKUP($A99,TasksTable[Task ID],TasksTable[Start Date],"")),"◆",""))</x:f>
      </x:c>
      <x:c r="AG99" s="90" t="str">
        <x:f>IF($A99="","",IF(AND($G99="Yes",AG$2=XLOOKUP($A99,TasksTable[Task ID],TasksTable[Start Date],"")),"◆",""))</x:f>
      </x:c>
      <x:c r="AH99" s="90" t="str">
        <x:f>IF($A99="","",IF(AND($G99="Yes",AH$2=XLOOKUP($A99,TasksTable[Task ID],TasksTable[Start Date],"")),"◆",""))</x:f>
      </x:c>
      <x:c r="AI99" s="90" t="str">
        <x:f>IF($A99="","",IF(AND($G99="Yes",AI$2=XLOOKUP($A99,TasksTable[Task ID],TasksTable[Start Date],"")),"◆",""))</x:f>
      </x:c>
      <x:c r="AJ99" s="90" t="str">
        <x:f>IF($A99="","",IF(AND($G99="Yes",AJ$2=XLOOKUP($A99,TasksTable[Task ID],TasksTable[Start Date],"")),"◆",""))</x:f>
      </x:c>
      <x:c r="AK99" s="90" t="str">
        <x:f>IF($A99="","",IF(AND($G99="Yes",AK$2=XLOOKUP($A99,TasksTable[Task ID],TasksTable[Start Date],"")),"◆",""))</x:f>
      </x:c>
      <x:c r="AL99" s="90" t="str">
        <x:f>IF($A99="","",IF(AND($G99="Yes",AL$2=XLOOKUP($A99,TasksTable[Task ID],TasksTable[Start Date],"")),"◆",""))</x:f>
      </x:c>
      <x:c r="AM99" s="90" t="str">
        <x:f>IF($A99="","",IF(AND($G99="Yes",AM$2=XLOOKUP($A99,TasksTable[Task ID],TasksTable[Start Date],"")),"◆",""))</x:f>
      </x:c>
      <x:c r="AN99" s="90" t="str">
        <x:f>IF($A99="","",IF(AND($G99="Yes",AN$2=XLOOKUP($A99,TasksTable[Task ID],TasksTable[Start Date],"")),"◆",""))</x:f>
      </x:c>
      <x:c r="AO99" s="90" t="str">
        <x:f>IF($A99="","",IF(AND($G99="Yes",AO$2=XLOOKUP($A99,TasksTable[Task ID],TasksTable[Start Date],"")),"◆",""))</x:f>
      </x:c>
    </x:row>
    <x:row r="100">
      <x:c r="A100" s="10" t="str">
        <x:f>IFERROR(INDEX(TasksTable[Task ID],ROWS($A$4:A100)),"")</x:f>
      </x:c>
      <x:c r="B100" s="10" t="str">
        <x:f>IF($A100="","",IFERROR(XLOOKUP($A100,TasksTable[Task ID],TasksTable[Phase],""),""))</x:f>
      </x:c>
      <x:c r="C100" s="10" t="str">
        <x:f>IF($A100="","",IFERROR(XLOOKUP($A100,TasksTable[Task ID],TasksTable[Task Name],""),""))</x:f>
      </x:c>
      <x:c r="D100" s="10" t="str">
        <x:f>IF($A100="","",IFERROR(XLOOKUP($A100,TasksTable[Task ID],TasksTable[Status],""),""))</x:f>
      </x:c>
      <x:c r="E100" s="86" t="str">
        <x:f>IF($A100="","",IFERROR(XLOOKUP($A100,TasksTable[Task ID],TasksTable[Progress %],0),0))</x:f>
      </x:c>
      <x:c r="F100" s="10" t="str">
        <x:f>IF($A100="","",IFERROR(XLOOKUP($A100,TasksTable[Task ID],TasksTable[Schedule Health],""),""))</x:f>
      </x:c>
      <x:c r="G100" s="10" t="str">
        <x:f>IF($A100="","",IFERROR(XLOOKUP($A100,TasksTable[Task ID],TasksTable[Milestone],""),""))</x:f>
      </x:c>
      <x:c r="H100" s="90" t="str">
        <x:f>IF($A100="","",IF(AND($G100="Yes",H$2=XLOOKUP($A100,TasksTable[Task ID],TasksTable[Start Date],"")),"◆",""))</x:f>
      </x:c>
      <x:c r="I100" s="90" t="str">
        <x:f>IF($A100="","",IF(AND($G100="Yes",I$2=XLOOKUP($A100,TasksTable[Task ID],TasksTable[Start Date],"")),"◆",""))</x:f>
      </x:c>
      <x:c r="J100" s="90" t="str">
        <x:f>IF($A100="","",IF(AND($G100="Yes",J$2=XLOOKUP($A100,TasksTable[Task ID],TasksTable[Start Date],"")),"◆",""))</x:f>
      </x:c>
      <x:c r="K100" s="90" t="str">
        <x:f>IF($A100="","",IF(AND($G100="Yes",K$2=XLOOKUP($A100,TasksTable[Task ID],TasksTable[Start Date],"")),"◆",""))</x:f>
      </x:c>
      <x:c r="L100" s="90" t="str">
        <x:f>IF($A100="","",IF(AND($G100="Yes",L$2=XLOOKUP($A100,TasksTable[Task ID],TasksTable[Start Date],"")),"◆",""))</x:f>
      </x:c>
      <x:c r="M100" s="90" t="str">
        <x:f>IF($A100="","",IF(AND($G100="Yes",M$2=XLOOKUP($A100,TasksTable[Task ID],TasksTable[Start Date],"")),"◆",""))</x:f>
      </x:c>
      <x:c r="N100" s="90" t="str">
        <x:f>IF($A100="","",IF(AND($G100="Yes",N$2=XLOOKUP($A100,TasksTable[Task ID],TasksTable[Start Date],"")),"◆",""))</x:f>
      </x:c>
      <x:c r="O100" s="90" t="str">
        <x:f>IF($A100="","",IF(AND($G100="Yes",O$2=XLOOKUP($A100,TasksTable[Task ID],TasksTable[Start Date],"")),"◆",""))</x:f>
      </x:c>
      <x:c r="P100" s="90" t="str">
        <x:f>IF($A100="","",IF(AND($G100="Yes",P$2=XLOOKUP($A100,TasksTable[Task ID],TasksTable[Start Date],"")),"◆",""))</x:f>
      </x:c>
      <x:c r="Q100" s="90" t="str">
        <x:f>IF($A100="","",IF(AND($G100="Yes",Q$2=XLOOKUP($A100,TasksTable[Task ID],TasksTable[Start Date],"")),"◆",""))</x:f>
      </x:c>
      <x:c r="R100" s="90" t="str">
        <x:f>IF($A100="","",IF(AND($G100="Yes",R$2=XLOOKUP($A100,TasksTable[Task ID],TasksTable[Start Date],"")),"◆",""))</x:f>
      </x:c>
      <x:c r="S100" s="90" t="str">
        <x:f>IF($A100="","",IF(AND($G100="Yes",S$2=XLOOKUP($A100,TasksTable[Task ID],TasksTable[Start Date],"")),"◆",""))</x:f>
      </x:c>
      <x:c r="T100" s="90" t="str">
        <x:f>IF($A100="","",IF(AND($G100="Yes",T$2=XLOOKUP($A100,TasksTable[Task ID],TasksTable[Start Date],"")),"◆",""))</x:f>
      </x:c>
      <x:c r="U100" s="90" t="str">
        <x:f>IF($A100="","",IF(AND($G100="Yes",U$2=XLOOKUP($A100,TasksTable[Task ID],TasksTable[Start Date],"")),"◆",""))</x:f>
      </x:c>
      <x:c r="V100" s="90" t="str">
        <x:f>IF($A100="","",IF(AND($G100="Yes",V$2=XLOOKUP($A100,TasksTable[Task ID],TasksTable[Start Date],"")),"◆",""))</x:f>
      </x:c>
      <x:c r="W100" s="90" t="str">
        <x:f>IF($A100="","",IF(AND($G100="Yes",W$2=XLOOKUP($A100,TasksTable[Task ID],TasksTable[Start Date],"")),"◆",""))</x:f>
      </x:c>
      <x:c r="X100" s="90" t="str">
        <x:f>IF($A100="","",IF(AND($G100="Yes",X$2=XLOOKUP($A100,TasksTable[Task ID],TasksTable[Start Date],"")),"◆",""))</x:f>
      </x:c>
      <x:c r="Y100" s="90" t="str">
        <x:f>IF($A100="","",IF(AND($G100="Yes",Y$2=XLOOKUP($A100,TasksTable[Task ID],TasksTable[Start Date],"")),"◆",""))</x:f>
      </x:c>
      <x:c r="Z100" s="90" t="str">
        <x:f>IF($A100="","",IF(AND($G100="Yes",Z$2=XLOOKUP($A100,TasksTable[Task ID],TasksTable[Start Date],"")),"◆",""))</x:f>
      </x:c>
      <x:c r="AA100" s="90" t="str">
        <x:f>IF($A100="","",IF(AND($G100="Yes",AA$2=XLOOKUP($A100,TasksTable[Task ID],TasksTable[Start Date],"")),"◆",""))</x:f>
      </x:c>
      <x:c r="AB100" s="90" t="str">
        <x:f>IF($A100="","",IF(AND($G100="Yes",AB$2=XLOOKUP($A100,TasksTable[Task ID],TasksTable[Start Date],"")),"◆",""))</x:f>
      </x:c>
      <x:c r="AC100" s="90" t="str">
        <x:f>IF($A100="","",IF(AND($G100="Yes",AC$2=XLOOKUP($A100,TasksTable[Task ID],TasksTable[Start Date],"")),"◆",""))</x:f>
      </x:c>
      <x:c r="AD100" s="90" t="str">
        <x:f>IF($A100="","",IF(AND($G100="Yes",AD$2=XLOOKUP($A100,TasksTable[Task ID],TasksTable[Start Date],"")),"◆",""))</x:f>
      </x:c>
      <x:c r="AE100" s="90" t="str">
        <x:f>IF($A100="","",IF(AND($G100="Yes",AE$2=XLOOKUP($A100,TasksTable[Task ID],TasksTable[Start Date],"")),"◆",""))</x:f>
      </x:c>
      <x:c r="AF100" s="90" t="str">
        <x:f>IF($A100="","",IF(AND($G100="Yes",AF$2=XLOOKUP($A100,TasksTable[Task ID],TasksTable[Start Date],"")),"◆",""))</x:f>
      </x:c>
      <x:c r="AG100" s="90" t="str">
        <x:f>IF($A100="","",IF(AND($G100="Yes",AG$2=XLOOKUP($A100,TasksTable[Task ID],TasksTable[Start Date],"")),"◆",""))</x:f>
      </x:c>
      <x:c r="AH100" s="90" t="str">
        <x:f>IF($A100="","",IF(AND($G100="Yes",AH$2=XLOOKUP($A100,TasksTable[Task ID],TasksTable[Start Date],"")),"◆",""))</x:f>
      </x:c>
      <x:c r="AI100" s="90" t="str">
        <x:f>IF($A100="","",IF(AND($G100="Yes",AI$2=XLOOKUP($A100,TasksTable[Task ID],TasksTable[Start Date],"")),"◆",""))</x:f>
      </x:c>
      <x:c r="AJ100" s="90" t="str">
        <x:f>IF($A100="","",IF(AND($G100="Yes",AJ$2=XLOOKUP($A100,TasksTable[Task ID],TasksTable[Start Date],"")),"◆",""))</x:f>
      </x:c>
      <x:c r="AK100" s="90" t="str">
        <x:f>IF($A100="","",IF(AND($G100="Yes",AK$2=XLOOKUP($A100,TasksTable[Task ID],TasksTable[Start Date],"")),"◆",""))</x:f>
      </x:c>
      <x:c r="AL100" s="90" t="str">
        <x:f>IF($A100="","",IF(AND($G100="Yes",AL$2=XLOOKUP($A100,TasksTable[Task ID],TasksTable[Start Date],"")),"◆",""))</x:f>
      </x:c>
      <x:c r="AM100" s="90" t="str">
        <x:f>IF($A100="","",IF(AND($G100="Yes",AM$2=XLOOKUP($A100,TasksTable[Task ID],TasksTable[Start Date],"")),"◆",""))</x:f>
      </x:c>
      <x:c r="AN100" s="90" t="str">
        <x:f>IF($A100="","",IF(AND($G100="Yes",AN$2=XLOOKUP($A100,TasksTable[Task ID],TasksTable[Start Date],"")),"◆",""))</x:f>
      </x:c>
      <x:c r="AO100" s="90" t="str">
        <x:f>IF($A100="","",IF(AND($G100="Yes",AO$2=XLOOKUP($A100,TasksTable[Task ID],TasksTable[Start Date],"")),"◆",""))</x:f>
      </x:c>
    </x:row>
    <x:row r="101">
      <x:c r="A101" s="10" t="str">
        <x:f>IFERROR(INDEX(TasksTable[Task ID],ROWS($A$4:A101)),"")</x:f>
      </x:c>
      <x:c r="B101" s="10" t="str">
        <x:f>IF($A101="","",IFERROR(XLOOKUP($A101,TasksTable[Task ID],TasksTable[Phase],""),""))</x:f>
      </x:c>
      <x:c r="C101" s="10" t="str">
        <x:f>IF($A101="","",IFERROR(XLOOKUP($A101,TasksTable[Task ID],TasksTable[Task Name],""),""))</x:f>
      </x:c>
      <x:c r="D101" s="10" t="str">
        <x:f>IF($A101="","",IFERROR(XLOOKUP($A101,TasksTable[Task ID],TasksTable[Status],""),""))</x:f>
      </x:c>
      <x:c r="E101" s="86" t="str">
        <x:f>IF($A101="","",IFERROR(XLOOKUP($A101,TasksTable[Task ID],TasksTable[Progress %],0),0))</x:f>
      </x:c>
      <x:c r="F101" s="10" t="str">
        <x:f>IF($A101="","",IFERROR(XLOOKUP($A101,TasksTable[Task ID],TasksTable[Schedule Health],""),""))</x:f>
      </x:c>
      <x:c r="G101" s="10" t="str">
        <x:f>IF($A101="","",IFERROR(XLOOKUP($A101,TasksTable[Task ID],TasksTable[Milestone],""),""))</x:f>
      </x:c>
      <x:c r="H101" s="90" t="str">
        <x:f>IF($A101="","",IF(AND($G101="Yes",H$2=XLOOKUP($A101,TasksTable[Task ID],TasksTable[Start Date],"")),"◆",""))</x:f>
      </x:c>
      <x:c r="I101" s="90" t="str">
        <x:f>IF($A101="","",IF(AND($G101="Yes",I$2=XLOOKUP($A101,TasksTable[Task ID],TasksTable[Start Date],"")),"◆",""))</x:f>
      </x:c>
      <x:c r="J101" s="90" t="str">
        <x:f>IF($A101="","",IF(AND($G101="Yes",J$2=XLOOKUP($A101,TasksTable[Task ID],TasksTable[Start Date],"")),"◆",""))</x:f>
      </x:c>
      <x:c r="K101" s="90" t="str">
        <x:f>IF($A101="","",IF(AND($G101="Yes",K$2=XLOOKUP($A101,TasksTable[Task ID],TasksTable[Start Date],"")),"◆",""))</x:f>
      </x:c>
      <x:c r="L101" s="90" t="str">
        <x:f>IF($A101="","",IF(AND($G101="Yes",L$2=XLOOKUP($A101,TasksTable[Task ID],TasksTable[Start Date],"")),"◆",""))</x:f>
      </x:c>
      <x:c r="M101" s="90" t="str">
        <x:f>IF($A101="","",IF(AND($G101="Yes",M$2=XLOOKUP($A101,TasksTable[Task ID],TasksTable[Start Date],"")),"◆",""))</x:f>
      </x:c>
      <x:c r="N101" s="90" t="str">
        <x:f>IF($A101="","",IF(AND($G101="Yes",N$2=XLOOKUP($A101,TasksTable[Task ID],TasksTable[Start Date],"")),"◆",""))</x:f>
      </x:c>
      <x:c r="O101" s="90" t="str">
        <x:f>IF($A101="","",IF(AND($G101="Yes",O$2=XLOOKUP($A101,TasksTable[Task ID],TasksTable[Start Date],"")),"◆",""))</x:f>
      </x:c>
      <x:c r="P101" s="90" t="str">
        <x:f>IF($A101="","",IF(AND($G101="Yes",P$2=XLOOKUP($A101,TasksTable[Task ID],TasksTable[Start Date],"")),"◆",""))</x:f>
      </x:c>
      <x:c r="Q101" s="90" t="str">
        <x:f>IF($A101="","",IF(AND($G101="Yes",Q$2=XLOOKUP($A101,TasksTable[Task ID],TasksTable[Start Date],"")),"◆",""))</x:f>
      </x:c>
      <x:c r="R101" s="90" t="str">
        <x:f>IF($A101="","",IF(AND($G101="Yes",R$2=XLOOKUP($A101,TasksTable[Task ID],TasksTable[Start Date],"")),"◆",""))</x:f>
      </x:c>
      <x:c r="S101" s="90" t="str">
        <x:f>IF($A101="","",IF(AND($G101="Yes",S$2=XLOOKUP($A101,TasksTable[Task ID],TasksTable[Start Date],"")),"◆",""))</x:f>
      </x:c>
      <x:c r="T101" s="90" t="str">
        <x:f>IF($A101="","",IF(AND($G101="Yes",T$2=XLOOKUP($A101,TasksTable[Task ID],TasksTable[Start Date],"")),"◆",""))</x:f>
      </x:c>
      <x:c r="U101" s="90" t="str">
        <x:f>IF($A101="","",IF(AND($G101="Yes",U$2=XLOOKUP($A101,TasksTable[Task ID],TasksTable[Start Date],"")),"◆",""))</x:f>
      </x:c>
      <x:c r="V101" s="90" t="str">
        <x:f>IF($A101="","",IF(AND($G101="Yes",V$2=XLOOKUP($A101,TasksTable[Task ID],TasksTable[Start Date],"")),"◆",""))</x:f>
      </x:c>
      <x:c r="W101" s="90" t="str">
        <x:f>IF($A101="","",IF(AND($G101="Yes",W$2=XLOOKUP($A101,TasksTable[Task ID],TasksTable[Start Date],"")),"◆",""))</x:f>
      </x:c>
      <x:c r="X101" s="90" t="str">
        <x:f>IF($A101="","",IF(AND($G101="Yes",X$2=XLOOKUP($A101,TasksTable[Task ID],TasksTable[Start Date],"")),"◆",""))</x:f>
      </x:c>
      <x:c r="Y101" s="90" t="str">
        <x:f>IF($A101="","",IF(AND($G101="Yes",Y$2=XLOOKUP($A101,TasksTable[Task ID],TasksTable[Start Date],"")),"◆",""))</x:f>
      </x:c>
      <x:c r="Z101" s="90" t="str">
        <x:f>IF($A101="","",IF(AND($G101="Yes",Z$2=XLOOKUP($A101,TasksTable[Task ID],TasksTable[Start Date],"")),"◆",""))</x:f>
      </x:c>
      <x:c r="AA101" s="90" t="str">
        <x:f>IF($A101="","",IF(AND($G101="Yes",AA$2=XLOOKUP($A101,TasksTable[Task ID],TasksTable[Start Date],"")),"◆",""))</x:f>
      </x:c>
      <x:c r="AB101" s="90" t="str">
        <x:f>IF($A101="","",IF(AND($G101="Yes",AB$2=XLOOKUP($A101,TasksTable[Task ID],TasksTable[Start Date],"")),"◆",""))</x:f>
      </x:c>
      <x:c r="AC101" s="90" t="str">
        <x:f>IF($A101="","",IF(AND($G101="Yes",AC$2=XLOOKUP($A101,TasksTable[Task ID],TasksTable[Start Date],"")),"◆",""))</x:f>
      </x:c>
      <x:c r="AD101" s="90" t="str">
        <x:f>IF($A101="","",IF(AND($G101="Yes",AD$2=XLOOKUP($A101,TasksTable[Task ID],TasksTable[Start Date],"")),"◆",""))</x:f>
      </x:c>
      <x:c r="AE101" s="90" t="str">
        <x:f>IF($A101="","",IF(AND($G101="Yes",AE$2=XLOOKUP($A101,TasksTable[Task ID],TasksTable[Start Date],"")),"◆",""))</x:f>
      </x:c>
      <x:c r="AF101" s="90" t="str">
        <x:f>IF($A101="","",IF(AND($G101="Yes",AF$2=XLOOKUP($A101,TasksTable[Task ID],TasksTable[Start Date],"")),"◆",""))</x:f>
      </x:c>
      <x:c r="AG101" s="90" t="str">
        <x:f>IF($A101="","",IF(AND($G101="Yes",AG$2=XLOOKUP($A101,TasksTable[Task ID],TasksTable[Start Date],"")),"◆",""))</x:f>
      </x:c>
      <x:c r="AH101" s="90" t="str">
        <x:f>IF($A101="","",IF(AND($G101="Yes",AH$2=XLOOKUP($A101,TasksTable[Task ID],TasksTable[Start Date],"")),"◆",""))</x:f>
      </x:c>
      <x:c r="AI101" s="90" t="str">
        <x:f>IF($A101="","",IF(AND($G101="Yes",AI$2=XLOOKUP($A101,TasksTable[Task ID],TasksTable[Start Date],"")),"◆",""))</x:f>
      </x:c>
      <x:c r="AJ101" s="90" t="str">
        <x:f>IF($A101="","",IF(AND($G101="Yes",AJ$2=XLOOKUP($A101,TasksTable[Task ID],TasksTable[Start Date],"")),"◆",""))</x:f>
      </x:c>
      <x:c r="AK101" s="90" t="str">
        <x:f>IF($A101="","",IF(AND($G101="Yes",AK$2=XLOOKUP($A101,TasksTable[Task ID],TasksTable[Start Date],"")),"◆",""))</x:f>
      </x:c>
      <x:c r="AL101" s="90" t="str">
        <x:f>IF($A101="","",IF(AND($G101="Yes",AL$2=XLOOKUP($A101,TasksTable[Task ID],TasksTable[Start Date],"")),"◆",""))</x:f>
      </x:c>
      <x:c r="AM101" s="90" t="str">
        <x:f>IF($A101="","",IF(AND($G101="Yes",AM$2=XLOOKUP($A101,TasksTable[Task ID],TasksTable[Start Date],"")),"◆",""))</x:f>
      </x:c>
      <x:c r="AN101" s="90" t="str">
        <x:f>IF($A101="","",IF(AND($G101="Yes",AN$2=XLOOKUP($A101,TasksTable[Task ID],TasksTable[Start Date],"")),"◆",""))</x:f>
      </x:c>
      <x:c r="AO101" s="90" t="str">
        <x:f>IF($A101="","",IF(AND($G101="Yes",AO$2=XLOOKUP($A101,TasksTable[Task ID],TasksTable[Start Date],"")),"◆",""))</x:f>
      </x:c>
    </x:row>
    <x:row r="102">
      <x:c r="A102" s="10" t="str">
        <x:f>IFERROR(INDEX(TasksTable[Task ID],ROWS($A$4:A102)),"")</x:f>
      </x:c>
      <x:c r="B102" s="10" t="str">
        <x:f>IF($A102="","",IFERROR(XLOOKUP($A102,TasksTable[Task ID],TasksTable[Phase],""),""))</x:f>
      </x:c>
      <x:c r="C102" s="10" t="str">
        <x:f>IF($A102="","",IFERROR(XLOOKUP($A102,TasksTable[Task ID],TasksTable[Task Name],""),""))</x:f>
      </x:c>
      <x:c r="D102" s="10" t="str">
        <x:f>IF($A102="","",IFERROR(XLOOKUP($A102,TasksTable[Task ID],TasksTable[Status],""),""))</x:f>
      </x:c>
      <x:c r="E102" s="86" t="str">
        <x:f>IF($A102="","",IFERROR(XLOOKUP($A102,TasksTable[Task ID],TasksTable[Progress %],0),0))</x:f>
      </x:c>
      <x:c r="F102" s="10" t="str">
        <x:f>IF($A102="","",IFERROR(XLOOKUP($A102,TasksTable[Task ID],TasksTable[Schedule Health],""),""))</x:f>
      </x:c>
      <x:c r="G102" s="10" t="str">
        <x:f>IF($A102="","",IFERROR(XLOOKUP($A102,TasksTable[Task ID],TasksTable[Milestone],""),""))</x:f>
      </x:c>
      <x:c r="H102" s="90" t="str">
        <x:f>IF($A102="","",IF(AND($G102="Yes",H$2=XLOOKUP($A102,TasksTable[Task ID],TasksTable[Start Date],"")),"◆",""))</x:f>
      </x:c>
      <x:c r="I102" s="90" t="str">
        <x:f>IF($A102="","",IF(AND($G102="Yes",I$2=XLOOKUP($A102,TasksTable[Task ID],TasksTable[Start Date],"")),"◆",""))</x:f>
      </x:c>
      <x:c r="J102" s="90" t="str">
        <x:f>IF($A102="","",IF(AND($G102="Yes",J$2=XLOOKUP($A102,TasksTable[Task ID],TasksTable[Start Date],"")),"◆",""))</x:f>
      </x:c>
      <x:c r="K102" s="90" t="str">
        <x:f>IF($A102="","",IF(AND($G102="Yes",K$2=XLOOKUP($A102,TasksTable[Task ID],TasksTable[Start Date],"")),"◆",""))</x:f>
      </x:c>
      <x:c r="L102" s="90" t="str">
        <x:f>IF($A102="","",IF(AND($G102="Yes",L$2=XLOOKUP($A102,TasksTable[Task ID],TasksTable[Start Date],"")),"◆",""))</x:f>
      </x:c>
      <x:c r="M102" s="90" t="str">
        <x:f>IF($A102="","",IF(AND($G102="Yes",M$2=XLOOKUP($A102,TasksTable[Task ID],TasksTable[Start Date],"")),"◆",""))</x:f>
      </x:c>
      <x:c r="N102" s="90" t="str">
        <x:f>IF($A102="","",IF(AND($G102="Yes",N$2=XLOOKUP($A102,TasksTable[Task ID],TasksTable[Start Date],"")),"◆",""))</x:f>
      </x:c>
      <x:c r="O102" s="90" t="str">
        <x:f>IF($A102="","",IF(AND($G102="Yes",O$2=XLOOKUP($A102,TasksTable[Task ID],TasksTable[Start Date],"")),"◆",""))</x:f>
      </x:c>
      <x:c r="P102" s="90" t="str">
        <x:f>IF($A102="","",IF(AND($G102="Yes",P$2=XLOOKUP($A102,TasksTable[Task ID],TasksTable[Start Date],"")),"◆",""))</x:f>
      </x:c>
      <x:c r="Q102" s="90" t="str">
        <x:f>IF($A102="","",IF(AND($G102="Yes",Q$2=XLOOKUP($A102,TasksTable[Task ID],TasksTable[Start Date],"")),"◆",""))</x:f>
      </x:c>
      <x:c r="R102" s="90" t="str">
        <x:f>IF($A102="","",IF(AND($G102="Yes",R$2=XLOOKUP($A102,TasksTable[Task ID],TasksTable[Start Date],"")),"◆",""))</x:f>
      </x:c>
      <x:c r="S102" s="90" t="str">
        <x:f>IF($A102="","",IF(AND($G102="Yes",S$2=XLOOKUP($A102,TasksTable[Task ID],TasksTable[Start Date],"")),"◆",""))</x:f>
      </x:c>
      <x:c r="T102" s="90" t="str">
        <x:f>IF($A102="","",IF(AND($G102="Yes",T$2=XLOOKUP($A102,TasksTable[Task ID],TasksTable[Start Date],"")),"◆",""))</x:f>
      </x:c>
      <x:c r="U102" s="90" t="str">
        <x:f>IF($A102="","",IF(AND($G102="Yes",U$2=XLOOKUP($A102,TasksTable[Task ID],TasksTable[Start Date],"")),"◆",""))</x:f>
      </x:c>
      <x:c r="V102" s="90" t="str">
        <x:f>IF($A102="","",IF(AND($G102="Yes",V$2=XLOOKUP($A102,TasksTable[Task ID],TasksTable[Start Date],"")),"◆",""))</x:f>
      </x:c>
      <x:c r="W102" s="90" t="str">
        <x:f>IF($A102="","",IF(AND($G102="Yes",W$2=XLOOKUP($A102,TasksTable[Task ID],TasksTable[Start Date],"")),"◆",""))</x:f>
      </x:c>
      <x:c r="X102" s="90" t="str">
        <x:f>IF($A102="","",IF(AND($G102="Yes",X$2=XLOOKUP($A102,TasksTable[Task ID],TasksTable[Start Date],"")),"◆",""))</x:f>
      </x:c>
      <x:c r="Y102" s="90" t="str">
        <x:f>IF($A102="","",IF(AND($G102="Yes",Y$2=XLOOKUP($A102,TasksTable[Task ID],TasksTable[Start Date],"")),"◆",""))</x:f>
      </x:c>
      <x:c r="Z102" s="90" t="str">
        <x:f>IF($A102="","",IF(AND($G102="Yes",Z$2=XLOOKUP($A102,TasksTable[Task ID],TasksTable[Start Date],"")),"◆",""))</x:f>
      </x:c>
      <x:c r="AA102" s="90" t="str">
        <x:f>IF($A102="","",IF(AND($G102="Yes",AA$2=XLOOKUP($A102,TasksTable[Task ID],TasksTable[Start Date],"")),"◆",""))</x:f>
      </x:c>
      <x:c r="AB102" s="90" t="str">
        <x:f>IF($A102="","",IF(AND($G102="Yes",AB$2=XLOOKUP($A102,TasksTable[Task ID],TasksTable[Start Date],"")),"◆",""))</x:f>
      </x:c>
      <x:c r="AC102" s="90" t="str">
        <x:f>IF($A102="","",IF(AND($G102="Yes",AC$2=XLOOKUP($A102,TasksTable[Task ID],TasksTable[Start Date],"")),"◆",""))</x:f>
      </x:c>
      <x:c r="AD102" s="90" t="str">
        <x:f>IF($A102="","",IF(AND($G102="Yes",AD$2=XLOOKUP($A102,TasksTable[Task ID],TasksTable[Start Date],"")),"◆",""))</x:f>
      </x:c>
      <x:c r="AE102" s="90" t="str">
        <x:f>IF($A102="","",IF(AND($G102="Yes",AE$2=XLOOKUP($A102,TasksTable[Task ID],TasksTable[Start Date],"")),"◆",""))</x:f>
      </x:c>
      <x:c r="AF102" s="90" t="str">
        <x:f>IF($A102="","",IF(AND($G102="Yes",AF$2=XLOOKUP($A102,TasksTable[Task ID],TasksTable[Start Date],"")),"◆",""))</x:f>
      </x:c>
      <x:c r="AG102" s="90" t="str">
        <x:f>IF($A102="","",IF(AND($G102="Yes",AG$2=XLOOKUP($A102,TasksTable[Task ID],TasksTable[Start Date],"")),"◆",""))</x:f>
      </x:c>
      <x:c r="AH102" s="90" t="str">
        <x:f>IF($A102="","",IF(AND($G102="Yes",AH$2=XLOOKUP($A102,TasksTable[Task ID],TasksTable[Start Date],"")),"◆",""))</x:f>
      </x:c>
      <x:c r="AI102" s="90" t="str">
        <x:f>IF($A102="","",IF(AND($G102="Yes",AI$2=XLOOKUP($A102,TasksTable[Task ID],TasksTable[Start Date],"")),"◆",""))</x:f>
      </x:c>
      <x:c r="AJ102" s="90" t="str">
        <x:f>IF($A102="","",IF(AND($G102="Yes",AJ$2=XLOOKUP($A102,TasksTable[Task ID],TasksTable[Start Date],"")),"◆",""))</x:f>
      </x:c>
      <x:c r="AK102" s="90" t="str">
        <x:f>IF($A102="","",IF(AND($G102="Yes",AK$2=XLOOKUP($A102,TasksTable[Task ID],TasksTable[Start Date],"")),"◆",""))</x:f>
      </x:c>
      <x:c r="AL102" s="90" t="str">
        <x:f>IF($A102="","",IF(AND($G102="Yes",AL$2=XLOOKUP($A102,TasksTable[Task ID],TasksTable[Start Date],"")),"◆",""))</x:f>
      </x:c>
      <x:c r="AM102" s="90" t="str">
        <x:f>IF($A102="","",IF(AND($G102="Yes",AM$2=XLOOKUP($A102,TasksTable[Task ID],TasksTable[Start Date],"")),"◆",""))</x:f>
      </x:c>
      <x:c r="AN102" s="90" t="str">
        <x:f>IF($A102="","",IF(AND($G102="Yes",AN$2=XLOOKUP($A102,TasksTable[Task ID],TasksTable[Start Date],"")),"◆",""))</x:f>
      </x:c>
      <x:c r="AO102" s="90" t="str">
        <x:f>IF($A102="","",IF(AND($G102="Yes",AO$2=XLOOKUP($A102,TasksTable[Task ID],TasksTable[Start Date],"")),"◆",""))</x:f>
      </x:c>
    </x:row>
    <x:row r="103">
      <x:c r="A103" s="10" t="str">
        <x:f>IFERROR(INDEX(TasksTable[Task ID],ROWS($A$4:A103)),"")</x:f>
      </x:c>
      <x:c r="B103" s="10" t="str">
        <x:f>IF($A103="","",IFERROR(XLOOKUP($A103,TasksTable[Task ID],TasksTable[Phase],""),""))</x:f>
      </x:c>
      <x:c r="C103" s="10" t="str">
        <x:f>IF($A103="","",IFERROR(XLOOKUP($A103,TasksTable[Task ID],TasksTable[Task Name],""),""))</x:f>
      </x:c>
      <x:c r="D103" s="10" t="str">
        <x:f>IF($A103="","",IFERROR(XLOOKUP($A103,TasksTable[Task ID],TasksTable[Status],""),""))</x:f>
      </x:c>
      <x:c r="E103" s="86" t="str">
        <x:f>IF($A103="","",IFERROR(XLOOKUP($A103,TasksTable[Task ID],TasksTable[Progress %],0),0))</x:f>
      </x:c>
      <x:c r="F103" s="10" t="str">
        <x:f>IF($A103="","",IFERROR(XLOOKUP($A103,TasksTable[Task ID],TasksTable[Schedule Health],""),""))</x:f>
      </x:c>
      <x:c r="G103" s="10" t="str">
        <x:f>IF($A103="","",IFERROR(XLOOKUP($A103,TasksTable[Task ID],TasksTable[Milestone],""),""))</x:f>
      </x:c>
      <x:c r="H103" s="90" t="str">
        <x:f>IF($A103="","",IF(AND($G103="Yes",H$2=XLOOKUP($A103,TasksTable[Task ID],TasksTable[Start Date],"")),"◆",""))</x:f>
      </x:c>
      <x:c r="I103" s="90" t="str">
        <x:f>IF($A103="","",IF(AND($G103="Yes",I$2=XLOOKUP($A103,TasksTable[Task ID],TasksTable[Start Date],"")),"◆",""))</x:f>
      </x:c>
      <x:c r="J103" s="90" t="str">
        <x:f>IF($A103="","",IF(AND($G103="Yes",J$2=XLOOKUP($A103,TasksTable[Task ID],TasksTable[Start Date],"")),"◆",""))</x:f>
      </x:c>
      <x:c r="K103" s="90" t="str">
        <x:f>IF($A103="","",IF(AND($G103="Yes",K$2=XLOOKUP($A103,TasksTable[Task ID],TasksTable[Start Date],"")),"◆",""))</x:f>
      </x:c>
      <x:c r="L103" s="90" t="str">
        <x:f>IF($A103="","",IF(AND($G103="Yes",L$2=XLOOKUP($A103,TasksTable[Task ID],TasksTable[Start Date],"")),"◆",""))</x:f>
      </x:c>
      <x:c r="M103" s="90" t="str">
        <x:f>IF($A103="","",IF(AND($G103="Yes",M$2=XLOOKUP($A103,TasksTable[Task ID],TasksTable[Start Date],"")),"◆",""))</x:f>
      </x:c>
      <x:c r="N103" s="90" t="str">
        <x:f>IF($A103="","",IF(AND($G103="Yes",N$2=XLOOKUP($A103,TasksTable[Task ID],TasksTable[Start Date],"")),"◆",""))</x:f>
      </x:c>
      <x:c r="O103" s="90" t="str">
        <x:f>IF($A103="","",IF(AND($G103="Yes",O$2=XLOOKUP($A103,TasksTable[Task ID],TasksTable[Start Date],"")),"◆",""))</x:f>
      </x:c>
      <x:c r="P103" s="90" t="str">
        <x:f>IF($A103="","",IF(AND($G103="Yes",P$2=XLOOKUP($A103,TasksTable[Task ID],TasksTable[Start Date],"")),"◆",""))</x:f>
      </x:c>
      <x:c r="Q103" s="90" t="str">
        <x:f>IF($A103="","",IF(AND($G103="Yes",Q$2=XLOOKUP($A103,TasksTable[Task ID],TasksTable[Start Date],"")),"◆",""))</x:f>
      </x:c>
      <x:c r="R103" s="90" t="str">
        <x:f>IF($A103="","",IF(AND($G103="Yes",R$2=XLOOKUP($A103,TasksTable[Task ID],TasksTable[Start Date],"")),"◆",""))</x:f>
      </x:c>
      <x:c r="S103" s="90" t="str">
        <x:f>IF($A103="","",IF(AND($G103="Yes",S$2=XLOOKUP($A103,TasksTable[Task ID],TasksTable[Start Date],"")),"◆",""))</x:f>
      </x:c>
      <x:c r="T103" s="90" t="str">
        <x:f>IF($A103="","",IF(AND($G103="Yes",T$2=XLOOKUP($A103,TasksTable[Task ID],TasksTable[Start Date],"")),"◆",""))</x:f>
      </x:c>
      <x:c r="U103" s="90" t="str">
        <x:f>IF($A103="","",IF(AND($G103="Yes",U$2=XLOOKUP($A103,TasksTable[Task ID],TasksTable[Start Date],"")),"◆",""))</x:f>
      </x:c>
      <x:c r="V103" s="90" t="str">
        <x:f>IF($A103="","",IF(AND($G103="Yes",V$2=XLOOKUP($A103,TasksTable[Task ID],TasksTable[Start Date],"")),"◆",""))</x:f>
      </x:c>
      <x:c r="W103" s="90" t="str">
        <x:f>IF($A103="","",IF(AND($G103="Yes",W$2=XLOOKUP($A103,TasksTable[Task ID],TasksTable[Start Date],"")),"◆",""))</x:f>
      </x:c>
      <x:c r="X103" s="90" t="str">
        <x:f>IF($A103="","",IF(AND($G103="Yes",X$2=XLOOKUP($A103,TasksTable[Task ID],TasksTable[Start Date],"")),"◆",""))</x:f>
      </x:c>
      <x:c r="Y103" s="90" t="str">
        <x:f>IF($A103="","",IF(AND($G103="Yes",Y$2=XLOOKUP($A103,TasksTable[Task ID],TasksTable[Start Date],"")),"◆",""))</x:f>
      </x:c>
      <x:c r="Z103" s="90" t="str">
        <x:f>IF($A103="","",IF(AND($G103="Yes",Z$2=XLOOKUP($A103,TasksTable[Task ID],TasksTable[Start Date],"")),"◆",""))</x:f>
      </x:c>
      <x:c r="AA103" s="90" t="str">
        <x:f>IF($A103="","",IF(AND($G103="Yes",AA$2=XLOOKUP($A103,TasksTable[Task ID],TasksTable[Start Date],"")),"◆",""))</x:f>
      </x:c>
      <x:c r="AB103" s="90" t="str">
        <x:f>IF($A103="","",IF(AND($G103="Yes",AB$2=XLOOKUP($A103,TasksTable[Task ID],TasksTable[Start Date],"")),"◆",""))</x:f>
      </x:c>
      <x:c r="AC103" s="90" t="str">
        <x:f>IF($A103="","",IF(AND($G103="Yes",AC$2=XLOOKUP($A103,TasksTable[Task ID],TasksTable[Start Date],"")),"◆",""))</x:f>
      </x:c>
      <x:c r="AD103" s="90" t="str">
        <x:f>IF($A103="","",IF(AND($G103="Yes",AD$2=XLOOKUP($A103,TasksTable[Task ID],TasksTable[Start Date],"")),"◆",""))</x:f>
      </x:c>
      <x:c r="AE103" s="90" t="str">
        <x:f>IF($A103="","",IF(AND($G103="Yes",AE$2=XLOOKUP($A103,TasksTable[Task ID],TasksTable[Start Date],"")),"◆",""))</x:f>
      </x:c>
      <x:c r="AF103" s="90" t="str">
        <x:f>IF($A103="","",IF(AND($G103="Yes",AF$2=XLOOKUP($A103,TasksTable[Task ID],TasksTable[Start Date],"")),"◆",""))</x:f>
      </x:c>
      <x:c r="AG103" s="90" t="str">
        <x:f>IF($A103="","",IF(AND($G103="Yes",AG$2=XLOOKUP($A103,TasksTable[Task ID],TasksTable[Start Date],"")),"◆",""))</x:f>
      </x:c>
      <x:c r="AH103" s="90" t="str">
        <x:f>IF($A103="","",IF(AND($G103="Yes",AH$2=XLOOKUP($A103,TasksTable[Task ID],TasksTable[Start Date],"")),"◆",""))</x:f>
      </x:c>
      <x:c r="AI103" s="90" t="str">
        <x:f>IF($A103="","",IF(AND($G103="Yes",AI$2=XLOOKUP($A103,TasksTable[Task ID],TasksTable[Start Date],"")),"◆",""))</x:f>
      </x:c>
      <x:c r="AJ103" s="90" t="str">
        <x:f>IF($A103="","",IF(AND($G103="Yes",AJ$2=XLOOKUP($A103,TasksTable[Task ID],TasksTable[Start Date],"")),"◆",""))</x:f>
      </x:c>
      <x:c r="AK103" s="90" t="str">
        <x:f>IF($A103="","",IF(AND($G103="Yes",AK$2=XLOOKUP($A103,TasksTable[Task ID],TasksTable[Start Date],"")),"◆",""))</x:f>
      </x:c>
      <x:c r="AL103" s="90" t="str">
        <x:f>IF($A103="","",IF(AND($G103="Yes",AL$2=XLOOKUP($A103,TasksTable[Task ID],TasksTable[Start Date],"")),"◆",""))</x:f>
      </x:c>
      <x:c r="AM103" s="90" t="str">
        <x:f>IF($A103="","",IF(AND($G103="Yes",AM$2=XLOOKUP($A103,TasksTable[Task ID],TasksTable[Start Date],"")),"◆",""))</x:f>
      </x:c>
      <x:c r="AN103" s="90" t="str">
        <x:f>IF($A103="","",IF(AND($G103="Yes",AN$2=XLOOKUP($A103,TasksTable[Task ID],TasksTable[Start Date],"")),"◆",""))</x:f>
      </x:c>
      <x:c r="AO103" s="90" t="str">
        <x:f>IF($A103="","",IF(AND($G103="Yes",AO$2=XLOOKUP($A103,TasksTable[Task ID],TasksTable[Start Date],"")),"◆",""))</x:f>
      </x:c>
    </x:row>
  </x:sheetData>
  <x:mergeCells>
    <x:mergeCell ref="A1:G1"/>
    <x:mergeCell ref="A2:G2"/>
    <x:mergeCell ref="H1:AA1"/>
    <x:mergeCell ref="AB1:AO1"/>
  </x:mergeCells>
  <x:conditionalFormatting sqref="H4:AO103">
    <x:cfRule type="expression" dxfId="9" priority="1">
      <x:formula>WEEKDAY(H$2,2)&gt;5</x:formula>
    </x:cfRule>
    <x:cfRule type="expression" dxfId="10" priority="2">
      <x:formula>AND($A4&lt;&gt;"",$G4="No",H$2&gt;=XLOOKUP($A4,TasksTable[Task ID],TasksTable[Start Date]),H$2&lt;=XLOOKUP($A4,TasksTable[Task ID],TasksTable[End Date]),$D4="Not Started")</x:formula>
    </x:cfRule>
    <x:cfRule type="expression" dxfId="11" priority="3">
      <x:formula>AND($A4&lt;&gt;"",$G4="No",H$2&gt;=XLOOKUP($A4,TasksTable[Task ID],TasksTable[Start Date]),H$2&lt;=XLOOKUP($A4,TasksTable[Task ID],TasksTable[End Date]),$D4="In Progress")</x:formula>
    </x:cfRule>
    <x:cfRule type="expression" dxfId="12" priority="4">
      <x:formula>AND($A4&lt;&gt;"",$G4="No",H$2&gt;=XLOOKUP($A4,TasksTable[Task ID],TasksTable[Start Date]),H$2&lt;=XLOOKUP($A4,TasksTable[Task ID],TasksTable[End Date]),$D4="Completed")</x:formula>
    </x:cfRule>
    <x:cfRule type="expression" dxfId="13" priority="5">
      <x:formula>AND($A4&lt;&gt;"",$G4="No",H$2&gt;=XLOOKUP($A4,TasksTable[Task ID],TasksTable[Start Date]),H$2&lt;=XLOOKUP($A4,TasksTable[Task ID],TasksTable[End Date]),$D4="Delayed")</x:formula>
    </x:cfRule>
    <x:cfRule type="expression" dxfId="14" priority="6">
      <x:formula>AND($A4&lt;&gt;"",$G4="No",H$2&gt;=XLOOKUP($A4,TasksTable[Task ID],TasksTable[Start Date]),H$2&lt;=XLOOKUP($A4,TasksTable[Task ID],TasksTable[End Date]),$D4="On Hold")</x:formula>
    </x:cfRule>
    <x:cfRule type="expression" dxfId="15" priority="7">
      <x:formula>AND($A4&lt;&gt;"",$G4="No",$E4&gt;0,H$2&gt;=XLOOKUP($A4,TasksTable[Task ID],TasksTable[Start Date]),H$2&lt;=XLOOKUP($A4,TasksTable[Task ID],TasksTable[Start Date])+ROUNDUP((XLOOKUP($A4,TasksTable[Task ID],TasksTable[End Date])-XLOOKUP($A4,TasksTable[Task ID],TasksTable[Start Date])+1)*$E4,0)-1)</x:formula>
    </x:cfRule>
    <x:cfRule type="expression" dxfId="16" priority="8">
      <x:formula>AND($A4&lt;&gt;"",$G4="Yes",H$2=XLOOKUP($A4,TasksTable[Task ID],TasksTable[Start Date]))</x:formula>
    </x:cfRule>
  </x:conditionalFormatting>
  <x:conditionalFormatting sqref="A4:G103">
    <x:cfRule type="expression" dxfId="17" priority="9">
      <x:formula>$F4="Dependency conflict"</x:formula>
    </x:cfRule>
    <x:cfRule type="expression" dxfId="18" priority="10">
      <x:formula>OR($F4="Outside window",$F4="Invalid dates",$F4="Invalid predecessor",$F4="Dependency cycle")</x:formula>
    </x:cfRule>
    <x:cfRule type="expression" dxfId="19" priority="11">
      <x:formula>$B4="M1 · Governance, Policy &amp; Canonical State Initialization"</x:formula>
    </x:cfRule>
    <x:cfRule type="expression" dxfId="20" priority="12">
      <x:formula>$B4="M2 · Governed Data Plane &amp; Central Storage Integration (Model A)"</x:formula>
    </x:cfRule>
    <x:cfRule type="expression" dxfId="21" priority="13">
      <x:formula>$B4="M3 · Sandbox Isolation &amp; Specialist Sub-Agent Readiness"</x:formula>
    </x:cfRule>
    <x:cfRule type="expression" dxfId="22" priority="14">
      <x:formula>$B4="M4 · Domain Intelligence Ingestion &amp; Asset Synthesis Complete"</x:formula>
    </x:cfRule>
    <x:cfRule type="expression" dxfId="23" priority="15">
      <x:formula>$B4="M5 · HITL Gateway Clearance &amp; Cryptographic Authorization"</x:formula>
    </x:cfRule>
    <x:cfRule type="expression" dxfId="24" priority="16">
      <x:formula>$B4="M6 · Outbound Actuation, Telemetry &amp; Omnichannel Go-Live"</x:formula>
    </x:cfRule>
    <x:cfRule type="expression" dxfId="25" priority="17">
      <x:formula>$B4="M7 · Closed-Loop Telemetry Optimization &amp; Final Project Closeout"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28" hidden="0" customWidth="1"/>
    <x:col min="4" max="4" width="13" hidden="0" customWidth="1"/>
    <x:col min="5" max="5" width="9" hidden="0" customWidth="1"/>
    <x:col min="6" max="6" width="28" hidden="0" customWidth="1"/>
    <x:col min="7" max="7" width="13" hidden="0" customWidth="1"/>
    <x:col min="8" max="8" width="9" hidden="0" customWidth="1"/>
    <x:col min="9" max="9" width="28" hidden="0" customWidth="1"/>
    <x:col min="10" max="10" width="13" hidden="0" customWidth="1"/>
    <x:col min="11" max="11" width="9" hidden="0" customWidth="1"/>
    <x:col min="12" max="12" width="28" hidden="0" customWidth="1"/>
    <x:col min="13" max="13" width="1.2000000476837158" hidden="0" customWidth="1"/>
    <x:col min="14" max="14" width="1.2000000476837158" hidden="0" customWidth="1"/>
    <x:col min="15" max="15" width="1.2000000476837158" hidden="0" customWidth="1"/>
    <x:col min="16" max="16" width="1.2000000476837158" hidden="0" customWidth="1"/>
  </x:cols>
  <x:sheetData>
    <x:row r="1" ht="30" customHeight="1">
      <x:c r="A1" s="4" t="str">
        <x:v>Project Management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N2" s="123" t="str">
        <x:v>Status</x:v>
      </x:c>
      <x:c r="O2" s="123" t="str">
        <x:v>Task Count</x:v>
      </x:c>
      <x:c r="Q2" s="123" t="str">
        <x:v>Phase</x:v>
      </x:c>
      <x:c r="R2" s="123" t="str">
        <x:v>Average Progress</x:v>
      </x:c>
      <x:c r="T2" s="123" t="str">
        <x:v>Resource / Owner</x:v>
      </x:c>
      <x:c r="U2" s="123" t="str">
        <x:v>Assigned Tasks</x:v>
      </x:c>
      <x:c r="W2" s="123" t="str">
        <x:v>Milestone State</x:v>
      </x:c>
      <x:c r="X2" s="123" t="str">
        <x:v>Count</x:v>
      </x:c>
    </x:row>
    <x:row r="3">
      <x:c r="A3" s="70" t="str">
        <x:v>Total Tasks</x:v>
      </x:c>
      <x:c r="B3" s="70"/>
      <x:c r="C3" s="70" t="str">
        <x:v>Completed Tasks</x:v>
      </x:c>
      <x:c r="D3" s="70"/>
      <x:c r="E3" s="70" t="str">
        <x:v>In-Progress Tasks</x:v>
      </x:c>
      <x:c r="F3" s="70"/>
      <x:c r="G3" s="70" t="str">
        <x:v>Not Started Tasks</x:v>
      </x:c>
      <x:c r="H3" s="70"/>
      <x:c r="I3" s="70" t="str">
        <x:v>Delayed Tasks</x:v>
      </x:c>
      <x:c r="J3" s="70"/>
      <x:c r="N3" s="114" t="str">
        <x:v>Not Started</x:v>
      </x:c>
      <x:c r="O3" s="114" t="n">
        <x:f>COUNTIFS(TasksTable[Milestone],"No",TasksTable[Status],N3)</x:f>
        <x:v>34</x:v>
      </x:c>
      <x:c r="Q3" s="114" t="str">
        <x:v>M1 · Governance, Policy &amp; Canonical State Initialization</x:v>
      </x:c>
      <x:c r="R3" s="118" t="n">
        <x:f>IFERROR(SUMIFS(TasksTable[Progress %],TasksTable[Phase],Q3,TasksTable[Milestone],"No")/COUNTIFS(TasksTable[Phase],Q3,TasksTable[Milestone],"No"),0)</x:f>
        <x:v>0</x:v>
      </x:c>
      <x:c r="T3" s="114" t="str">
        <x:v>Intelligence Engine (IE)</x:v>
      </x:c>
      <x:c r="U3" s="114" t="n">
        <x:f>COUNTIFS(TasksTable[Milestone],"No",TasksTable[Resource / Owner],T3)</x:f>
        <x:v>3</x:v>
      </x:c>
      <x:c r="W3" s="114" t="str">
        <x:v>Completed</x:v>
      </x:c>
      <x:c r="X3" s="114" t="n">
        <x:f>COUNTIFS(TasksTable[Milestone],"Yes",TasksTable[Status],"Completed")</x:f>
        <x:v>0</x:v>
      </x:c>
    </x:row>
    <x:row r="4">
      <x:c r="A4" s="110" t="n">
        <x:f>COUNTIF(TasksTable[Milestone],"No")</x:f>
        <x:v>34</x:v>
      </x:c>
      <x:c r="B4" s="110"/>
      <x:c r="C4" s="110" t="n">
        <x:f>COUNTIFS(TasksTable[Milestone],"No",TasksTable[Status],"Completed")</x:f>
        <x:v>0</x:v>
      </x:c>
      <x:c r="D4" s="110"/>
      <x:c r="E4" s="110" t="n">
        <x:f>COUNTIFS(TasksTable[Milestone],"No",TasksTable[Status],"In Progress")</x:f>
        <x:v>0</x:v>
      </x:c>
      <x:c r="F4" s="110"/>
      <x:c r="G4" s="110" t="n">
        <x:f>COUNTIFS(TasksTable[Milestone],"No",TasksTable[Status],"Not Started")</x:f>
        <x:v>34</x:v>
      </x:c>
      <x:c r="H4" s="110"/>
      <x:c r="I4" s="110" t="n">
        <x:f>COUNTIFS(TasksTable[Milestone],"No",TasksTable[Status],"Delayed")</x:f>
        <x:v>0</x:v>
      </x:c>
      <x:c r="J4" s="110"/>
      <x:c r="N4" s="114" t="str">
        <x:v>In Progress</x:v>
      </x:c>
      <x:c r="O4" s="114" t="n">
        <x:f>COUNTIFS(TasksTable[Milestone],"No",TasksTable[Status],N4)</x:f>
        <x:v>0</x:v>
      </x:c>
      <x:c r="Q4" s="114" t="str">
        <x:v>M2 · Governed Data Plane &amp; Central Storage Integration (Model A)</x:v>
      </x:c>
      <x:c r="R4" s="118" t="n">
        <x:f>IFERROR(SUMIFS(TasksTable[Progress %],TasksTable[Phase],Q4,TasksTable[Milestone],"No")/COUNTIFS(TasksTable[Phase],Q4,TasksTable[Milestone],"No"),0)</x:f>
        <x:v>0</x:v>
      </x:c>
      <x:c r="T4" s="114" t="str">
        <x:v>Sandbox Controller (agent_sandbox)</x:v>
      </x:c>
      <x:c r="U4" s="114" t="n">
        <x:f>COUNTIFS(TasksTable[Milestone],"No",TasksTable[Resource / Owner],T4)</x:f>
        <x:v>2</x:v>
      </x:c>
      <x:c r="W4" s="114" t="str">
        <x:v>Remaining</x:v>
      </x:c>
      <x:c r="X4" s="114" t="n">
        <x:f>COUNTIF(TasksTable[Milestone],"Yes")-X3</x:f>
        <x:v>7</x:v>
      </x:c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N5" s="114" t="str">
        <x:v>Completed</x:v>
      </x:c>
      <x:c r="O5" s="114" t="n">
        <x:f>COUNTIFS(TasksTable[Milestone],"No",TasksTable[Status],N5)</x:f>
        <x:v>0</x:v>
      </x:c>
      <x:c r="Q5" s="114" t="str">
        <x:v>M3 · Sandbox Isolation &amp; Specialist Sub-Agent Readiness</x:v>
      </x:c>
      <x:c r="R5" s="118" t="n">
        <x:f>IFERROR(SUMIFS(TasksTable[Progress %],TasksTable[Phase],Q5,TasksTable[Milestone],"No")/COUNTIFS(TasksTable[Phase],Q5,TasksTable[Milestone],"No"),0)</x:f>
        <x:v>0</x:v>
      </x:c>
      <x:c r="T5" s="114" t="str">
        <x:v>Agentic RAG Controller</x:v>
      </x:c>
      <x:c r="U5" s="114" t="n">
        <x:f>COUNTIFS(TasksTable[Milestone],"No",TasksTable[Resource / Owner],T5)</x:f>
        <x:v>1</x:v>
      </x:c>
    </x:row>
    <x:row r="6">
      <x:c r="N6" s="114" t="str">
        <x:v>On Hold</x:v>
      </x:c>
      <x:c r="O6" s="114" t="n">
        <x:f>COUNTIFS(TasksTable[Milestone],"No",TasksTable[Status],N6)</x:f>
        <x:v>0</x:v>
      </x:c>
      <x:c r="Q6" s="114" t="str">
        <x:v>M4 · Domain Intelligence Ingestion &amp; Asset Synthesis Complete</x:v>
      </x:c>
      <x:c r="R6" s="118" t="n">
        <x:f>IFERROR(SUMIFS(TasksTable[Progress %],TasksTable[Phase],Q6,TasksTable[Milestone],"No")/COUNTIFS(TasksTable[Phase],Q6,TasksTable[Milestone],"No"),0)</x:f>
        <x:v>0</x:v>
      </x:c>
      <x:c r="T6" s="114" t="str">
        <x:v>Artifact &amp; Evidence Registry (ART)</x:v>
      </x:c>
      <x:c r="U6" s="114" t="n">
        <x:f>COUNTIFS(TasksTable[Milestone],"No",TasksTable[Resource / Owner],T6)</x:f>
        <x:v>1</x:v>
      </x:c>
    </x:row>
    <x:row r="7">
      <x:c r="A7" s="70" t="str">
        <x:v>Overall Progress %</x:v>
      </x:c>
      <x:c r="B7" s="70"/>
      <x:c r="C7" s="70" t="str">
        <x:v>Total Milestones</x:v>
      </x:c>
      <x:c r="D7" s="70"/>
      <x:c r="E7" s="70" t="str">
        <x:v>Completed Milestones</x:v>
      </x:c>
      <x:c r="F7" s="70"/>
      <x:c r="G7" s="70" t="str">
        <x:v>Remaining Milestones</x:v>
      </x:c>
      <x:c r="H7" s="70"/>
      <x:c r="I7" s="70" t="str">
        <x:v>Project Days Remaining</x:v>
      </x:c>
      <x:c r="J7" s="70"/>
      <x:c r="N7" s="114" t="str">
        <x:v>Delayed</x:v>
      </x:c>
      <x:c r="O7" s="114" t="n">
        <x:f>COUNTIFS(TasksTable[Milestone],"No",TasksTable[Status],N7)</x:f>
        <x:v>0</x:v>
      </x:c>
      <x:c r="Q7" s="114" t="str">
        <x:v>M5 · HITL Gateway Clearance &amp; Cryptographic Authorization</x:v>
      </x:c>
      <x:c r="R7" s="118" t="n">
        <x:f>IFERROR(SUMIFS(TasksTable[Progress %],TasksTable[Phase],Q7,TasksTable[Milestone],"No")/COUNTIFS(TasksTable[Phase],Q7,TasksTable[Milestone],"No"),0)</x:f>
        <x:v>0</x:v>
      </x:c>
      <x:c r="T7" s="114" t="str">
        <x:v>Brand Stakeholder / Portfolio Owner</x:v>
      </x:c>
      <x:c r="U7" s="114" t="n">
        <x:f>COUNTIFS(TasksTable[Milestone],"No",TasksTable[Resource / Owner],T7)</x:f>
        <x:v>1</x:v>
      </x:c>
    </x:row>
    <x:row r="8">
      <x:c r="A8" s="112" t="n">
        <x:f>IFERROR(SUMIFS(TasksTable[Progress %],TasksTable[Milestone],"No")/COUNTIF(TasksTable[Milestone],"No"),0)</x:f>
        <x:v>0</x:v>
      </x:c>
      <x:c r="B8" s="112"/>
      <x:c r="C8" s="110" t="n">
        <x:f>COUNTIF(TasksTable[Milestone],"Yes")</x:f>
        <x:v>7</x:v>
      </x:c>
      <x:c r="D8" s="110"/>
      <x:c r="E8" s="110" t="n">
        <x:f>COUNTIFS(TasksTable[Milestone],"Yes",TasksTable[Status],"Completed")</x:f>
        <x:v>0</x:v>
      </x:c>
      <x:c r="F8" s="110"/>
      <x:c r="G8" s="110" t="n">
        <x:f>COUNTIF(TasksTable[Milestone],"Yes")-COUNTIFS(TasksTable[Milestone],"Yes",TasksTable[Status],"Completed")</x:f>
        <x:v>7</x:v>
      </x:c>
      <x:c r="H8" s="110"/>
      <x:c r="I8" s="110" t="n">
        <x:f>MAX(0,'Project Tracker'!$D$2-MAX(TODAY(),'Project Tracker'!$B$2)+1)</x:f>
        <x:v>34</x:v>
      </x:c>
      <x:c r="J8" s="110"/>
      <x:c r="Q8" s="114" t="str">
        <x:v>M6 · Outbound Actuation, Telemetry &amp; Omnichannel Go-Live</x:v>
      </x:c>
      <x:c r="R8" s="118" t="n">
        <x:f>IFERROR(SUMIFS(TasksTable[Progress %],TasksTable[Phase],Q8,TasksTable[Milestone],"No")/COUNTIFS(TasksTable[Phase],Q8,TasksTable[Milestone],"No"),0)</x:f>
        <x:v>0</x:v>
      </x:c>
      <x:c r="T8" s="114" t="str">
        <x:v>Canonical Task State Machine (CTS)</x:v>
      </x:c>
      <x:c r="U8" s="114" t="n">
        <x:f>COUNTIFS(TasksTable[Milestone],"No",TasksTable[Resource / Owner],T8)</x:f>
        <x:v>1</x:v>
      </x:c>
    </x:row>
    <x:row r="9">
      <x:c r="A9" s="112"/>
      <x:c r="B9" s="112"/>
      <x:c r="C9" s="110"/>
      <x:c r="D9" s="110"/>
      <x:c r="E9" s="110"/>
      <x:c r="F9" s="110"/>
      <x:c r="G9" s="110"/>
      <x:c r="H9" s="110"/>
      <x:c r="I9" s="110"/>
      <x:c r="J9" s="110"/>
      <x:c r="Q9" s="114" t="str">
        <x:v>M7 · Closed-Loop Telemetry Optimization &amp; Final Project Closeout</x:v>
      </x:c>
      <x:c r="R9" s="118" t="n">
        <x:f>IFERROR(SUMIFS(TasksTable[Progress %],TasksTable[Phase],Q9,TasksTable[Milestone],"No")/COUNTIFS(TasksTable[Phase],Q9,TasksTable[Milestone],"No"),0)</x:f>
        <x:v>0</x:v>
      </x:c>
      <x:c r="T9" s="114" t="str">
        <x:v>Central Enterprise Database (CDB)</x:v>
      </x:c>
      <x:c r="U9" s="114" t="n">
        <x:f>COUNTIFS(TasksTable[Milestone],"No",TasksTable[Resource / Owner],T9)</x:f>
        <x:v>1</x:v>
      </x:c>
    </x:row>
    <x:row r="10">
      <x:c r="T10" s="114" t="str">
        <x:v>Competitor Intel Engine &amp; S_SCRAPE</x:v>
      </x:c>
      <x:c r="U10" s="114" t="n">
        <x:f>COUNTIFS(TasksTable[Milestone],"No",TasksTable[Resource / Owner],T10)</x:f>
        <x:v>1</x:v>
      </x:c>
    </x:row>
    <x:row r="11">
      <x:c r="T11" s="114" t="str">
        <x:v>Creative &amp; Content Engine &amp; S_COPY</x:v>
      </x:c>
      <x:c r="U11" s="114" t="n">
        <x:f>COUNTIFS(TasksTable[Milestone],"No",TasksTable[Resource / Owner],T11)</x:f>
        <x:v>1</x:v>
      </x:c>
    </x:row>
    <x:row r="12">
      <x:c r="T12" s="114" t="str">
        <x:v>Customer Voice Engine &amp; S_PARSE</x:v>
      </x:c>
      <x:c r="U12" s="114" t="n">
        <x:f>COUNTIFS(TasksTable[Milestone],"No",TasksTable[Resource / Owner],T12)</x:f>
        <x:v>1</x:v>
      </x:c>
    </x:row>
    <x:row r="47">
      <x:c r="A47" s="66" t="str">
        <x:v>Upcoming &amp; Attention Queue</x:v>
      </x:c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</x:row>
    <x:row r="48">
      <x:c r="A48" s="127" t="str">
        <x:v>Next Upcoming Tasks</x:v>
      </x:c>
      <x:c r="B48" s="127"/>
      <x:c r="C48" s="127"/>
      <x:c r="D48" s="127" t="str">
        <x:v>Upcoming Milestones</x:v>
      </x:c>
      <x:c r="E48" s="127"/>
      <x:c r="F48" s="127"/>
      <x:c r="G48" s="127" t="str">
        <x:v>Approaching End Date (3 days)</x:v>
      </x:c>
      <x:c r="H48" s="127"/>
      <x:c r="I48" s="127"/>
      <x:c r="J48" s="127" t="str">
        <x:v>Delayed / Schedule-Conflicted</x:v>
      </x:c>
      <x:c r="K48" s="127"/>
      <x:c r="L48" s="127"/>
    </x:row>
    <x:row r="49">
      <x:c r="A49" s="131" t="str">
        <x:v>Date</x:v>
      </x:c>
      <x:c r="B49" s="131" t="str">
        <x:v>ID</x:v>
      </x:c>
      <x:c r="C49" s="131" t="str">
        <x:v>Task / Milestone</x:v>
      </x:c>
      <x:c r="D49" s="131" t="str">
        <x:v>Date</x:v>
      </x:c>
      <x:c r="E49" s="131" t="str">
        <x:v>ID</x:v>
      </x:c>
      <x:c r="F49" s="131" t="str">
        <x:v>Task / Milestone</x:v>
      </x:c>
      <x:c r="G49" s="131" t="str">
        <x:v>End Date</x:v>
      </x:c>
      <x:c r="H49" s="131" t="str">
        <x:v>ID</x:v>
      </x:c>
      <x:c r="I49" s="131" t="str">
        <x:v>Task</x:v>
      </x:c>
      <x:c r="J49" s="131" t="str">
        <x:v>End Date</x:v>
      </x:c>
      <x:c r="K49" s="131" t="str">
        <x:v>ID</x:v>
      </x:c>
      <x:c r="L49" s="131" t="str">
        <x:v>Task</x:v>
      </x:c>
      <x:c r="M49" s="137"/>
      <x:c r="N49" s="137"/>
      <x:c r="O49" s="137"/>
      <x:c r="P49" s="137"/>
    </x:row>
    <x:row r="50">
      <x:c r="A50" s="134" t="n">
        <x:f>IFERROR(INT(INDEX('Project Tracker'!$AG$7:$AG$206,MATCH(1,'Project Tracker'!$AK$7:$AK$206,0))),"")</x:f>
        <x:v>46276</x:v>
      </x:c>
      <x:c r="B50" s="8" t="str">
        <x:f>IFERROR(INDEX('Project Tracker'!$A$7:$A$206,MATCH(1,'Project Tracker'!$AK$7:$AK$206,0)),"")</x:f>
        <x:v>T01</x:v>
      </x:c>
      <x:c r="C50" s="8" t="str">
        <x:f>IFERROR(INDEX('Project Tracker'!$C$7:$C$206,MATCH(1,'Project Tracker'!$AK$7:$AK$206,0)),"")</x:f>
        <x:v>Define enterprise objectives, tenant scopes, and budget boundaries</x:v>
      </x:c>
      <x:c r="D50" s="134" t="n">
        <x:f>IFERROR(INT(INDEX('Project Tracker'!$AH$7:$AH$206,MATCH(1,'Project Tracker'!$AL$7:$AL$206,0))),"")</x:f>
        <x:v>46279</x:v>
      </x:c>
      <x:c r="E50" s="8" t="str">
        <x:f>IFERROR(INDEX('Project Tracker'!$A$7:$A$206,MATCH(1,'Project Tracker'!$AL$7:$AL$206,0)),"")</x:f>
        <x:v>M1</x:v>
      </x:c>
      <x:c r="F50" s="8" t="str">
        <x:f>IFERROR(INDEX('Project Tracker'!$C$7:$C$206,MATCH(1,'Project Tracker'!$AL$7:$AL$206,0)),"")</x:f>
        <x:v>Governance, Policy &amp; Canonical State Initialization</x:v>
      </x:c>
      <x:c r="G50" s="134" t="n">
        <x:f>IFERROR(INT(INDEX('Project Tracker'!$AI$7:$AI$206,MATCH(1,'Project Tracker'!$AM$7:$AM$206,0))),"")</x:f>
        <x:v>46277</x:v>
      </x:c>
      <x:c r="H50" s="8" t="str">
        <x:f>IFERROR(INDEX('Project Tracker'!$A$7:$A$206,MATCH(1,'Project Tracker'!$AM$7:$AM$206,0)),"")</x:f>
        <x:v>T01</x:v>
      </x:c>
      <x:c r="I50" s="8" t="str">
        <x:f>IFERROR(INDEX('Project Tracker'!$C$7:$C$206,MATCH(1,'Project Tracker'!$AM$7:$AM$206,0)),"")</x:f>
        <x:v>Define enterprise objectives, tenant scopes, and budget boundaries</x:v>
      </x:c>
      <x:c r="J50" s="134" t="str">
        <x:f>IFERROR(INT(INDEX('Project Tracker'!$AJ$7:$AJ$206,MATCH(1,'Project Tracker'!$AN$7:$AN$206,0))),"")</x:f>
      </x:c>
      <x:c r="K50" s="8" t="str">
        <x:f>IFERROR(INDEX('Project Tracker'!$A$7:$A$206,MATCH(1,'Project Tracker'!$AN$7:$AN$206,0)),"")</x:f>
      </x:c>
      <x:c r="L50" s="8" t="str">
        <x:f>IFERROR(INDEX('Project Tracker'!$C$7:$C$206,MATCH(1,'Project Tracker'!$AN$7:$AN$206,0)),"")</x:f>
      </x:c>
      <x:c r="M50" s="140"/>
      <x:c r="N50" s="140"/>
      <x:c r="O50" s="140"/>
      <x:c r="P50" s="140"/>
    </x:row>
    <x:row r="51">
      <x:c r="A51" s="134" t="n">
        <x:f>IFERROR(INT(INDEX('Project Tracker'!$AG$7:$AG$206,MATCH(2,'Project Tracker'!$AK$7:$AK$206,0))),"")</x:f>
        <x:v>46276</x:v>
      </x:c>
      <x:c r="B51" s="8" t="str">
        <x:f>IFERROR(INDEX('Project Tracker'!$A$7:$A$206,MATCH(2,'Project Tracker'!$AK$7:$AK$206,0)),"")</x:f>
        <x:v>T02</x:v>
      </x:c>
      <x:c r="C51" s="8" t="str">
        <x:f>IFERROR(INDEX('Project Tracker'!$C$7:$C$206,MATCH(2,'Project Tracker'!$AK$7:$AK$206,0)),"")</x:f>
        <x:v>Configure machine-readable policy rules, autonomy tiers, and claim limits</x:v>
      </x:c>
      <x:c r="D51" s="134" t="n">
        <x:f>IFERROR(INT(INDEX('Project Tracker'!$AH$7:$AH$206,MATCH(2,'Project Tracker'!$AL$7:$AL$206,0))),"")</x:f>
        <x:v>46284</x:v>
      </x:c>
      <x:c r="E51" s="8" t="str">
        <x:f>IFERROR(INDEX('Project Tracker'!$A$7:$A$206,MATCH(2,'Project Tracker'!$AL$7:$AL$206,0)),"")</x:f>
        <x:v>M2</x:v>
      </x:c>
      <x:c r="F51" s="8" t="str">
        <x:f>IFERROR(INDEX('Project Tracker'!$C$7:$C$206,MATCH(2,'Project Tracker'!$AL$7:$AL$206,0)),"")</x:f>
        <x:v>Governed Data Plane &amp; Central Storage Integration (Model A)</x:v>
      </x:c>
      <x:c r="G51" s="134" t="n">
        <x:f>IFERROR(INT(INDEX('Project Tracker'!$AI$7:$AI$206,MATCH(2,'Project Tracker'!$AM$7:$AM$206,0))),"")</x:f>
        <x:v>46277</x:v>
      </x:c>
      <x:c r="H51" s="8" t="str">
        <x:f>IFERROR(INDEX('Project Tracker'!$A$7:$A$206,MATCH(2,'Project Tracker'!$AM$7:$AM$206,0)),"")</x:f>
        <x:v>T02</x:v>
      </x:c>
      <x:c r="I51" s="8" t="str">
        <x:f>IFERROR(INDEX('Project Tracker'!$C$7:$C$206,MATCH(2,'Project Tracker'!$AM$7:$AM$206,0)),"")</x:f>
        <x:v>Configure machine-readable policy rules, autonomy tiers, and claim limits</x:v>
      </x:c>
      <x:c r="J51" s="134" t="str">
        <x:f>IFERROR(INT(INDEX('Project Tracker'!$AJ$7:$AJ$206,MATCH(2,'Project Tracker'!$AN$7:$AN$206,0))),"")</x:f>
      </x:c>
      <x:c r="K51" s="8" t="str">
        <x:f>IFERROR(INDEX('Project Tracker'!$A$7:$A$206,MATCH(2,'Project Tracker'!$AN$7:$AN$206,0)),"")</x:f>
      </x:c>
      <x:c r="L51" s="8" t="str">
        <x:f>IFERROR(INDEX('Project Tracker'!$C$7:$C$206,MATCH(2,'Project Tracker'!$AN$7:$AN$206,0)),"")</x:f>
      </x:c>
      <x:c r="M51" s="140"/>
      <x:c r="N51" s="140"/>
      <x:c r="O51" s="140"/>
      <x:c r="P51" s="140"/>
    </x:row>
    <x:row r="52">
      <x:c r="A52" s="134" t="n">
        <x:f>IFERROR(INT(INDEX('Project Tracker'!$AG$7:$AG$206,MATCH(3,'Project Tracker'!$AK$7:$AK$206,0))),"")</x:f>
        <x:v>46277</x:v>
      </x:c>
      <x:c r="B52" s="8" t="str">
        <x:f>IFERROR(INDEX('Project Tracker'!$A$7:$A$206,MATCH(3,'Project Tracker'!$AK$7:$AK$206,0)),"")</x:f>
        <x:v>T03</x:v>
      </x:c>
      <x:c r="C52" s="8" t="str">
        <x:f>IFERROR(INDEX('Project Tracker'!$C$7:$C$206,MATCH(3,'Project Tracker'!$AK$7:$AK$206,0)),"")</x:f>
        <x:v>Establish Policy &amp; Authorization Boundary (PAB) evaluation rules</x:v>
      </x:c>
      <x:c r="D52" s="134" t="n">
        <x:f>IFERROR(INT(INDEX('Project Tracker'!$AH$7:$AH$206,MATCH(3,'Project Tracker'!$AL$7:$AL$206,0))),"")</x:f>
        <x:v>46288</x:v>
      </x:c>
      <x:c r="E52" s="8" t="str">
        <x:f>IFERROR(INDEX('Project Tracker'!$A$7:$A$206,MATCH(3,'Project Tracker'!$AL$7:$AL$206,0)),"")</x:f>
        <x:v>M3</x:v>
      </x:c>
      <x:c r="F52" s="8" t="str">
        <x:f>IFERROR(INDEX('Project Tracker'!$C$7:$C$206,MATCH(3,'Project Tracker'!$AL$7:$AL$206,0)),"")</x:f>
        <x:v>Sandbox Isolation &amp; Specialist Sub-Agent Readiness</x:v>
      </x:c>
      <x:c r="G52" s="134" t="str">
        <x:f>IFERROR(INT(INDEX('Project Tracker'!$AI$7:$AI$206,MATCH(3,'Project Tracker'!$AM$7:$AM$206,0))),"")</x:f>
      </x:c>
      <x:c r="H52" s="8" t="str">
        <x:f>IFERROR(INDEX('Project Tracker'!$A$7:$A$206,MATCH(3,'Project Tracker'!$AM$7:$AM$206,0)),"")</x:f>
      </x:c>
      <x:c r="I52" s="8" t="str">
        <x:f>IFERROR(INDEX('Project Tracker'!$C$7:$C$206,MATCH(3,'Project Tracker'!$AM$7:$AM$206,0)),"")</x:f>
      </x:c>
      <x:c r="J52" s="134" t="str">
        <x:f>IFERROR(INT(INDEX('Project Tracker'!$AJ$7:$AJ$206,MATCH(3,'Project Tracker'!$AN$7:$AN$206,0))),"")</x:f>
      </x:c>
      <x:c r="K52" s="8" t="str">
        <x:f>IFERROR(INDEX('Project Tracker'!$A$7:$A$206,MATCH(3,'Project Tracker'!$AN$7:$AN$206,0)),"")</x:f>
      </x:c>
      <x:c r="L52" s="8" t="str">
        <x:f>IFERROR(INDEX('Project Tracker'!$C$7:$C$206,MATCH(3,'Project Tracker'!$AN$7:$AN$206,0)),"")</x:f>
      </x:c>
      <x:c r="M52" s="140"/>
      <x:c r="N52" s="140"/>
      <x:c r="O52" s="140"/>
      <x:c r="P52" s="140"/>
    </x:row>
    <x:row r="53">
      <x:c r="A53" s="134" t="n">
        <x:f>IFERROR(INT(INDEX('Project Tracker'!$AG$7:$AG$206,MATCH(4,'Project Tracker'!$AK$7:$AK$206,0))),"")</x:f>
        <x:v>46277</x:v>
      </x:c>
      <x:c r="B53" s="8" t="str">
        <x:f>IFERROR(INDEX('Project Tracker'!$A$7:$A$206,MATCH(4,'Project Tracker'!$AK$7:$AK$206,0)),"")</x:f>
        <x:v>T04</x:v>
      </x:c>
      <x:c r="C53" s="8" t="str">
        <x:f>IFERROR(INDEX('Project Tracker'!$C$7:$C$206,MATCH(4,'Project Tracker'!$AK$7:$AK$206,0)),"")</x:f>
        <x:v>Initialize Canonical Task State Machine (CTS) and DAG execution schema</x:v>
      </x:c>
      <x:c r="D53" s="134" t="n">
        <x:f>IFERROR(INT(INDEX('Project Tracker'!$AH$7:$AH$206,MATCH(4,'Project Tracker'!$AL$7:$AL$206,0))),"")</x:f>
        <x:v>46297</x:v>
      </x:c>
      <x:c r="E53" s="8" t="str">
        <x:f>IFERROR(INDEX('Project Tracker'!$A$7:$A$206,MATCH(4,'Project Tracker'!$AL$7:$AL$206,0)),"")</x:f>
        <x:v>M4</x:v>
      </x:c>
      <x:c r="F53" s="8" t="str">
        <x:f>IFERROR(INDEX('Project Tracker'!$C$7:$C$206,MATCH(4,'Project Tracker'!$AL$7:$AL$206,0)),"")</x:f>
        <x:v>Domain Intelligence Ingestion &amp; Asset Synthesis Complete</x:v>
      </x:c>
      <x:c r="G53" s="134" t="str">
        <x:f>IFERROR(INT(INDEX('Project Tracker'!$AI$7:$AI$206,MATCH(4,'Project Tracker'!$AM$7:$AM$206,0))),"")</x:f>
      </x:c>
      <x:c r="H53" s="8" t="str">
        <x:f>IFERROR(INDEX('Project Tracker'!$A$7:$A$206,MATCH(4,'Project Tracker'!$AM$7:$AM$206,0)),"")</x:f>
      </x:c>
      <x:c r="I53" s="8" t="str">
        <x:f>IFERROR(INDEX('Project Tracker'!$C$7:$C$206,MATCH(4,'Project Tracker'!$AM$7:$AM$206,0)),"")</x:f>
      </x:c>
      <x:c r="J53" s="134" t="str">
        <x:f>IFERROR(INT(INDEX('Project Tracker'!$AJ$7:$AJ$206,MATCH(4,'Project Tracker'!$AN$7:$AN$206,0))),"")</x:f>
      </x:c>
      <x:c r="K53" s="8" t="str">
        <x:f>IFERROR(INDEX('Project Tracker'!$A$7:$A$206,MATCH(4,'Project Tracker'!$AN$7:$AN$206,0)),"")</x:f>
      </x:c>
      <x:c r="L53" s="8" t="str">
        <x:f>IFERROR(INDEX('Project Tracker'!$C$7:$C$206,MATCH(4,'Project Tracker'!$AN$7:$AN$206,0)),"")</x:f>
      </x:c>
      <x:c r="M53" s="140"/>
      <x:c r="N53" s="140"/>
      <x:c r="O53" s="140"/>
      <x:c r="P53" s="140"/>
    </x:row>
    <x:row r="54">
      <x:c r="A54" s="134" t="n">
        <x:f>IFERROR(INT(INDEX('Project Tracker'!$AG$7:$AG$206,MATCH(5,'Project Tracker'!$AK$7:$AK$206,0))),"")</x:f>
        <x:v>46279</x:v>
      </x:c>
      <x:c r="B54" s="8" t="str">
        <x:f>IFERROR(INDEX('Project Tracker'!$A$7:$A$206,MATCH(5,'Project Tracker'!$AK$7:$AK$206,0)),"")</x:f>
        <x:v>T05</x:v>
      </x:c>
      <x:c r="C54" s="8" t="str">
        <x:f>IFERROR(INDEX('Project Tracker'!$C$7:$C$206,MATCH(5,'Project Tracker'!$AK$7:$AK$206,0)),"")</x:f>
        <x:v>Provision Central Enterprise Database (CDB) relational tables &amp; vector stores</x:v>
      </x:c>
      <x:c r="D54" s="134" t="n">
        <x:f>IFERROR(INT(INDEX('Project Tracker'!$AH$7:$AH$206,MATCH(5,'Project Tracker'!$AL$7:$AL$206,0))),"")</x:f>
        <x:v>46301</x:v>
      </x:c>
      <x:c r="E54" s="8" t="str">
        <x:f>IFERROR(INDEX('Project Tracker'!$A$7:$A$206,MATCH(5,'Project Tracker'!$AL$7:$AL$206,0)),"")</x:f>
        <x:v>M5</x:v>
      </x:c>
      <x:c r="F54" s="8" t="str">
        <x:f>IFERROR(INDEX('Project Tracker'!$C$7:$C$206,MATCH(5,'Project Tracker'!$AL$7:$AL$206,0)),"")</x:f>
        <x:v>HITL Gateway Clearance &amp; Cryptographic Authorization</x:v>
      </x:c>
      <x:c r="G54" s="134" t="str">
        <x:f>IFERROR(INT(INDEX('Project Tracker'!$AI$7:$AI$206,MATCH(5,'Project Tracker'!$AM$7:$AM$206,0))),"")</x:f>
      </x:c>
      <x:c r="H54" s="8" t="str">
        <x:f>IFERROR(INDEX('Project Tracker'!$A$7:$A$206,MATCH(5,'Project Tracker'!$AM$7:$AM$206,0)),"")</x:f>
      </x:c>
      <x:c r="I54" s="8" t="str">
        <x:f>IFERROR(INDEX('Project Tracker'!$C$7:$C$206,MATCH(5,'Project Tracker'!$AM$7:$AM$206,0)),"")</x:f>
      </x:c>
      <x:c r="J54" s="134" t="str">
        <x:f>IFERROR(INT(INDEX('Project Tracker'!$AJ$7:$AJ$206,MATCH(5,'Project Tracker'!$AN$7:$AN$206,0))),"")</x:f>
      </x:c>
      <x:c r="K54" s="8" t="str">
        <x:f>IFERROR(INDEX('Project Tracker'!$A$7:$A$206,MATCH(5,'Project Tracker'!$AN$7:$AN$206,0)),"")</x:f>
      </x:c>
      <x:c r="L54" s="8" t="str">
        <x:f>IFERROR(INDEX('Project Tracker'!$C$7:$C$206,MATCH(5,'Project Tracker'!$AN$7:$AN$206,0)),"")</x:f>
      </x:c>
      <x:c r="M54" s="140"/>
      <x:c r="N54" s="140"/>
      <x:c r="O54" s="140"/>
      <x:c r="P54" s="140"/>
    </x:row>
    <x:row r="55">
      <x:c r="A55" s="134"/>
      <x:c r="B55" s="8"/>
      <x:c r="C55" s="8"/>
      <x:c r="D55" s="134"/>
      <x:c r="E55" s="8"/>
      <x:c r="F55" s="8"/>
      <x:c r="G55" s="134"/>
      <x:c r="H55" s="8"/>
      <x:c r="I55" s="8"/>
      <x:c r="J55" s="134"/>
      <x:c r="K55" s="8"/>
      <x:c r="L55" s="8"/>
      <x:c r="M55" s="140"/>
      <x:c r="N55" s="140"/>
      <x:c r="O55" s="140"/>
      <x:c r="P55" s="140"/>
    </x:row>
  </x:sheetData>
  <x:mergeCells>
    <x:mergeCell ref="A1:L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7:B7"/>
    <x:mergeCell ref="A8:B9"/>
    <x:mergeCell ref="C7:D7"/>
    <x:mergeCell ref="C8:D9"/>
    <x:mergeCell ref="E7:F7"/>
    <x:mergeCell ref="E8:F9"/>
    <x:mergeCell ref="G7:H7"/>
    <x:mergeCell ref="G8:H9"/>
    <x:mergeCell ref="I7:J7"/>
    <x:mergeCell ref="I8:J9"/>
    <x:mergeCell ref="A47:L47"/>
    <x:mergeCell ref="A48:C48"/>
    <x:mergeCell ref="D48:F48"/>
    <x:mergeCell ref="G48:I48"/>
    <x:mergeCell ref="J48:L48"/>
  </x:mergeCells>
  <x:pageMargins left="0.7" right="0.7" top="0.75" bottom="0.75" header="0.3" footer="0.3"/>
  <x:drawing xmlns:r="http://schemas.openxmlformats.org/officeDocument/2006/relationships" r:id="R477ed5c252fb402d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48" hidden="0" customWidth="1"/>
    <x:col min="8" max="8" width="32" hidden="0" customWidth="1"/>
    <x:col min="9" max="9" width="28" hidden="0" customWidth="1"/>
  </x:cols>
  <x:sheetData>
    <x:row r="1">
      <x:c r="A1" s="4" t="str">
        <x:v>Resource Summary &amp; Workload Overlap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22" t="str">
        <x:v>Assignment counts and average progress are formula-driven from Project Tracker. Overlap flags do not assume capacity limits.</x:v>
      </x:c>
      <x:c r="B2" s="22"/>
      <x:c r="C2" s="22"/>
      <x:c r="D2" s="22"/>
      <x:c r="E2" s="22"/>
      <x:c r="F2" s="22"/>
      <x:c r="G2" s="22"/>
      <x:c r="H2" s="22"/>
      <x:c r="I2" s="22"/>
    </x:row>
    <x:row r="5">
      <x:c r="A5" s="29" t="str">
        <x:v>Resource</x:v>
      </x:c>
      <x:c r="B5" s="29" t="str">
        <x:v>Total Assigned Tasks</x:v>
      </x:c>
      <x:c r="C5" s="29" t="str">
        <x:v>Completed</x:v>
      </x:c>
      <x:c r="D5" s="29" t="str">
        <x:v>In Progress</x:v>
      </x:c>
      <x:c r="E5" s="29" t="str">
        <x:v>Remaining</x:v>
      </x:c>
      <x:c r="F5" s="29" t="str">
        <x:v>Average Progress</x:v>
      </x:c>
      <x:c r="G5" s="29" t="str">
        <x:v>Notes</x:v>
      </x:c>
      <x:c r="H5" s="29" t="str">
        <x:v>Overlap Indicator</x:v>
      </x:c>
      <x:c r="I5" s="29" t="str">
        <x:v>Source Assigned Tasks</x:v>
      </x:c>
    </x:row>
    <x:row r="6">
      <x:c r="A6" s="8" t="str">
        <x:v>Intelligence Engine (IE)</x:v>
      </x:c>
      <x:c r="B6" s="8" t="n">
        <x:f>COUNTIFS(TasksTable[Milestone],"No",TasksTable[Resource / Owner],A6)</x:f>
        <x:v>3</x:v>
      </x:c>
      <x:c r="C6" s="8" t="n">
        <x:f>COUNTIFS(TasksTable[Milestone],"No",TasksTable[Resource / Owner],A6,TasksTable[Status],"Completed")</x:f>
        <x:v>0</x:v>
      </x:c>
      <x:c r="D6" s="8" t="n">
        <x:f>COUNTIFS(TasksTable[Milestone],"No",TasksTable[Resource / Owner],A6,TasksTable[Status],"In Progress")</x:f>
        <x:v>0</x:v>
      </x:c>
      <x:c r="E6" s="8" t="n">
        <x:f>B6-C6</x:f>
        <x:v>3</x:v>
      </x:c>
      <x:c r="F6" s="84" t="n">
        <x:f>IFERROR(SUMIFS(TasksTable[Progress %],TasksTable[Resource / Owner],A6,TasksTable[Milestone],"No")/B6,0)</x:f>
        <x:v>0</x:v>
      </x:c>
      <x:c r="G6" s="8" t="str">
        <x:v>Task-schedule assignment for T15, T22, T23; supporting component roles are detailed in the source architecture.</x:v>
      </x:c>
      <x:c r="H6" s="8" t="str">
        <x:v>Potential overlap detected (T22 / T23, 2026-10-04 to 2026-10-04); no capacity limit is defined in the source.</x:v>
      </x:c>
      <x:c r="I6" s="8" t="str">
        <x:v>T15, T22, T23</x:v>
      </x:c>
    </x:row>
    <x:row r="7">
      <x:c r="A7" s="8" t="str">
        <x:v>Sandbox Controller (agent_sandbox)</x:v>
      </x:c>
      <x:c r="B7" s="8" t="n">
        <x:f>COUNTIFS(TasksTable[Milestone],"No",TasksTable[Resource / Owner],A7)</x:f>
        <x:v>2</x:v>
      </x:c>
      <x:c r="C7" s="8" t="n">
        <x:f>COUNTIFS(TasksTable[Milestone],"No",TasksTable[Resource / Owner],A7,TasksTable[Status],"Completed")</x:f>
        <x:v>0</x:v>
      </x:c>
      <x:c r="D7" s="8" t="n">
        <x:f>COUNTIFS(TasksTable[Milestone],"No",TasksTable[Resource / Owner],A7,TasksTable[Status],"In Progress")</x:f>
        <x:v>0</x:v>
      </x:c>
      <x:c r="E7" s="8" t="n">
        <x:f>B7-C7</x:f>
        <x:v>2</x:v>
      </x:c>
      <x:c r="F7" s="84" t="n">
        <x:f>IFERROR(SUMIFS(TasksTable[Progress %],TasksTable[Resource / Owner],A7,TasksTable[Milestone],"No")/B7,0)</x:f>
        <x:v>0</x:v>
      </x:c>
      <x:c r="G7" s="8" t="str">
        <x:v>Isolated execution environment; enforces cgroups, seccomp filters, tmpfs shredding, and network proxying.</x:v>
      </x:c>
      <x:c r="H7" s="8" t="str">
        <x:v>Potential overlap detected (T11 / T12, 2026-09-20 to 2026-09-20); no capacity limit is defined in the source.</x:v>
      </x:c>
      <x:c r="I7" s="8" t="str">
        <x:v>T11, T12</x:v>
      </x:c>
    </x:row>
    <x:row r="8">
      <x:c r="A8" s="8" t="str">
        <x:v>Agentic RAG Controller</x:v>
      </x:c>
      <x:c r="B8" s="8" t="n">
        <x:f>COUNTIFS(TasksTable[Milestone],"No",TasksTable[Resource / Owner],A8)</x:f>
        <x:v>1</x:v>
      </x:c>
      <x:c r="C8" s="8" t="n">
        <x:f>COUNTIFS(TasksTable[Milestone],"No",TasksTable[Resource / Owner],A8,TasksTable[Status],"Completed")</x:f>
        <x:v>0</x:v>
      </x:c>
      <x:c r="D8" s="8" t="n">
        <x:f>COUNTIFS(TasksTable[Milestone],"No",TasksTable[Resource / Owner],A8,TasksTable[Status],"In Progress")</x:f>
        <x:v>0</x:v>
      </x:c>
      <x:c r="E8" s="8" t="n">
        <x:f>B8-C8</x:f>
        <x:v>1</x:v>
      </x:c>
      <x:c r="F8" s="84" t="n">
        <x:f>IFERROR(SUMIFS(TasksTable[Progress %],TasksTable[Resource / Owner],A8,TasksTable[Milestone],"No")/B8,0)</x:f>
        <x:v>0</x:v>
      </x:c>
      <x:c r="G8" s="8" t="str">
        <x:v>Sole authorized data broker for Intelligence Engine under Model A; manages hybrid vector search and freshness.</x:v>
      </x:c>
      <x:c r="H8" s="8" t="str"/>
      <x:c r="I8" s="8" t="str">
        <x:v>T10</x:v>
      </x:c>
    </x:row>
    <x:row r="9">
      <x:c r="A9" s="8" t="str">
        <x:v>Artifact &amp; Evidence Registry (ART)</x:v>
      </x:c>
      <x:c r="B9" s="8" t="n">
        <x:f>COUNTIFS(TasksTable[Milestone],"No",TasksTable[Resource / Owner],A9)</x:f>
        <x:v>1</x:v>
      </x:c>
      <x:c r="C9" s="8" t="n">
        <x:f>COUNTIFS(TasksTable[Milestone],"No",TasksTable[Resource / Owner],A9,TasksTable[Status],"Completed")</x:f>
        <x:v>0</x:v>
      </x:c>
      <x:c r="D9" s="8" t="n">
        <x:f>COUNTIFS(TasksTable[Milestone],"No",TasksTable[Resource / Owner],A9,TasksTable[Status],"In Progress")</x:f>
        <x:v>0</x:v>
      </x:c>
      <x:c r="E9" s="8" t="n">
        <x:f>B9-C9</x:f>
        <x:v>1</x:v>
      </x:c>
      <x:c r="F9" s="84" t="n">
        <x:f>IFERROR(SUMIFS(TasksTable[Progress %],TasksTable[Resource / Owner],A9,TasksTable[Milestone],"No")/B9,0)</x:f>
        <x:v>0</x:v>
      </x:c>
      <x:c r="G9" s="8" t="str">
        <x:v>Immutable blob storage; stores deliverables, code diffs, and evidence dossiers by UUID/SHA-256.</x:v>
      </x:c>
      <x:c r="H9" s="8" t="str"/>
      <x:c r="I9" s="8" t="str">
        <x:v>T08</x:v>
      </x:c>
    </x:row>
    <x:row r="10">
      <x:c r="A10" s="8" t="str">
        <x:v>Brand Stakeholder / Portfolio Owner</x:v>
      </x:c>
      <x:c r="B10" s="8" t="n">
        <x:f>COUNTIFS(TasksTable[Milestone],"No",TasksTable[Resource / Owner],A10)</x:f>
        <x:v>1</x:v>
      </x:c>
      <x:c r="C10" s="8" t="n">
        <x:f>COUNTIFS(TasksTable[Milestone],"No",TasksTable[Resource / Owner],A10,TasksTable[Status],"Completed")</x:f>
        <x:v>0</x:v>
      </x:c>
      <x:c r="D10" s="8" t="n">
        <x:f>COUNTIFS(TasksTable[Milestone],"No",TasksTable[Resource / Owner],A10,TasksTable[Status],"In Progress")</x:f>
        <x:v>0</x:v>
      </x:c>
      <x:c r="E10" s="8" t="n">
        <x:f>B10-C10</x:f>
        <x:v>1</x:v>
      </x:c>
      <x:c r="F10" s="84" t="n">
        <x:f>IFERROR(SUMIFS(TasksTable[Progress %],TasksTable[Resource / Owner],A10,TasksTable[Milestone],"No")/B10,0)</x:f>
        <x:v>0</x:v>
      </x:c>
      <x:c r="G10" s="8" t="str">
        <x:v>High strategic responsibility; inputs business goals at kickoff and accepts final delivery at project close.</x:v>
      </x:c>
      <x:c r="H10" s="8" t="str"/>
      <x:c r="I10" s="8" t="str">
        <x:v>T01</x:v>
      </x:c>
    </x:row>
    <x:row r="11">
      <x:c r="A11" s="8" t="str">
        <x:v>Canonical Task State Machine (CTS)</x:v>
      </x:c>
      <x:c r="B11" s="8" t="n">
        <x:f>COUNTIFS(TasksTable[Milestone],"No",TasksTable[Resource / Owner],A11)</x:f>
        <x:v>1</x:v>
      </x:c>
      <x:c r="C11" s="8" t="n">
        <x:f>COUNTIFS(TasksTable[Milestone],"No",TasksTable[Resource / Owner],A11,TasksTable[Status],"Completed")</x:f>
        <x:v>0</x:v>
      </x:c>
      <x:c r="D11" s="8" t="n">
        <x:f>COUNTIFS(TasksTable[Milestone],"No",TasksTable[Resource / Owner],A11,TasksTable[Status],"In Progress")</x:f>
        <x:v>0</x:v>
      </x:c>
      <x:c r="E11" s="8" t="n">
        <x:f>B11-C11</x:f>
        <x:v>1</x:v>
      </x:c>
      <x:c r="F11" s="84" t="n">
        <x:f>IFERROR(SUMIFS(TasksTable[Progress %],TasksTable[Resource / Owner],A11,TasksTable[Milestone],"No")/B11,0)</x:f>
        <x:v>0</x:v>
      </x:c>
      <x:c r="G11" s="8" t="str">
        <x:v>Central state tracking engine; manages DAG transitions, task holds, checkpoints, and dependency locks.</x:v>
      </x:c>
      <x:c r="H11" s="8" t="str"/>
      <x:c r="I11" s="8" t="str">
        <x:v>T04</x:v>
      </x:c>
    </x:row>
    <x:row r="12">
      <x:c r="A12" s="8" t="str">
        <x:v>Central Enterprise Database (CDB)</x:v>
      </x:c>
      <x:c r="B12" s="8" t="n">
        <x:f>COUNTIFS(TasksTable[Milestone],"No",TasksTable[Resource / Owner],A12)</x:f>
        <x:v>1</x:v>
      </x:c>
      <x:c r="C12" s="8" t="n">
        <x:f>COUNTIFS(TasksTable[Milestone],"No",TasksTable[Resource / Owner],A12,TasksTable[Status],"Completed")</x:f>
        <x:v>0</x:v>
      </x:c>
      <x:c r="D12" s="8" t="n">
        <x:f>COUNTIFS(TasksTable[Milestone],"No",TasksTable[Resource / Owner],A12,TasksTable[Status],"In Progress")</x:f>
        <x:v>0</x:v>
      </x:c>
      <x:c r="E12" s="8" t="n">
        <x:f>B12-C12</x:f>
        <x:v>1</x:v>
      </x:c>
      <x:c r="F12" s="84" t="n">
        <x:f>IFERROR(SUMIFS(TasksTable[Progress %],TasksTable[Resource / Owner],A12,TasksTable[Milestone],"No")/B12,0)</x:f>
        <x:v>0</x:v>
      </x:c>
      <x:c r="G12" s="8" t="str">
        <x:v>Primary system of record for operational tables, vector namespaces, and telemetry time-series.</x:v>
      </x:c>
      <x:c r="H12" s="8" t="str"/>
      <x:c r="I12" s="8" t="str">
        <x:v>T05</x:v>
      </x:c>
    </x:row>
    <x:row r="13">
      <x:c r="A13" s="8" t="str">
        <x:v>Competitor Intel Engine &amp; S_SCRAPE</x:v>
      </x:c>
      <x:c r="B13" s="8" t="n">
        <x:f>COUNTIFS(TasksTable[Milestone],"No",TasksTable[Resource / Owner],A13)</x:f>
        <x:v>1</x:v>
      </x:c>
      <x:c r="C13" s="8" t="n">
        <x:f>COUNTIFS(TasksTable[Milestone],"No",TasksTable[Resource / Owner],A13,TasksTable[Status],"Completed")</x:f>
        <x:v>0</x:v>
      </x:c>
      <x:c r="D13" s="8" t="n">
        <x:f>COUNTIFS(TasksTable[Milestone],"No",TasksTable[Resource / Owner],A13,TasksTable[Status],"In Progress")</x:f>
        <x:v>0</x:v>
      </x:c>
      <x:c r="E13" s="8" t="n">
        <x:f>B13-C13</x:f>
        <x:v>1</x:v>
      </x:c>
      <x:c r="F13" s="84" t="n">
        <x:f>IFERROR(SUMIFS(TasksTable[Progress %],TasksTable[Resource / Owner],A13,TasksTable[Milestone],"No")/B13,0)</x:f>
        <x:v>0</x:v>
      </x:c>
      <x:c r="G13" s="8" t="str">
        <x:v>Task-schedule assignment for T18; supporting component roles are detailed in the source architecture.</x:v>
      </x:c>
      <x:c r="H13" s="8" t="str"/>
      <x:c r="I13" s="8" t="str">
        <x:v>T18</x:v>
      </x:c>
    </x:row>
    <x:row r="14">
      <x:c r="A14" s="8" t="str">
        <x:v>Creative &amp; Content Engine &amp; S_COPY</x:v>
      </x:c>
      <x:c r="B14" s="8" t="n">
        <x:f>COUNTIFS(TasksTable[Milestone],"No",TasksTable[Resource / Owner],A14)</x:f>
        <x:v>1</x:v>
      </x:c>
      <x:c r="C14" s="8" t="n">
        <x:f>COUNTIFS(TasksTable[Milestone],"No",TasksTable[Resource / Owner],A14,TasksTable[Status],"Completed")</x:f>
        <x:v>0</x:v>
      </x:c>
      <x:c r="D14" s="8" t="n">
        <x:f>COUNTIFS(TasksTable[Milestone],"No",TasksTable[Resource / Owner],A14,TasksTable[Status],"In Progress")</x:f>
        <x:v>0</x:v>
      </x:c>
      <x:c r="E14" s="8" t="n">
        <x:f>B14-C14</x:f>
        <x:v>1</x:v>
      </x:c>
      <x:c r="F14" s="84" t="n">
        <x:f>IFERROR(SUMIFS(TasksTable[Progress %],TasksTable[Resource / Owner],A14,TasksTable[Milestone],"No")/B14,0)</x:f>
        <x:v>0</x:v>
      </x:c>
      <x:c r="G14" s="8" t="str">
        <x:v>Task-schedule assignment for T20; supporting component roles are detailed in the source architecture.</x:v>
      </x:c>
      <x:c r="H14" s="8" t="str"/>
      <x:c r="I14" s="8" t="str">
        <x:v>T20</x:v>
      </x:c>
    </x:row>
    <x:row r="15">
      <x:c r="A15" s="8" t="str">
        <x:v>Customer Voice Engine &amp; S_PARSE</x:v>
      </x:c>
      <x:c r="B15" s="8" t="n">
        <x:f>COUNTIFS(TasksTable[Milestone],"No",TasksTable[Resource / Owner],A15)</x:f>
        <x:v>1</x:v>
      </x:c>
      <x:c r="C15" s="8" t="n">
        <x:f>COUNTIFS(TasksTable[Milestone],"No",TasksTable[Resource / Owner],A15,TasksTable[Status],"Completed")</x:f>
        <x:v>0</x:v>
      </x:c>
      <x:c r="D15" s="8" t="n">
        <x:f>COUNTIFS(TasksTable[Milestone],"No",TasksTable[Resource / Owner],A15,TasksTable[Status],"In Progress")</x:f>
        <x:v>0</x:v>
      </x:c>
      <x:c r="E15" s="8" t="n">
        <x:f>B15-C15</x:f>
        <x:v>1</x:v>
      </x:c>
      <x:c r="F15" s="84" t="n">
        <x:f>IFERROR(SUMIFS(TasksTable[Progress %],TasksTable[Resource / Owner],A15,TasksTable[Milestone],"No")/B15,0)</x:f>
        <x:v>0</x:v>
      </x:c>
      <x:c r="G15" s="8" t="str">
        <x:v>Task-schedule assignment for T17; supporting component roles are detailed in the source architecture.</x:v>
      </x:c>
      <x:c r="H15" s="8" t="str"/>
      <x:c r="I15" s="8" t="str">
        <x:v>T17</x:v>
      </x:c>
    </x:row>
    <x:row r="16">
      <x:c r="A16" s="8" t="str">
        <x:v>Development Engine &amp; S_CODE</x:v>
      </x:c>
      <x:c r="B16" s="8" t="n">
        <x:f>COUNTIFS(TasksTable[Milestone],"No",TasksTable[Resource / Owner],A16)</x:f>
        <x:v>1</x:v>
      </x:c>
      <x:c r="C16" s="8" t="n">
        <x:f>COUNTIFS(TasksTable[Milestone],"No",TasksTable[Resource / Owner],A16,TasksTable[Status],"Completed")</x:f>
        <x:v>0</x:v>
      </x:c>
      <x:c r="D16" s="8" t="n">
        <x:f>COUNTIFS(TasksTable[Milestone],"No",TasksTable[Resource / Owner],A16,TasksTable[Status],"In Progress")</x:f>
        <x:v>0</x:v>
      </x:c>
      <x:c r="E16" s="8" t="n">
        <x:f>B16-C16</x:f>
        <x:v>1</x:v>
      </x:c>
      <x:c r="F16" s="84" t="n">
        <x:f>IFERROR(SUMIFS(TasksTable[Progress %],TasksTable[Resource / Owner],A16,TasksTable[Milestone],"No")/B16,0)</x:f>
        <x:v>0</x:v>
      </x:c>
      <x:c r="G16" s="8" t="str">
        <x:v>Task-schedule assignment for T21; supporting component roles are detailed in the source architecture.</x:v>
      </x:c>
      <x:c r="H16" s="8" t="str"/>
      <x:c r="I16" s="8" t="str">
        <x:v>T21</x:v>
      </x:c>
    </x:row>
    <x:row r="17">
      <x:c r="A17" s="8" t="str">
        <x:v>Enterprise Policy Engine</x:v>
      </x:c>
      <x:c r="B17" s="8" t="n">
        <x:f>COUNTIFS(TasksTable[Milestone],"No",TasksTable[Resource / Owner],A17)</x:f>
        <x:v>1</x:v>
      </x:c>
      <x:c r="C17" s="8" t="n">
        <x:f>COUNTIFS(TasksTable[Milestone],"No",TasksTable[Resource / Owner],A17,TasksTable[Status],"Completed")</x:f>
        <x:v>0</x:v>
      </x:c>
      <x:c r="D17" s="8" t="n">
        <x:f>COUNTIFS(TasksTable[Milestone],"No",TasksTable[Resource / Owner],A17,TasksTable[Status],"In Progress")</x:f>
        <x:v>0</x:v>
      </x:c>
      <x:c r="E17" s="8" t="n">
        <x:f>B17-C17</x:f>
        <x:v>1</x:v>
      </x:c>
      <x:c r="F17" s="84" t="n">
        <x:f>IFERROR(SUMIFS(TasksTable[Progress %],TasksTable[Resource / Owner],A17,TasksTable[Milestone],"No")/B17,0)</x:f>
        <x:v>0</x:v>
      </x:c>
      <x:c r="G17" s="8" t="str">
        <x:v>Automated policy rule definition; defines risk matrices and compliance envelopes.</x:v>
      </x:c>
      <x:c r="H17" s="8" t="str"/>
      <x:c r="I17" s="8" t="str">
        <x:v>T02</x:v>
      </x:c>
    </x:row>
    <x:row r="18">
      <x:c r="A18" s="8" t="str">
        <x:v>Governed MCP Data Boundary</x:v>
      </x:c>
      <x:c r="B18" s="8" t="n">
        <x:f>COUNTIFS(TasksTable[Milestone],"No",TasksTable[Resource / Owner],A18)</x:f>
        <x:v>1</x:v>
      </x:c>
      <x:c r="C18" s="8" t="n">
        <x:f>COUNTIFS(TasksTable[Milestone],"No",TasksTable[Resource / Owner],A18,TasksTable[Status],"Completed")</x:f>
        <x:v>0</x:v>
      </x:c>
      <x:c r="D18" s="8" t="n">
        <x:f>COUNTIFS(TasksTable[Milestone],"No",TasksTable[Resource / Owner],A18,TasksTable[Status],"In Progress")</x:f>
        <x:v>0</x:v>
      </x:c>
      <x:c r="E18" s="8" t="n">
        <x:f>B18-C18</x:f>
        <x:v>1</x:v>
      </x:c>
      <x:c r="F18" s="84" t="n">
        <x:f>IFERROR(SUMIFS(TasksTable[Progress %],TasksTable[Resource / Owner],A18,TasksTable[Milestone],"No")/B18,0)</x:f>
        <x:v>0</x:v>
      </x:c>
      <x:c r="G18" s="8" t="str">
        <x:v>Database gateway; exposes read/write CRUD capability facades under strict schema validation.</x:v>
      </x:c>
      <x:c r="H18" s="8" t="str"/>
      <x:c r="I18" s="8" t="str">
        <x:v>T09</x:v>
      </x:c>
    </x:row>
    <x:row r="19">
      <x:c r="A19" s="8" t="str">
        <x:v>Headless CMS &amp; Web Store (CMS)</x:v>
      </x:c>
      <x:c r="B19" s="8" t="n">
        <x:f>COUNTIFS(TasksTable[Milestone],"No",TasksTable[Resource / Owner],A19)</x:f>
        <x:v>1</x:v>
      </x:c>
      <x:c r="C19" s="8" t="n">
        <x:f>COUNTIFS(TasksTable[Milestone],"No",TasksTable[Resource / Owner],A19,TasksTable[Status],"Completed")</x:f>
        <x:v>0</x:v>
      </x:c>
      <x:c r="D19" s="8" t="n">
        <x:f>COUNTIFS(TasksTable[Milestone],"No",TasksTable[Resource / Owner],A19,TasksTable[Status],"In Progress")</x:f>
        <x:v>0</x:v>
      </x:c>
      <x:c r="E19" s="8" t="n">
        <x:f>B19-C19</x:f>
        <x:v>1</x:v>
      </x:c>
      <x:c r="F19" s="84" t="n">
        <x:f>IFERROR(SUMIFS(TasksTable[Progress %],TasksTable[Resource / Owner],A19,TasksTable[Milestone],"No")/B19,0)</x:f>
        <x:v>0</x:v>
      </x:c>
      <x:c r="G19" s="8" t="str">
        <x:v>Digital asset and page model store; handles staged layout schemas and live storefront content.</x:v>
      </x:c>
      <x:c r="H19" s="8" t="str"/>
      <x:c r="I19" s="8" t="str">
        <x:v>T06</x:v>
      </x:c>
    </x:row>
    <x:row r="20">
      <x:c r="A20" s="8" t="str">
        <x:v>Human-in-the-Loop (HITL) Gate</x:v>
      </x:c>
      <x:c r="B20" s="8" t="n">
        <x:f>COUNTIFS(TasksTable[Milestone],"No",TasksTable[Resource / Owner],A20)</x:f>
        <x:v>1</x:v>
      </x:c>
      <x:c r="C20" s="8" t="n">
        <x:f>COUNTIFS(TasksTable[Milestone],"No",TasksTable[Resource / Owner],A20,TasksTable[Status],"Completed")</x:f>
        <x:v>0</x:v>
      </x:c>
      <x:c r="D20" s="8" t="n">
        <x:f>COUNTIFS(TasksTable[Milestone],"No",TasksTable[Resource / Owner],A20,TasksTable[Status],"In Progress")</x:f>
        <x:v>0</x:v>
      </x:c>
      <x:c r="E20" s="8" t="n">
        <x:f>B20-C20</x:f>
        <x:v>1</x:v>
      </x:c>
      <x:c r="F20" s="84" t="n">
        <x:f>IFERROR(SUMIFS(TasksTable[Progress %],TasksTable[Resource / Owner],A20,TasksTable[Milestone],"No")/B20,0)</x:f>
        <x:v>0</x:v>
      </x:c>
      <x:c r="G20" s="8" t="str">
        <x:v>Mandatory human sign-off; reviews action previews for spend, legal compliance, and code deployment.</x:v>
      </x:c>
      <x:c r="H20" s="8" t="str"/>
      <x:c r="I20" s="8" t="str">
        <x:v>T24</x:v>
      </x:c>
    </x:row>
    <x:row r="21">
      <x:c r="A21" s="8" t="str">
        <x:v>Institutional Memory Store (MEM)</x:v>
      </x:c>
      <x:c r="B21" s="8" t="n">
        <x:f>COUNTIFS(TasksTable[Milestone],"No",TasksTable[Resource / Owner],A21)</x:f>
        <x:v>1</x:v>
      </x:c>
      <x:c r="C21" s="8" t="n">
        <x:f>COUNTIFS(TasksTable[Milestone],"No",TasksTable[Resource / Owner],A21,TasksTable[Status],"Completed")</x:f>
        <x:v>0</x:v>
      </x:c>
      <x:c r="D21" s="8" t="n">
        <x:f>COUNTIFS(TasksTable[Milestone],"No",TasksTable[Resource / Owner],A21,TasksTable[Status],"In Progress")</x:f>
        <x:v>0</x:v>
      </x:c>
      <x:c r="E21" s="8" t="n">
        <x:f>B21-C21</x:f>
        <x:v>1</x:v>
      </x:c>
      <x:c r="F21" s="84" t="n">
        <x:f>IFERROR(SUMIFS(TasksTable[Progress %],TasksTable[Resource / Owner],A21,TasksTable[Milestone],"No")/B21,0)</x:f>
        <x:v>0</x:v>
      </x:c>
      <x:c r="G21" s="8" t="str">
        <x:v>Long-term knowledge base; stores promoted heuristics, brand voice rules, and model deltas.</x:v>
      </x:c>
      <x:c r="H21" s="8" t="str"/>
      <x:c r="I21" s="8" t="str">
        <x:v>T07</x:v>
      </x:c>
    </x:row>
    <x:row r="22">
      <x:c r="A22" s="8" t="str">
        <x:v>Intelligence Engine &amp; Brand Owner</x:v>
      </x:c>
      <x:c r="B22" s="8" t="n">
        <x:f>COUNTIFS(TasksTable[Milestone],"No",TasksTable[Resource / Owner],A22)</x:f>
        <x:v>1</x:v>
      </x:c>
      <x:c r="C22" s="8" t="n">
        <x:f>COUNTIFS(TasksTable[Milestone],"No",TasksTable[Resource / Owner],A22,TasksTable[Status],"Completed")</x:f>
        <x:v>0</x:v>
      </x:c>
      <x:c r="D22" s="8" t="n">
        <x:f>COUNTIFS(TasksTable[Milestone],"No",TasksTable[Resource / Owner],A22,TasksTable[Status],"In Progress")</x:f>
        <x:v>0</x:v>
      </x:c>
      <x:c r="E22" s="8" t="n">
        <x:f>B22-C22</x:f>
        <x:v>1</x:v>
      </x:c>
      <x:c r="F22" s="84" t="n">
        <x:f>IFERROR(SUMIFS(TasksTable[Progress %],TasksTable[Resource / Owner],A22,TasksTable[Milestone],"No")/B22,0)</x:f>
        <x:v>0</x:v>
      </x:c>
      <x:c r="G22" s="8" t="str">
        <x:v>Task-schedule assignment for T34; supporting component roles are detailed in the source architecture.</x:v>
      </x:c>
      <x:c r="H22" s="8" t="str"/>
      <x:c r="I22" s="8" t="str">
        <x:v>T34</x:v>
      </x:c>
    </x:row>
    <x:row r="23">
      <x:c r="A23" s="8" t="str">
        <x:v>Learning Engine &amp; S_ATTR</x:v>
      </x:c>
      <x:c r="B23" s="8" t="n">
        <x:f>COUNTIFS(TasksTable[Milestone],"No",TasksTable[Resource / Owner],A23)</x:f>
        <x:v>1</x:v>
      </x:c>
      <x:c r="C23" s="8" t="n">
        <x:f>COUNTIFS(TasksTable[Milestone],"No",TasksTable[Resource / Owner],A23,TasksTable[Status],"Completed")</x:f>
        <x:v>0</x:v>
      </x:c>
      <x:c r="D23" s="8" t="n">
        <x:f>COUNTIFS(TasksTable[Milestone],"No",TasksTable[Resource / Owner],A23,TasksTable[Status],"In Progress")</x:f>
        <x:v>0</x:v>
      </x:c>
      <x:c r="E23" s="8" t="n">
        <x:f>B23-C23</x:f>
        <x:v>1</x:v>
      </x:c>
      <x:c r="F23" s="84" t="n">
        <x:f>IFERROR(SUMIFS(TasksTable[Progress %],TasksTable[Resource / Owner],A23,TasksTable[Milestone],"No")/B23,0)</x:f>
        <x:v>0</x:v>
      </x:c>
      <x:c r="G23" s="8" t="str">
        <x:v>Task-schedule assignment for T31; supporting component roles are detailed in the source architecture.</x:v>
      </x:c>
      <x:c r="H23" s="8" t="str"/>
      <x:c r="I23" s="8" t="str">
        <x:v>T31</x:v>
      </x:c>
    </x:row>
    <x:row r="24">
      <x:c r="A24" s="8" t="str">
        <x:v>Learning Engine, Memory Store &amp; IE</x:v>
      </x:c>
      <x:c r="B24" s="8" t="n">
        <x:f>COUNTIFS(TasksTable[Milestone],"No",TasksTable[Resource / Owner],A24)</x:f>
        <x:v>1</x:v>
      </x:c>
      <x:c r="C24" s="8" t="n">
        <x:f>COUNTIFS(TasksTable[Milestone],"No",TasksTable[Resource / Owner],A24,TasksTable[Status],"Completed")</x:f>
        <x:v>0</x:v>
      </x:c>
      <x:c r="D24" s="8" t="n">
        <x:f>COUNTIFS(TasksTable[Milestone],"No",TasksTable[Resource / Owner],A24,TasksTable[Status],"In Progress")</x:f>
        <x:v>0</x:v>
      </x:c>
      <x:c r="E24" s="8" t="n">
        <x:f>B24-C24</x:f>
        <x:v>1</x:v>
      </x:c>
      <x:c r="F24" s="84" t="n">
        <x:f>IFERROR(SUMIFS(TasksTable[Progress %],TasksTable[Resource / Owner],A24,TasksTable[Milestone],"No")/B24,0)</x:f>
        <x:v>0</x:v>
      </x:c>
      <x:c r="G24" s="8" t="str">
        <x:v>Task-schedule assignment for T32; supporting component roles are detailed in the source architecture.</x:v>
      </x:c>
      <x:c r="H24" s="8" t="str"/>
      <x:c r="I24" s="8" t="str">
        <x:v>T32</x:v>
      </x:c>
    </x:row>
    <x:row r="25">
      <x:c r="A25" s="8" t="str">
        <x:v>Omnichannel Telemetry Engine</x:v>
      </x:c>
      <x:c r="B25" s="8" t="n">
        <x:f>COUNTIFS(TasksTable[Milestone],"No",TasksTable[Resource / Owner],A25)</x:f>
        <x:v>1</x:v>
      </x:c>
      <x:c r="C25" s="8" t="n">
        <x:f>COUNTIFS(TasksTable[Milestone],"No",TasksTable[Resource / Owner],A25,TasksTable[Status],"Completed")</x:f>
        <x:v>0</x:v>
      </x:c>
      <x:c r="D25" s="8" t="n">
        <x:f>COUNTIFS(TasksTable[Milestone],"No",TasksTable[Resource / Owner],A25,TasksTable[Status],"In Progress")</x:f>
        <x:v>0</x:v>
      </x:c>
      <x:c r="E25" s="8" t="n">
        <x:f>B25-C25</x:f>
        <x:v>1</x:v>
      </x:c>
      <x:c r="F25" s="84" t="n">
        <x:f>IFERROR(SUMIFS(TasksTable[Progress %],TasksTable[Resource / Owner],A25,TasksTable[Milestone],"No")/B25,0)</x:f>
        <x:v>0</x:v>
      </x:c>
      <x:c r="G25" s="8" t="str">
        <x:v>Real-time event ingestor; aggregates conversion webhooks, pixel events, and server logs.</x:v>
      </x:c>
      <x:c r="H25" s="8" t="str"/>
      <x:c r="I25" s="8" t="str">
        <x:v>T29</x:v>
      </x:c>
    </x:row>
    <x:row r="26">
      <x:c r="A26" s="8" t="str">
        <x:v>Outbound Actuation MCP Boundary</x:v>
      </x:c>
      <x:c r="B26" s="8" t="n">
        <x:f>COUNTIFS(TasksTable[Milestone],"No",TasksTable[Resource / Owner],A26)</x:f>
        <x:v>1</x:v>
      </x:c>
      <x:c r="C26" s="8" t="n">
        <x:f>COUNTIFS(TasksTable[Milestone],"No",TasksTable[Resource / Owner],A26,TasksTable[Status],"Completed")</x:f>
        <x:v>0</x:v>
      </x:c>
      <x:c r="D26" s="8" t="n">
        <x:f>COUNTIFS(TasksTable[Milestone],"No",TasksTable[Resource / Owner],A26,TasksTable[Status],"In Progress")</x:f>
        <x:v>0</x:v>
      </x:c>
      <x:c r="E26" s="8" t="n">
        <x:f>B26-C26</x:f>
        <x:v>1</x:v>
      </x:c>
      <x:c r="F26" s="84" t="n">
        <x:f>IFERROR(SUMIFS(TasksTable[Progress %],TasksTable[Resource / Owner],A26,TasksTable[Milestone],"No")/B26,0)</x:f>
        <x:v>0</x:v>
      </x:c>
      <x:c r="G26" s="8" t="str">
        <x:v>Security egress perimeter; validates audience tokens and dispatches signed API calls to external surfaces.</x:v>
      </x:c>
      <x:c r="H26" s="8" t="str"/>
      <x:c r="I26" s="8" t="str">
        <x:v>T25</x:v>
      </x:c>
    </x:row>
    <x:row r="27">
      <x:c r="A27" s="8" t="str">
        <x:v>Outbound MCP &amp; Paid Ad Platforms</x:v>
      </x:c>
      <x:c r="B27" s="8" t="n">
        <x:f>COUNTIFS(TasksTable[Milestone],"No",TasksTable[Resource / Owner],A27)</x:f>
        <x:v>1</x:v>
      </x:c>
      <x:c r="C27" s="8" t="n">
        <x:f>COUNTIFS(TasksTable[Milestone],"No",TasksTable[Resource / Owner],A27,TasksTable[Status],"Completed")</x:f>
        <x:v>0</x:v>
      </x:c>
      <x:c r="D27" s="8" t="n">
        <x:f>COUNTIFS(TasksTable[Milestone],"No",TasksTable[Resource / Owner],A27,TasksTable[Status],"In Progress")</x:f>
        <x:v>0</x:v>
      </x:c>
      <x:c r="E27" s="8" t="n">
        <x:f>B27-C27</x:f>
        <x:v>1</x:v>
      </x:c>
      <x:c r="F27" s="84" t="n">
        <x:f>IFERROR(SUMIFS(TasksTable[Progress %],TasksTable[Resource / Owner],A27,TasksTable[Milestone],"No")/B27,0)</x:f>
        <x:v>0</x:v>
      </x:c>
      <x:c r="G27" s="8" t="str">
        <x:v>Task-schedule assignment for T27; supporting component roles are detailed in the source architecture.</x:v>
      </x:c>
      <x:c r="H27" s="8" t="str"/>
      <x:c r="I27" s="8" t="str">
        <x:v>T27</x:v>
      </x:c>
    </x:row>
    <x:row r="28">
      <x:c r="A28" s="8" t="str">
        <x:v>Outbound MCP &amp; Social Channels</x:v>
      </x:c>
      <x:c r="B28" s="8" t="n">
        <x:f>COUNTIFS(TasksTable[Milestone],"No",TasksTable[Resource / Owner],A28)</x:f>
        <x:v>1</x:v>
      </x:c>
      <x:c r="C28" s="8" t="n">
        <x:f>COUNTIFS(TasksTable[Milestone],"No",TasksTable[Resource / Owner],A28,TasksTable[Status],"Completed")</x:f>
        <x:v>0</x:v>
      </x:c>
      <x:c r="D28" s="8" t="n">
        <x:f>COUNTIFS(TasksTable[Milestone],"No",TasksTable[Resource / Owner],A28,TasksTable[Status],"In Progress")</x:f>
        <x:v>0</x:v>
      </x:c>
      <x:c r="E28" s="8" t="n">
        <x:f>B28-C28</x:f>
        <x:v>1</x:v>
      </x:c>
      <x:c r="F28" s="84" t="n">
        <x:f>IFERROR(SUMIFS(TasksTable[Progress %],TasksTable[Resource / Owner],A28,TasksTable[Milestone],"No")/B28,0)</x:f>
        <x:v>0</x:v>
      </x:c>
      <x:c r="G28" s="8" t="str">
        <x:v>Task-schedule assignment for T28; supporting component roles are detailed in the source architecture.</x:v>
      </x:c>
      <x:c r="H28" s="8" t="str"/>
      <x:c r="I28" s="8" t="str">
        <x:v>T28</x:v>
      </x:c>
    </x:row>
    <x:row r="29">
      <x:c r="A29" s="8" t="str">
        <x:v>Outbound MCP &amp; Website / CMS</x:v>
      </x:c>
      <x:c r="B29" s="8" t="n">
        <x:f>COUNTIFS(TasksTable[Milestone],"No",TasksTable[Resource / Owner],A29)</x:f>
        <x:v>1</x:v>
      </x:c>
      <x:c r="C29" s="8" t="n">
        <x:f>COUNTIFS(TasksTable[Milestone],"No",TasksTable[Resource / Owner],A29,TasksTable[Status],"Completed")</x:f>
        <x:v>0</x:v>
      </x:c>
      <x:c r="D29" s="8" t="n">
        <x:f>COUNTIFS(TasksTable[Milestone],"No",TasksTable[Resource / Owner],A29,TasksTable[Status],"In Progress")</x:f>
        <x:v>0</x:v>
      </x:c>
      <x:c r="E29" s="8" t="n">
        <x:f>B29-C29</x:f>
        <x:v>1</x:v>
      </x:c>
      <x:c r="F29" s="84" t="n">
        <x:f>IFERROR(SUMIFS(TasksTable[Progress %],TasksTable[Resource / Owner],A29,TasksTable[Milestone],"No")/B29,0)</x:f>
        <x:v>0</x:v>
      </x:c>
      <x:c r="G29" s="8" t="str">
        <x:v>Task-schedule assignment for T26; supporting component roles are detailed in the source architecture.</x:v>
      </x:c>
      <x:c r="H29" s="8" t="str"/>
      <x:c r="I29" s="8" t="str">
        <x:v>T26</x:v>
      </x:c>
    </x:row>
    <x:row r="30">
      <x:c r="A30" s="8" t="str">
        <x:v>Policy &amp; Authorization Boundary (PAB)</x:v>
      </x:c>
      <x:c r="B30" s="8" t="n">
        <x:f>COUNTIFS(TasksTable[Milestone],"No",TasksTable[Resource / Owner],A30)</x:f>
        <x:v>1</x:v>
      </x:c>
      <x:c r="C30" s="8" t="n">
        <x:f>COUNTIFS(TasksTable[Milestone],"No",TasksTable[Resource / Owner],A30,TasksTable[Status],"Completed")</x:f>
        <x:v>0</x:v>
      </x:c>
      <x:c r="D30" s="8" t="n">
        <x:f>COUNTIFS(TasksTable[Milestone],"No",TasksTable[Resource / Owner],A30,TasksTable[Status],"In Progress")</x:f>
        <x:v>0</x:v>
      </x:c>
      <x:c r="E30" s="8" t="n">
        <x:f>B30-C30</x:f>
        <x:v>1</x:v>
      </x:c>
      <x:c r="F30" s="84" t="n">
        <x:f>IFERROR(SUMIFS(TasksTable[Progress %],TasksTable[Resource / Owner],A30,TasksTable[Milestone],"No")/B30,0)</x:f>
        <x:v>0</x:v>
      </x:c>
      <x:c r="G30" s="8" t="str">
        <x:v>Core security gate; evaluates caller identity, token validity, and monotonic attenuation per invocation.</x:v>
      </x:c>
      <x:c r="H30" s="8" t="str"/>
      <x:c r="I30" s="8" t="str">
        <x:v>T03</x:v>
      </x:c>
    </x:row>
    <x:row r="31">
      <x:c r="A31" s="8" t="str">
        <x:v>Product / Evidence Engine &amp; S_VAL</x:v>
      </x:c>
      <x:c r="B31" s="8" t="n">
        <x:f>COUNTIFS(TasksTable[Milestone],"No",TasksTable[Resource / Owner],A31)</x:f>
        <x:v>1</x:v>
      </x:c>
      <x:c r="C31" s="8" t="n">
        <x:f>COUNTIFS(TasksTable[Milestone],"No",TasksTable[Resource / Owner],A31,TasksTable[Status],"Completed")</x:f>
        <x:v>0</x:v>
      </x:c>
      <x:c r="D31" s="8" t="n">
        <x:f>COUNTIFS(TasksTable[Milestone],"No",TasksTable[Resource / Owner],A31,TasksTable[Status],"In Progress")</x:f>
        <x:v>0</x:v>
      </x:c>
      <x:c r="E31" s="8" t="n">
        <x:f>B31-C31</x:f>
        <x:v>1</x:v>
      </x:c>
      <x:c r="F31" s="84" t="n">
        <x:f>IFERROR(SUMIFS(TasksTable[Progress %],TasksTable[Resource / Owner],A31,TasksTable[Milestone],"No")/B31,0)</x:f>
        <x:v>0</x:v>
      </x:c>
      <x:c r="G31" s="8" t="str">
        <x:v>Task-schedule assignment for T16; supporting component roles are detailed in the source architecture.</x:v>
      </x:c>
      <x:c r="H31" s="8" t="str"/>
      <x:c r="I31" s="8" t="str">
        <x:v>T16</x:v>
      </x:c>
    </x:row>
    <x:row r="32">
      <x:c r="A32" s="8" t="str">
        <x:v>Sandbox Controller &amp; W3C PROV Audit</x:v>
      </x:c>
      <x:c r="B32" s="8" t="n">
        <x:f>COUNTIFS(TasksTable[Milestone],"No",TasksTable[Resource / Owner],A32)</x:f>
        <x:v>1</x:v>
      </x:c>
      <x:c r="C32" s="8" t="n">
        <x:f>COUNTIFS(TasksTable[Milestone],"No",TasksTable[Resource / Owner],A32,TasksTable[Status],"Completed")</x:f>
        <x:v>0</x:v>
      </x:c>
      <x:c r="D32" s="8" t="n">
        <x:f>COUNTIFS(TasksTable[Milestone],"No",TasksTable[Resource / Owner],A32,TasksTable[Status],"In Progress")</x:f>
        <x:v>0</x:v>
      </x:c>
      <x:c r="E32" s="8" t="n">
        <x:f>B32-C32</x:f>
        <x:v>1</x:v>
      </x:c>
      <x:c r="F32" s="84" t="n">
        <x:f>IFERROR(SUMIFS(TasksTable[Progress %],TasksTable[Resource / Owner],A32,TasksTable[Milestone],"No")/B32,0)</x:f>
        <x:v>0</x:v>
      </x:c>
      <x:c r="G32" s="8" t="str">
        <x:v>Task-schedule assignment for T13; supporting component roles are detailed in the source architecture.</x:v>
      </x:c>
      <x:c r="H32" s="8" t="str"/>
      <x:c r="I32" s="8" t="str">
        <x:v>T13</x:v>
      </x:c>
    </x:row>
    <x:row r="33">
      <x:c r="A33" s="8" t="str">
        <x:v>Specialist Sub-Agents (L4_SUBS)</x:v>
      </x:c>
      <x:c r="B33" s="8" t="n">
        <x:f>COUNTIFS(TasksTable[Milestone],"No",TasksTable[Resource / Owner],A33)</x:f>
        <x:v>1</x:v>
      </x:c>
      <x:c r="C33" s="8" t="n">
        <x:f>COUNTIFS(TasksTable[Milestone],"No",TasksTable[Resource / Owner],A33,TasksTable[Status],"Completed")</x:f>
        <x:v>0</x:v>
      </x:c>
      <x:c r="D33" s="8" t="n">
        <x:f>COUNTIFS(TasksTable[Milestone],"No",TasksTable[Resource / Owner],A33,TasksTable[Status],"In Progress")</x:f>
        <x:v>0</x:v>
      </x:c>
      <x:c r="E33" s="8" t="n">
        <x:f>B33-C33</x:f>
        <x:v>1</x:v>
      </x:c>
      <x:c r="F33" s="84" t="n">
        <x:f>IFERROR(SUMIFS(TasksTable[Progress %],TasksTable[Resource / Owner],A33,TasksTable[Milestone],"No")/B33,0)</x:f>
        <x:v>0</x:v>
      </x:c>
      <x:c r="G33" s="8" t="str">
        <x:v>Ephemeral micro-tool workers (S_CODE, S_ALLOC, S_COPY, S_VAL, S_SCRAPE, S_PARSE, S_ATTR).</x:v>
      </x:c>
      <x:c r="H33" s="8" t="str"/>
      <x:c r="I33" s="8" t="str">
        <x:v>T14</x:v>
      </x:c>
    </x:row>
    <x:row r="34">
      <x:c r="A34" s="8" t="str">
        <x:v>Strategy Engine &amp; S_ALLOC</x:v>
      </x:c>
      <x:c r="B34" s="8" t="n">
        <x:f>COUNTIFS(TasksTable[Milestone],"No",TasksTable[Resource / Owner],A34)</x:f>
        <x:v>1</x:v>
      </x:c>
      <x:c r="C34" s="8" t="n">
        <x:f>COUNTIFS(TasksTable[Milestone],"No",TasksTable[Resource / Owner],A34,TasksTable[Status],"Completed")</x:f>
        <x:v>0</x:v>
      </x:c>
      <x:c r="D34" s="8" t="n">
        <x:f>COUNTIFS(TasksTable[Milestone],"No",TasksTable[Resource / Owner],A34,TasksTable[Status],"In Progress")</x:f>
        <x:v>0</x:v>
      </x:c>
      <x:c r="E34" s="8" t="n">
        <x:f>B34-C34</x:f>
        <x:v>1</x:v>
      </x:c>
      <x:c r="F34" s="84" t="n">
        <x:f>IFERROR(SUMIFS(TasksTable[Progress %],TasksTable[Resource / Owner],A34,TasksTable[Milestone],"No")/B34,0)</x:f>
        <x:v>0</x:v>
      </x:c>
      <x:c r="G34" s="8" t="str">
        <x:v>Task-schedule assignment for T19; supporting component roles are detailed in the source architecture.</x:v>
      </x:c>
      <x:c r="H34" s="8" t="str"/>
      <x:c r="I34" s="8" t="str">
        <x:v>T19</x:v>
      </x:c>
    </x:row>
    <x:row r="35">
      <x:c r="A35" s="8" t="str">
        <x:v>Telemetry Engine &amp; Central Database</x:v>
      </x:c>
      <x:c r="B35" s="8" t="n">
        <x:f>COUNTIFS(TasksTable[Milestone],"No",TasksTable[Resource / Owner],A35)</x:f>
        <x:v>1</x:v>
      </x:c>
      <x:c r="C35" s="8" t="n">
        <x:f>COUNTIFS(TasksTable[Milestone],"No",TasksTable[Resource / Owner],A35,TasksTable[Status],"Completed")</x:f>
        <x:v>0</x:v>
      </x:c>
      <x:c r="D35" s="8" t="n">
        <x:f>COUNTIFS(TasksTable[Milestone],"No",TasksTable[Resource / Owner],A35,TasksTable[Status],"In Progress")</x:f>
        <x:v>0</x:v>
      </x:c>
      <x:c r="E35" s="8" t="n">
        <x:f>B35-C35</x:f>
        <x:v>1</x:v>
      </x:c>
      <x:c r="F35" s="84" t="n">
        <x:f>IFERROR(SUMIFS(TasksTable[Progress %],TasksTable[Resource / Owner],A35,TasksTable[Milestone],"No")/B35,0)</x:f>
        <x:v>0</x:v>
      </x:c>
      <x:c r="G35" s="8" t="str">
        <x:v>Task-schedule assignment for T30; supporting component roles are detailed in the source architecture.</x:v>
      </x:c>
      <x:c r="H35" s="8" t="str"/>
      <x:c r="I35" s="8" t="str">
        <x:v>T30</x:v>
      </x:c>
    </x:row>
    <x:row r="36">
      <x:c r="A36" s="8" t="str">
        <x:v>W3C PROV Immutable Ledger</x:v>
      </x:c>
      <x:c r="B36" s="8" t="n">
        <x:f>COUNTIFS(TasksTable[Milestone],"No",TasksTable[Resource / Owner],A36)</x:f>
        <x:v>1</x:v>
      </x:c>
      <x:c r="C36" s="8" t="n">
        <x:f>COUNTIFS(TasksTable[Milestone],"No",TasksTable[Resource / Owner],A36,TasksTable[Status],"Completed")</x:f>
        <x:v>0</x:v>
      </x:c>
      <x:c r="D36" s="8" t="n">
        <x:f>COUNTIFS(TasksTable[Milestone],"No",TasksTable[Resource / Owner],A36,TasksTable[Status],"In Progress")</x:f>
        <x:v>0</x:v>
      </x:c>
      <x:c r="E36" s="8" t="n">
        <x:f>B36-C36</x:f>
        <x:v>1</x:v>
      </x:c>
      <x:c r="F36" s="84" t="n">
        <x:f>IFERROR(SUMIFS(TasksTable[Progress %],TasksTable[Resource / Owner],A36,TasksTable[Milestone],"No")/B36,0)</x:f>
        <x:v>0</x:v>
      </x:c>
      <x:c r="G36" s="8" t="str">
        <x:v>Audit authority; records tamper-evident entity-activity-agent relationships and cryptographic signatures.</x:v>
      </x:c>
      <x:c r="H36" s="8" t="str"/>
      <x:c r="I36" s="8" t="str">
        <x:v>T33</x:v>
      </x:c>
    </x:row>
  </x:sheetData>
  <x:mergeCells>
    <x:mergeCell ref="A1:I1"/>
    <x:mergeCell ref="A2:I2"/>
  </x:mergeCells>
  <x:conditionalFormatting sqref="H6:H32">
    <x:cfRule type="expression" dxfId="26" priority="1">
      <x:formula>H6&lt;&gt;""</x:formula>
    </x:cfRule>
  </x:conditionalFormatting>
  <x:conditionalFormatting sqref="H6:H36">
    <x:cfRule type="expression" dxfId="30" priority="2">
      <x:formula>H6&lt;&gt;""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fa6fd088e549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52" hidden="0" customWidth="1"/>
    <x:col min="5" max="5" width="38" hidden="0" customWidth="1"/>
  </x:cols>
  <x:sheetData>
    <x:row r="1">
      <x:c r="A1" s="4" t="str">
        <x:v>Assumptions &amp; Gaps Register</x:v>
      </x:c>
      <x:c r="B1" s="4"/>
      <x:c r="C1" s="4"/>
      <x:c r="D1" s="4"/>
      <x:c r="E1" s="4"/>
    </x:row>
    <x:row r="3">
      <x:c r="A3" s="29" t="str">
        <x:v>Label</x:v>
      </x:c>
      <x:c r="B3" s="29" t="str">
        <x:v>Source Field / Item</x:v>
      </x:c>
      <x:c r="C3" s="29" t="str">
        <x:v>Issue</x:v>
      </x:c>
      <x:c r="D3" s="29" t="str">
        <x:v>Resolution Used in Workbook</x:v>
      </x:c>
      <x:c r="E3" s="29" t="str">
        <x:v>User Action Needed</x:v>
      </x:c>
    </x:row>
    <x:row r="4">
      <x:c r="A4" s="8" t="str">
        <x:v>[INFERRED]</x:v>
      </x:c>
      <x:c r="B4" s="8" t="str">
        <x:v>Schedule dates (T01–T34)</x:v>
      </x:c>
      <x:c r="C4" s="8" t="str">
        <x:v>The project-plan Markdown explicitly states that calendar dates were inferred from architecture/DAG constraints.</x:v>
      </x:c>
      <x:c r="D4" s="8" t="str">
        <x:v>Preserved the supplied 2026-09-11 to 2026-10-14 dates as editable Excel dates.</x:v>
      </x:c>
      <x:c r="E4" s="8" t="str">
        <x:v>Review/adjust dates if implementation reality differs.</x:v>
      </x:c>
    </x:row>
    <x:row r="5">
      <x:c r="A5" s="8" t="str">
        <x:v>[INFERRED]</x:v>
      </x:c>
      <x:c r="B5" s="8" t="str">
        <x:v>Dependency type — T08</x:v>
      </x:c>
      <x:c r="C5" s="8" t="str">
        <x:v>T08 depends on T05, but T08 is omitted from the detailed dependency-type table.</x:v>
      </x:c>
      <x:c r="D5" s="8" t="str">
        <x:v>Used FS, per the workbook rule for unspecified dependency types.</x:v>
      </x:c>
      <x:c r="E5" s="8" t="str">
        <x:v>Confirm another dependency type if intended.</x:v>
      </x:c>
    </x:row>
    <x:row r="6">
      <x:c r="A6" s="8" t="str">
        <x:v>[INFERRED]</x:v>
      </x:c>
      <x:c r="B6" s="8" t="str">
        <x:v>Dependency type — T12</x:v>
      </x:c>
      <x:c r="C6" s="8" t="str">
        <x:v>T12 depends on T11, but T12 is omitted from the detailed dependency-type table.</x:v>
      </x:c>
      <x:c r="D6" s="8" t="str">
        <x:v>Used FS, per the workbook rule for unspecified dependency types.</x:v>
      </x:c>
      <x:c r="E6" s="8" t="str">
        <x:v>Confirm another dependency type if intended.</x:v>
      </x:c>
    </x:row>
    <x:row r="7">
      <x:c r="A7" s="8" t="str">
        <x:v>[CONFLICT]</x:v>
      </x:c>
      <x:c r="B7" s="8" t="str">
        <x:v>T18 predecessor</x:v>
      </x:c>
      <x:c r="C7" s="8" t="str">
        <x:v>Task table and direct dependency list say T12, T14, T15; dependency-detail table says T10, T14, T15.</x:v>
      </x:c>
      <x:c r="D7" s="8" t="str">
        <x:v>Preserved T12, T14, T15 because it appears in both the task table and direct listing. Conflict is also noted on T18.</x:v>
      </x:c>
      <x:c r="E7" s="8" t="str">
        <x:v>Confirm whether T12 or T10 is the intended predecessor.</x:v>
      </x:c>
    </x:row>
    <x:row r="8">
      <x:c r="A8" s="8" t="str">
        <x:v>[CONFLICT]</x:v>
      </x:c>
      <x:c r="B8" s="8" t="str">
        <x:v>Initial progress/status</x:v>
      </x:c>
      <x:c r="C8" s="8" t="str">
        <x:v>Source plan contains inferred progress/status values (including completed work), while workbook requirements explicitly require 0% initially.</x:v>
      </x:c>
      <x:c r="D8" s="8" t="str">
        <x:v>Reset every task and milestone to 0%; Status defaults to Not Started and auto-reconciles from Progress %.</x:v>
      </x:c>
      <x:c r="E8" s="8" t="str">
        <x:v>Enter actual progress when available.</x:v>
      </x:c>
    </x:row>
    <x:row r="9">
      <x:c r="A9" s="8" t="str">
        <x:v>[MISSING]</x:v>
      </x:c>
      <x:c r="B9" s="8" t="str">
        <x:v>Priority</x:v>
      </x:c>
      <x:c r="C9" s="8" t="str">
        <x:v>No High/Medium/Low task priorities are specified in the sources.</x:v>
      </x:c>
      <x:c r="D9" s="8" t="str">
        <x:v>Priority cells are intentionally blank with a dropdown.</x:v>
      </x:c>
      <x:c r="E9" s="8" t="str">
        <x:v>Assign priorities if needed.</x:v>
      </x:c>
    </x:row>
    <x:row r="10">
      <x:c r="A10" s="8" t="str">
        <x:v>[MISSING]</x:v>
      </x:c>
      <x:c r="B10" s="8" t="str">
        <x:v>Platform credentials</x:v>
      </x:c>
      <x:c r="C10" s="8" t="str">
        <x:v>Source notes say production API/OAuth credentials are omitted.</x:v>
      </x:c>
      <x:c r="D10" s="8" t="str">
        <x:v>No credential data was invented or stored in the workbook.</x:v>
      </x:c>
      <x:c r="E10" s="8" t="str">
        <x:v>Provide credentials only through the intended secure vault/process.</x:v>
      </x:c>
    </x:row>
    <x:row r="11">
      <x:c r="A11" s="8" t="str">
        <x:v>[MISSING]</x:v>
      </x:c>
      <x:c r="B11" s="8" t="str">
        <x:v>Budget figures</x:v>
      </x:c>
      <x:c r="C11" s="8" t="str">
        <x:v>Budget boundaries/spend controls are referenced, but no numeric amounts are provided.</x:v>
      </x:c>
      <x:c r="D11" s="8" t="str">
        <x:v>No budget values were invented.</x:v>
      </x:c>
      <x:c r="E11" s="8" t="str">
        <x:v>Add approved figures in the project system when available.</x:v>
      </x:c>
    </x:row>
  </x:sheetData>
  <x:mergeCells>
    <x:mergeCell ref="A1:E1"/>
  </x:mergeCells>
  <x:conditionalFormatting sqref="A4:A11">
    <x:cfRule type="expression" dxfId="27" priority="1">
      <x:formula>A4="[CONFLICT]"</x:formula>
    </x:cfRule>
    <x:cfRule type="expression" dxfId="28" priority="2">
      <x:formula>A4="[MISSING]"</x:formula>
    </x:cfRule>
    <x:cfRule type="expression" dxfId="29" priority="3">
      <x:formula>A4="[INFERRED]"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ed957f554645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70" hidden="0" customWidth="1"/>
    <x:col min="4" max="4" width="55" hidden="0" customWidth="1"/>
  </x:cols>
  <x:sheetData>
    <x:row r="1">
      <x:c r="A1" s="4" t="str">
        <x:v>Workbook Instructions</x:v>
      </x:c>
      <x:c r="B1" s="4"/>
      <x:c r="C1" s="4"/>
      <x:c r="D1" s="4"/>
    </x:row>
    <x:row r="3">
      <x:c r="A3" s="29" t="str">
        <x:v>#</x:v>
      </x:c>
      <x:c r="B3" s="29" t="str">
        <x:v>Action</x:v>
      </x:c>
      <x:c r="C3" s="29" t="str">
        <x:v>How to Use</x:v>
      </x:c>
      <x:c r="D3" s="29" t="str">
        <x:v>Important Note</x:v>
      </x:c>
    </x:row>
    <x:row r="4">
      <x:c r="A4" s="8" t="n">
        <x:v>1</x:v>
      </x:c>
      <x:c r="B4" s="8" t="str">
        <x:v>Edit tasks</x:v>
      </x:c>
      <x:c r="C4" s="8" t="str">
        <x:v>Use Project Tracker. Pale-yellow cells are intended for task inputs; blue-gray Duration and Schedule Health cells are calculated.</x:v>
      </x:c>
      <x:c r="D4" s="8" t="str">
        <x:v>Keep Task IDs unique.</x:v>
      </x:c>
    </x:row>
    <x:row r="5">
      <x:c r="A5" s="8" t="n">
        <x:v>2</x:v>
      </x:c>
      <x:c r="B5" s="8" t="str">
        <x:v>Change dates</x:v>
      </x:c>
      <x:c r="C5" s="8" t="str">
        <x:v>Edit Start Date and End Date in Project Tracker using real Excel dates.</x:v>
      </x:c>
      <x:c r="D5" s="8" t="str">
        <x:v>Duration, health checks, Gantt bars, upcoming work, and dashboard metrics update automatically.</x:v>
      </x:c>
    </x:row>
    <x:row r="6">
      <x:c r="A6" s="8" t="n">
        <x:v>3</x:v>
      </x:c>
      <x:c r="B6" s="8" t="str">
        <x:v>Update Progress %</x:v>
      </x:c>
      <x:c r="C6" s="8" t="str">
        <x:v>Enter any value from 0% to 100% in Progress %.</x:v>
      </x:c>
      <x:c r="D6" s="8" t="str">
        <x:v>0% defaults to Not Started, 1–99% to In Progress, 100% to Completed.</x:v>
      </x:c>
    </x:row>
    <x:row r="7">
      <x:c r="A7" s="8" t="n">
        <x:v>4</x:v>
      </x:c>
      <x:c r="B7" s="8" t="str">
        <x:v>Change Status</x:v>
      </x:c>
      <x:c r="C7" s="8" t="str">
        <x:v>Status is formula-driven by default. You may manually choose On Hold or Delayed (or another status) from the dropdown.</x:v>
      </x:c>
      <x:c r="D7" s="8" t="str">
        <x:v>A manual choice replaces the row's auto-status formula. To restore automation, copy the Status formula from a neighboring auto-status row.</x:v>
      </x:c>
    </x:row>
    <x:row r="8">
      <x:c r="A8" s="8" t="n">
        <x:v>5</x:v>
      </x:c>
      <x:c r="B8" s="8" t="str">
        <x:v>Assign resources</x:v>
      </x:c>
      <x:c r="C8" s="8" t="str">
        <x:v>Edit Resource / Owner. Use exact resource names from the Resources sheet when possible; multiple resources may be separated with semicolons.</x:v>
      </x:c>
      <x:c r="D8" s="8" t="str">
        <x:v>Resource counts use text matching and update from the tracker.</x:v>
      </x:c>
    </x:row>
    <x:row r="9">
      <x:c r="A9" s="8" t="n">
        <x:v>6</x:v>
      </x:c>
      <x:c r="B9" s="8" t="str">
        <x:v>Modify dependencies</x:v>
      </x:c>
      <x:c r="C9" s="8" t="str">
        <x:v>Enter predecessor Task ID(s) separated by commas and choose FS, SS, FF, or SF.</x:v>
      </x:c>
      <x:c r="D9" s="8" t="str">
        <x:v>Schedule Health checks missing IDs, direct self-cycles, invalid dates, project-window violations, and date conflicts. The source DAG was separately validated as acyclic at build time.</x:v>
      </x:c>
    </x:row>
    <x:row r="10">
      <x:c r="A10" s="8" t="n">
        <x:v>7</x:v>
      </x:c>
      <x:c r="B10" s="8" t="str">
        <x:v>Add a new task safely</x:v>
      </x:c>
      <x:c r="C10" s="8" t="str">
        <x:v>Insert a new row inside the Project Tracker Excel Table, give it a unique Task ID, dates, milestone flag, and any predecessor IDs.</x:v>
      </x:c>
      <x:c r="D10" s="8" t="str">
        <x:v>Table formulas/validation should extend automatically. The Gantt is pre-wired for up to 100 tracker rows.</x:v>
      </x:c>
    </x:row>
    <x:row r="11">
      <x:c r="A11" s="8" t="n">
        <x:v>8</x:v>
      </x:c>
      <x:c r="B11" s="8" t="str">
        <x:v>Milestone markers</x:v>
      </x:c>
      <x:c r="C11" s="8" t="str">
        <x:v>Milestone rows use Milestone = Yes and Start Date = End Date.</x:v>
      </x:c>
      <x:c r="D11" s="8" t="str">
        <x:v>They appear as ◆ on the Gantt and are counted separately from normal tasks on the Dashboard.</x:v>
      </x:c>
    </x:row>
    <x:row r="12">
      <x:c r="A12" s="8" t="n">
        <x:v>9</x:v>
      </x:c>
      <x:c r="B12" s="8" t="str">
        <x:v>Gantt behavior</x:v>
      </x:c>
      <x:c r="C12" s="8" t="str">
        <x:v>The Gantt reads directly from Project Tracker and redraws bars by date/status/progress via formulas and conditional formatting.</x:v>
      </x:c>
      <x:c r="D12" s="8" t="str">
        <x:v>Weekends are differentiated; progress overlays the completed portion of each duration bar.</x:v>
      </x:c>
    </x:row>
    <x:row r="13">
      <x:c r="A13" s="8" t="n">
        <x:v>10</x:v>
      </x:c>
      <x:c r="B13" s="8" t="str">
        <x:v>Dashboard indicators</x:v>
      </x:c>
      <x:c r="C13" s="8" t="str">
        <x:v>Use KPI cards, charts, and the Upcoming &amp; Attention Queue for management review.</x:v>
      </x:c>
      <x:c r="D13" s="8" t="str">
        <x:v>Project Days Remaining uses TODAY(); delayed/conflicted queues update from tracker status and Schedule Health.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3f0a66761514f2f"/>
  </x:tableParts>
</x:worksheet>
</file>