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racker" sheetId="1" state="visible" r:id="rId1"/>
    <sheet xmlns:r="http://schemas.openxmlformats.org/officeDocument/2006/relationships" name="Gantt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Resources" sheetId="4" state="visible" r:id="rId4"/>
    <sheet xmlns:r="http://schemas.openxmlformats.org/officeDocument/2006/relationships" name="Assumptions &amp; Gaps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#,##0&quot; days&quot;"/>
    <numFmt numFmtId="167" formatCode="0.0%"/>
    <numFmt numFmtId="168" formatCode="#,##0&quot; Days&quot;"/>
  </numFmts>
  <fonts count="11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9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334155"/>
      <sz val="8"/>
    </font>
    <font>
      <name val="Calibri"/>
      <sz val="9"/>
    </font>
    <font>
      <name val="Calibri"/>
      <b val="1"/>
      <color rgb="00475569"/>
      <sz val="9"/>
    </font>
    <font>
      <name val="Calibri"/>
      <b val="1"/>
      <color rgb="001E3A8A"/>
      <sz val="18"/>
    </font>
    <font>
      <name val="Calibri"/>
      <b val="1"/>
      <color rgb="000F172A"/>
      <sz val="12"/>
    </font>
  </fonts>
  <fills count="13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FEF9C3"/>
        <bgColor rgb="00FEF9C3"/>
      </patternFill>
    </fill>
    <fill>
      <patternFill patternType="solid">
        <fgColor rgb="00334155"/>
        <bgColor rgb="00334155"/>
      </patternFill>
    </fill>
    <fill>
      <patternFill patternType="solid">
        <fgColor rgb="001D4ED8"/>
        <bgColor rgb="001D4ED8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FEDD5"/>
        <bgColor rgb="00FFEDD5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3A8A"/>
      </top>
      <bottom style="thin">
        <color rgb="00CBD5E1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165" fontId="4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165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0" fillId="0" borderId="2" pivotButton="0" quotePrefix="0" xfId="0"/>
    <xf numFmtId="3" fontId="9" fillId="7" borderId="2" applyAlignment="1" pivotButton="0" quotePrefix="0" xfId="0">
      <alignment horizontal="center" vertical="center"/>
    </xf>
    <xf numFmtId="167" fontId="9" fillId="7" borderId="2" applyAlignment="1" pivotButton="0" quotePrefix="0" xfId="0">
      <alignment horizontal="center" vertical="center"/>
    </xf>
    <xf numFmtId="168" fontId="9" fillId="7" borderId="2" applyAlignment="1" pivotButton="0" quotePrefix="0" xfId="0">
      <alignment horizontal="center" vertical="center"/>
    </xf>
    <xf numFmtId="0" fontId="10" fillId="0" borderId="0" pivotButton="0" quotePrefix="0" xfId="0"/>
    <xf numFmtId="0" fontId="4" fillId="0" borderId="1" pivotButton="0" quotePrefix="0" xfId="0"/>
    <xf numFmtId="3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167" fontId="0" fillId="3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563EB"/>
          <bgColor rgb="002563EB"/>
        </patternFill>
      </fill>
    </dxf>
    <dxf>
      <font>
        <color rgb="001E40AF"/>
      </font>
      <fill>
        <patternFill patternType="solid">
          <fgColor rgb="00DBEAFE"/>
          <bgColor rgb="00DBEAFE"/>
        </patternFill>
      </fill>
    </dxf>
    <dxf>
      <font>
        <b val="1"/>
        <color rgb="00854D0E"/>
        <sz val="11"/>
      </font>
      <fill>
        <patternFill patternType="solid">
          <fgColor rgb="00FEF08A"/>
          <bgColor rgb="00FEF0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ProjectTrackerTable" displayName="ProjectTrackerTable" ref="A4:P45" headerRowCount="1">
  <autoFilter ref="A4:P45"/>
  <tableColumns count="16">
    <tableColumn id="1" name="Task ID"/>
    <tableColumn id="2" name="Phase"/>
    <tableColumn id="3" name="Task Name"/>
    <tableColumn id="4" name="Description"/>
    <tableColumn id="5" name="Start Date"/>
    <tableColumn id="6" name="End Date"/>
    <tableColumn id="7" name="Duration"/>
    <tableColumn id="8" name="Predecessor"/>
    <tableColumn id="9" name="Dependency Type"/>
    <tableColumn id="10" name="Milestone"/>
    <tableColumn id="11" name="Resource / Owner"/>
    <tableColumn id="12" name="Priority"/>
    <tableColumn id="13" name="Status"/>
    <tableColumn id="14" name="Progress %"/>
    <tableColumn id="15" name="Schedule Health"/>
    <tableColumn id="16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ourceSummaryTable" displayName="ResourceSummaryTable" ref="A4:G28" headerRowCount="1">
  <autoFilter ref="A4:G28"/>
  <tableColumns count="7">
    <tableColumn id="1" name="Resource Name"/>
    <tableColumn id="2" name="Total Assigned Tasks"/>
    <tableColumn id="3" name="Completed"/>
    <tableColumn id="4" name="In Progress"/>
    <tableColumn id="5" name="Remaining"/>
    <tableColumn id="6" name="Average Progress"/>
    <tableColumn id="7" name="Operational Role &amp; Allocation 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umptionsTable" displayName="AssumptionsTable" ref="A4:E12" headerRowCount="1">
  <autoFilter ref="A4:E12"/>
  <tableColumns count="5">
    <tableColumn id="1" name="Classification Label"/>
    <tableColumn id="2" name="Source Field / Item"/>
    <tableColumn id="3" name="Identified Condition / Architectural Context"/>
    <tableColumn id="4" name="Resolution Implemented in Workbook"/>
    <tableColumn id="5" name="User / Stakeholder Action Need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structionsTable" displayName="InstructionsTable" ref="A4:D14" headerRowCount="1">
  <autoFilter ref="A4:D14"/>
  <tableColumns count="4">
    <tableColumn id="1" name="Instruction Topic"/>
    <tableColumn id="2" name="Standard Operating Protocol"/>
    <tableColumn id="3" name="Impact on Formulas &amp; Sheets"/>
    <tableColumn id="4" name="Best Practice Guid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45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42" customWidth="1" min="3" max="3"/>
    <col width="45" customWidth="1" min="4" max="4"/>
    <col width="13" customWidth="1" min="5" max="5"/>
    <col width="13" customWidth="1" min="6" max="6"/>
    <col width="13" customWidth="1" min="7" max="7"/>
    <col width="18" customWidth="1" min="8" max="8"/>
    <col width="16" customWidth="1" min="9" max="9"/>
    <col width="12" customWidth="1" min="10" max="10"/>
    <col width="35" customWidth="1" min="11" max="11"/>
    <col width="12" customWidth="1" min="12" max="12"/>
    <col width="15" customWidth="1" min="13" max="13"/>
    <col width="13" customWidth="1" min="14" max="14"/>
    <col width="18" customWidth="1" min="15" max="15"/>
    <col width="45" customWidth="1" min="16" max="16"/>
  </cols>
  <sheetData>
    <row r="2">
      <c r="A2" s="1" t="inlineStr">
        <is>
          <t>Governed Multi-Brand Agentic System — Master Project Tracker</t>
        </is>
      </c>
    </row>
    <row r="3">
      <c r="A3" s="2" t="inlineStr">
        <is>
          <t>Fixed Project Window: 2026-09-11 to 2026-10-14 | Access Model: Model A | Execution Boundary: agent_sandbox</t>
        </is>
      </c>
    </row>
    <row r="4">
      <c r="A4" s="3" t="inlineStr">
        <is>
          <t>Task ID</t>
        </is>
      </c>
      <c r="B4" s="3" t="inlineStr">
        <is>
          <t>Phase</t>
        </is>
      </c>
      <c r="C4" s="3" t="inlineStr">
        <is>
          <t>Task Name</t>
        </is>
      </c>
      <c r="D4" s="3" t="inlineStr">
        <is>
          <t>Description</t>
        </is>
      </c>
      <c r="E4" s="3" t="inlineStr">
        <is>
          <t>Start Date</t>
        </is>
      </c>
      <c r="F4" s="3" t="inlineStr">
        <is>
          <t>End Date</t>
        </is>
      </c>
      <c r="G4" s="3" t="inlineStr">
        <is>
          <t>Duration</t>
        </is>
      </c>
      <c r="H4" s="3" t="inlineStr">
        <is>
          <t>Predecessor</t>
        </is>
      </c>
      <c r="I4" s="3" t="inlineStr">
        <is>
          <t>Dependency Type</t>
        </is>
      </c>
      <c r="J4" s="3" t="inlineStr">
        <is>
          <t>Milestone</t>
        </is>
      </c>
      <c r="K4" s="3" t="inlineStr">
        <is>
          <t>Resource / Owner</t>
        </is>
      </c>
      <c r="L4" s="3" t="inlineStr">
        <is>
          <t>Priority</t>
        </is>
      </c>
      <c r="M4" s="3" t="inlineStr">
        <is>
          <t>Status</t>
        </is>
      </c>
      <c r="N4" s="3" t="inlineStr">
        <is>
          <t>Progress %</t>
        </is>
      </c>
      <c r="O4" s="3" t="inlineStr">
        <is>
          <t>Schedule Health</t>
        </is>
      </c>
      <c r="P4" s="3" t="inlineStr">
        <is>
          <t>Notes</t>
        </is>
      </c>
    </row>
    <row r="5">
      <c r="A5" s="4" t="inlineStr">
        <is>
          <t>T01</t>
        </is>
      </c>
      <c r="B5" s="5" t="inlineStr">
        <is>
          <t>Phase 1: Governance &amp; Authority</t>
        </is>
      </c>
      <c r="C5" s="5" t="inlineStr">
        <is>
          <t>Define enterprise objectives, tenant scopes, and budget boundaries</t>
        </is>
      </c>
      <c r="D5" s="6" t="inlineStr">
        <is>
          <t>Establish multi-brand goals, risk boundaries, and financial limits in governance console.</t>
        </is>
      </c>
      <c r="E5" s="7" t="n">
        <v>46276</v>
      </c>
      <c r="F5" s="7" t="n">
        <v>46277</v>
      </c>
      <c r="G5" s="8">
        <f>IF(OR(E5="",F5=""),0,F5-E5+1)</f>
        <v/>
      </c>
      <c r="H5" s="4" t="inlineStr">
        <is>
          <t>None</t>
        </is>
      </c>
      <c r="I5" s="4" t="inlineStr">
        <is>
          <t>FS</t>
        </is>
      </c>
      <c r="J5" s="4" t="inlineStr">
        <is>
          <t>No</t>
        </is>
      </c>
      <c r="K5" s="5" t="inlineStr">
        <is>
          <t>Brand Stakeholder / Portfolio Owner</t>
        </is>
      </c>
      <c r="L5" s="4" t="inlineStr">
        <is>
          <t>High</t>
        </is>
      </c>
      <c r="M5" s="4" t="inlineStr">
        <is>
          <t>Not Started</t>
        </is>
      </c>
      <c r="N5" s="9" t="n">
        <v>0</v>
      </c>
      <c r="O5" s="4">
        <f>IF(J5="Yes",IF(N5=1,"Completed",IF(TODAY()&gt;F5,"Overdue","Scheduled")),IF(N5=1,"Completed",IF(M5="Delayed","Delayed",IF(M5="On Hold","On Hold",IF(TODAY()&gt;F5,"Overdue",IF(AND(TODAY()&gt;=E5,N5=0),"Behind Schedule","On Track"))))))</f>
        <v/>
      </c>
      <c r="P5" s="6" t="inlineStr">
        <is>
          <t>Model A baseline; blueprint marked as complete; initialized at 0% for live execution tracking.</t>
        </is>
      </c>
    </row>
    <row r="6">
      <c r="A6" s="10" t="inlineStr">
        <is>
          <t>T02</t>
        </is>
      </c>
      <c r="B6" s="11" t="inlineStr">
        <is>
          <t>Phase 1: Governance &amp; Authority</t>
        </is>
      </c>
      <c r="C6" s="11" t="inlineStr">
        <is>
          <t>Configure machine-readable policy rules, autonomy tiers, and claim limits</t>
        </is>
      </c>
      <c r="D6" s="12" t="inlineStr">
        <is>
          <t>Deploy enterprise compliance matrix and statutory guidelines to policy store.</t>
        </is>
      </c>
      <c r="E6" s="13" t="n">
        <v>46276</v>
      </c>
      <c r="F6" s="13" t="n">
        <v>46277</v>
      </c>
      <c r="G6" s="14">
        <f>IF(OR(E6="",F6=""),0,F6-E6+1)</f>
        <v/>
      </c>
      <c r="H6" s="10" t="inlineStr">
        <is>
          <t>None</t>
        </is>
      </c>
      <c r="I6" s="10" t="inlineStr">
        <is>
          <t>FS</t>
        </is>
      </c>
      <c r="J6" s="10" t="inlineStr">
        <is>
          <t>No</t>
        </is>
      </c>
      <c r="K6" s="11" t="inlineStr">
        <is>
          <t>Enterprise Policy Engine</t>
        </is>
      </c>
      <c r="L6" s="10" t="inlineStr">
        <is>
          <t>High</t>
        </is>
      </c>
      <c r="M6" s="10" t="inlineStr">
        <is>
          <t>Not Started</t>
        </is>
      </c>
      <c r="N6" s="15" t="n">
        <v>0</v>
      </c>
      <c r="O6" s="10">
        <f>IF(J6="Yes",IF(N6=1,"Completed",IF(TODAY()&gt;F6,"Overdue","Scheduled")),IF(N6=1,"Completed",IF(M6="Delayed","Delayed",IF(M6="On Hold","On Hold",IF(TODAY()&gt;F6,"Overdue",IF(AND(TODAY()&gt;=E6,N6=0),"Behind Schedule","On Track"))))))</f>
        <v/>
      </c>
      <c r="P6" s="12" t="inlineStr">
        <is>
          <t>Defines strict monotonic attenuation constraints for worker tools.</t>
        </is>
      </c>
    </row>
    <row r="7">
      <c r="A7" s="4" t="inlineStr">
        <is>
          <t>T03</t>
        </is>
      </c>
      <c r="B7" s="5" t="inlineStr">
        <is>
          <t>Phase 1: Governance &amp; Authority</t>
        </is>
      </c>
      <c r="C7" s="5" t="inlineStr">
        <is>
          <t>Establish Policy &amp; Authorization Boundary (PAB) evaluation rules</t>
        </is>
      </c>
      <c r="D7" s="6" t="inlineStr">
        <is>
          <t>Implement caller token, delegation chain, tenant scope, and attenuation validator.</t>
        </is>
      </c>
      <c r="E7" s="7" t="n">
        <v>46277</v>
      </c>
      <c r="F7" s="7" t="n">
        <v>46279</v>
      </c>
      <c r="G7" s="8">
        <f>IF(OR(E7="",F7=""),0,F7-E7+1)</f>
        <v/>
      </c>
      <c r="H7" s="4" t="inlineStr">
        <is>
          <t>T01, T02</t>
        </is>
      </c>
      <c r="I7" s="4" t="inlineStr">
        <is>
          <t>FS</t>
        </is>
      </c>
      <c r="J7" s="4" t="inlineStr">
        <is>
          <t>No</t>
        </is>
      </c>
      <c r="K7" s="5" t="inlineStr">
        <is>
          <t>Policy &amp; Authorization Boundary (PAB)</t>
        </is>
      </c>
      <c r="L7" s="4" t="inlineStr">
        <is>
          <t>High</t>
        </is>
      </c>
      <c r="M7" s="4" t="inlineStr">
        <is>
          <t>Not Started</t>
        </is>
      </c>
      <c r="N7" s="9" t="n">
        <v>0</v>
      </c>
      <c r="O7" s="4">
        <f>IF(J7="Yes",IF(N7=1,"Completed",IF(TODAY()&gt;F7,"Overdue","Scheduled")),IF(N7=1,"Completed",IF(M7="Delayed","Delayed",IF(M7="On Hold","On Hold",IF(TODAY()&gt;F7,"Overdue",IF(AND(TODAY()&gt;=E7,N7=0),"Behind Schedule","On Track"))))))</f>
        <v/>
      </c>
      <c r="P7" s="6" t="inlineStr">
        <is>
          <t>Same-day handoff from T01/T02 on 2026-09-12 [INFERRED].</t>
        </is>
      </c>
    </row>
    <row r="8">
      <c r="A8" s="10" t="inlineStr">
        <is>
          <t>T04</t>
        </is>
      </c>
      <c r="B8" s="11" t="inlineStr">
        <is>
          <t>Phase 1: Governance &amp; Authority</t>
        </is>
      </c>
      <c r="C8" s="11" t="inlineStr">
        <is>
          <t>Initialize Canonical Task State Machine (CTS) and DAG execution schema</t>
        </is>
      </c>
      <c r="D8" s="12" t="inlineStr">
        <is>
          <t>Configure task state transitions, checkpoint barriers, dependency locks, and hold queues.</t>
        </is>
      </c>
      <c r="E8" s="13" t="n">
        <v>46277</v>
      </c>
      <c r="F8" s="13" t="n">
        <v>46279</v>
      </c>
      <c r="G8" s="14">
        <f>IF(OR(E8="",F8=""),0,F8-E8+1)</f>
        <v/>
      </c>
      <c r="H8" s="10" t="inlineStr">
        <is>
          <t>T01</t>
        </is>
      </c>
      <c r="I8" s="10" t="inlineStr">
        <is>
          <t>FS</t>
        </is>
      </c>
      <c r="J8" s="10" t="inlineStr">
        <is>
          <t>No</t>
        </is>
      </c>
      <c r="K8" s="11" t="inlineStr">
        <is>
          <t>Canonical Task State Machine (CTS)</t>
        </is>
      </c>
      <c r="L8" s="10" t="inlineStr">
        <is>
          <t>High</t>
        </is>
      </c>
      <c r="M8" s="10" t="inlineStr">
        <is>
          <t>Not Started</t>
        </is>
      </c>
      <c r="N8" s="15" t="n">
        <v>0</v>
      </c>
      <c r="O8" s="10">
        <f>IF(J8="Yes",IF(N8=1,"Completed",IF(TODAY()&gt;F8,"Overdue","Scheduled")),IF(N8=1,"Completed",IF(M8="Delayed","Delayed",IF(M8="On Hold","On Hold",IF(TODAY()&gt;F8,"Overdue",IF(AND(TODAY()&gt;=E8,N8=0),"Behind Schedule","On Track"))))))</f>
        <v/>
      </c>
      <c r="P8" s="12" t="inlineStr">
        <is>
          <t>Authoritative single-source state ledger for Orchestrator.</t>
        </is>
      </c>
    </row>
    <row r="9">
      <c r="A9" s="16" t="inlineStr">
        <is>
          <t>M01</t>
        </is>
      </c>
      <c r="B9" s="17" t="inlineStr">
        <is>
          <t>Phase 1: Governance &amp; Authority</t>
        </is>
      </c>
      <c r="C9" s="17" t="inlineStr">
        <is>
          <t>Milestone 1: Governance, Policy &amp; Canonical State Initialized</t>
        </is>
      </c>
      <c r="D9" s="18" t="inlineStr">
        <is>
          <t>Verification of governance plane, attenuation rules, and state DAG machine.</t>
        </is>
      </c>
      <c r="E9" s="19" t="n">
        <v>46279</v>
      </c>
      <c r="F9" s="19" t="n">
        <v>46279</v>
      </c>
      <c r="G9" s="20">
        <f>IF(OR(E9="",F9=""),0,F9-E9+1)</f>
        <v/>
      </c>
      <c r="H9" s="16" t="inlineStr">
        <is>
          <t>T01, T02, T03, T04</t>
        </is>
      </c>
      <c r="I9" s="16" t="inlineStr">
        <is>
          <t>FS</t>
        </is>
      </c>
      <c r="J9" s="16" t="inlineStr">
        <is>
          <t>Yes</t>
        </is>
      </c>
      <c r="K9" s="17" t="inlineStr">
        <is>
          <t>Intelligence Engine &amp; Owner</t>
        </is>
      </c>
      <c r="L9" s="16" t="inlineStr">
        <is>
          <t>High</t>
        </is>
      </c>
      <c r="M9" s="16" t="inlineStr">
        <is>
          <t>Not Started</t>
        </is>
      </c>
      <c r="N9" s="21" t="n">
        <v>0</v>
      </c>
      <c r="O9" s="16">
        <f>IF(J9="Yes",IF(N9=1,"Completed",IF(TODAY()&gt;F9,"Overdue","Scheduled")),IF(N9=1,"Completed",IF(M9="Delayed","Delayed",IF(M9="On Hold","On Hold",IF(TODAY()&gt;F9,"Overdue",IF(AND(TODAY()&gt;=E9,N9=0),"Behind Schedule","On Track"))))))</f>
        <v/>
      </c>
      <c r="P9" s="18" t="inlineStr">
        <is>
          <t>Explicit checkpoint M1.</t>
        </is>
      </c>
    </row>
    <row r="10">
      <c r="A10" s="10" t="inlineStr">
        <is>
          <t>T05</t>
        </is>
      </c>
      <c r="B10" s="11" t="inlineStr">
        <is>
          <t>Phase 2: Governed Data Plane</t>
        </is>
      </c>
      <c r="C10" s="11" t="inlineStr">
        <is>
          <t>Provision Central Enterprise Database (CDB) relational tables &amp; vector stores</t>
        </is>
      </c>
      <c r="D10" s="12" t="inlineStr">
        <is>
          <t>Deploy PostgreSQL, pgvector partitions, tenant schemas, and telemetry tables.</t>
        </is>
      </c>
      <c r="E10" s="13" t="n">
        <v>46279</v>
      </c>
      <c r="F10" s="13" t="n">
        <v>46281</v>
      </c>
      <c r="G10" s="14">
        <f>IF(OR(E10="",F10=""),0,F10-E10+1)</f>
        <v/>
      </c>
      <c r="H10" s="10" t="inlineStr">
        <is>
          <t>T04</t>
        </is>
      </c>
      <c r="I10" s="10" t="inlineStr">
        <is>
          <t>FS</t>
        </is>
      </c>
      <c r="J10" s="10" t="inlineStr">
        <is>
          <t>No</t>
        </is>
      </c>
      <c r="K10" s="11" t="inlineStr">
        <is>
          <t>Central Enterprise Database (CDB)</t>
        </is>
      </c>
      <c r="L10" s="10" t="inlineStr">
        <is>
          <t>High</t>
        </is>
      </c>
      <c r="M10" s="10" t="inlineStr">
        <is>
          <t>Not Started</t>
        </is>
      </c>
      <c r="N10" s="15" t="n">
        <v>0</v>
      </c>
      <c r="O10" s="10">
        <f>IF(J10="Yes",IF(N10=1,"Completed",IF(TODAY()&gt;F10,"Overdue","Scheduled")),IF(N10=1,"Completed",IF(M10="Delayed","Delayed",IF(M10="On Hold","On Hold",IF(TODAY()&gt;F10,"Overdue",IF(AND(TODAY()&gt;=E10,N10=0),"Behind Schedule","On Track"))))))</f>
        <v/>
      </c>
      <c r="P10" s="12" t="inlineStr">
        <is>
          <t>Universal persistence target for all pipeline events.</t>
        </is>
      </c>
    </row>
    <row r="11">
      <c r="A11" s="4" t="inlineStr">
        <is>
          <t>T06</t>
        </is>
      </c>
      <c r="B11" s="5" t="inlineStr">
        <is>
          <t>Phase 2: Governed Data Plane</t>
        </is>
      </c>
      <c r="C11" s="5" t="inlineStr">
        <is>
          <t>Connect Headless CMS content models and staging layout schemas</t>
        </is>
      </c>
      <c r="D11" s="6" t="inlineStr">
        <is>
          <t>Establish CMS staged page models, catalog structures, and digital asset repositories.</t>
        </is>
      </c>
      <c r="E11" s="7" t="n">
        <v>46279</v>
      </c>
      <c r="F11" s="7" t="n">
        <v>46281</v>
      </c>
      <c r="G11" s="8">
        <f>IF(OR(E11="",F11=""),0,F11-E11+1)</f>
        <v/>
      </c>
      <c r="H11" s="4" t="inlineStr">
        <is>
          <t>T04</t>
        </is>
      </c>
      <c r="I11" s="4" t="inlineStr">
        <is>
          <t>FS</t>
        </is>
      </c>
      <c r="J11" s="4" t="inlineStr">
        <is>
          <t>No</t>
        </is>
      </c>
      <c r="K11" s="5" t="inlineStr">
        <is>
          <t>Headless CMS &amp; Web Store (CMS)</t>
        </is>
      </c>
      <c r="L11" s="4" t="inlineStr">
        <is>
          <t>Medium</t>
        </is>
      </c>
      <c r="M11" s="4" t="inlineStr">
        <is>
          <t>Not Started</t>
        </is>
      </c>
      <c r="N11" s="9" t="n">
        <v>0</v>
      </c>
      <c r="O11" s="4">
        <f>IF(J11="Yes",IF(N11=1,"Completed",IF(TODAY()&gt;F11,"Overdue","Scheduled")),IF(N11=1,"Completed",IF(M11="Delayed","Delayed",IF(M11="On Hold","On Hold",IF(TODAY()&gt;F11,"Overdue",IF(AND(TODAY()&gt;=E11,N11=0),"Behind Schedule","On Track"))))))</f>
        <v/>
      </c>
      <c r="P11" s="6" t="inlineStr">
        <is>
          <t>System of record for staged storefront layouts and catalog diffs.</t>
        </is>
      </c>
    </row>
    <row r="12">
      <c r="A12" s="10" t="inlineStr">
        <is>
          <t>T07</t>
        </is>
      </c>
      <c r="B12" s="11" t="inlineStr">
        <is>
          <t>Phase 2: Governed Data Plane</t>
        </is>
      </c>
      <c r="C12" s="11" t="inlineStr">
        <is>
          <t>Instantiate Institutional Memory Store (MEM) for brand heuristics &amp; rules</t>
        </is>
      </c>
      <c r="D12" s="12" t="inlineStr">
        <is>
          <t>Configure long-term key-value and vector feature store for brand persona memory.</t>
        </is>
      </c>
      <c r="E12" s="13" t="n">
        <v>46279</v>
      </c>
      <c r="F12" s="13" t="n">
        <v>46281</v>
      </c>
      <c r="G12" s="14">
        <f>IF(OR(E12="",F12=""),0,F12-E12+1)</f>
        <v/>
      </c>
      <c r="H12" s="10" t="inlineStr">
        <is>
          <t>T04</t>
        </is>
      </c>
      <c r="I12" s="10" t="inlineStr">
        <is>
          <t>FS</t>
        </is>
      </c>
      <c r="J12" s="10" t="inlineStr">
        <is>
          <t>No</t>
        </is>
      </c>
      <c r="K12" s="11" t="inlineStr">
        <is>
          <t>Institutional Memory Store (MEM)</t>
        </is>
      </c>
      <c r="L12" s="10" t="inlineStr">
        <is>
          <t>Medium</t>
        </is>
      </c>
      <c r="M12" s="10" t="inlineStr">
        <is>
          <t>Not Started</t>
        </is>
      </c>
      <c r="N12" s="15" t="n">
        <v>0</v>
      </c>
      <c r="O12" s="10">
        <f>IF(J12="Yes",IF(N12=1,"Completed",IF(TODAY()&gt;F12,"Overdue","Scheduled")),IF(N12=1,"Completed",IF(M12="Delayed","Delayed",IF(M12="On Hold","On Hold",IF(TODAY()&gt;F12,"Overdue",IF(AND(TODAY()&gt;=E12,N12=0),"Behind Schedule","On Track"))))))</f>
        <v/>
      </c>
      <c r="P12" s="12" t="inlineStr">
        <is>
          <t>Durable store for promoted optimization heuristics.</t>
        </is>
      </c>
    </row>
    <row r="13">
      <c r="A13" s="4" t="inlineStr">
        <is>
          <t>T08</t>
        </is>
      </c>
      <c r="B13" s="5" t="inlineStr">
        <is>
          <t>Phase 2: Governed Data Plane</t>
        </is>
      </c>
      <c r="C13" s="5" t="inlineStr">
        <is>
          <t>Configure Artifact &amp; Evidence Registry (ART) for UUID/hash deliverables</t>
        </is>
      </c>
      <c r="D13" s="6" t="inlineStr">
        <is>
          <t>Set up content-addressable storage for code patches, copy packs, and proof dossiers.</t>
        </is>
      </c>
      <c r="E13" s="7" t="n">
        <v>46281</v>
      </c>
      <c r="F13" s="7" t="n">
        <v>46283</v>
      </c>
      <c r="G13" s="8">
        <f>IF(OR(E13="",F13=""),0,F13-E13+1)</f>
        <v/>
      </c>
      <c r="H13" s="4" t="inlineStr">
        <is>
          <t>T05</t>
        </is>
      </c>
      <c r="I13" s="4" t="inlineStr">
        <is>
          <t>FS</t>
        </is>
      </c>
      <c r="J13" s="4" t="inlineStr">
        <is>
          <t>No</t>
        </is>
      </c>
      <c r="K13" s="5" t="inlineStr">
        <is>
          <t>Artifact &amp; Evidence Registry (ART)</t>
        </is>
      </c>
      <c r="L13" s="4" t="inlineStr">
        <is>
          <t>Medium</t>
        </is>
      </c>
      <c r="M13" s="4" t="inlineStr">
        <is>
          <t>Not Started</t>
        </is>
      </c>
      <c r="N13" s="9" t="n">
        <v>0</v>
      </c>
      <c r="O13" s="4">
        <f>IF(J13="Yes",IF(N13=1,"Completed",IF(TODAY()&gt;F13,"Overdue","Scheduled")),IF(N13=1,"Completed",IF(M13="Delayed","Delayed",IF(M13="On Hold","On Hold",IF(TODAY()&gt;F13,"Overdue",IF(AND(TODAY()&gt;=E13,N13=0),"Behind Schedule","On Track"))))))</f>
        <v/>
      </c>
      <c r="P13" s="6" t="inlineStr">
        <is>
          <t>SHA-256 and UUID delivery addressing.</t>
        </is>
      </c>
    </row>
    <row r="14">
      <c r="A14" s="10" t="inlineStr">
        <is>
          <t>T09</t>
        </is>
      </c>
      <c r="B14" s="11" t="inlineStr">
        <is>
          <t>Phase 2: Governed Data Plane</t>
        </is>
      </c>
      <c r="C14" s="11" t="inlineStr">
        <is>
          <t>Deploy Governed MCP Data Boundary CRUD gateways &amp; connection pools</t>
        </is>
      </c>
      <c r="D14" s="12" t="inlineStr">
        <is>
          <t>Expose standardized read/write capability facades to storage planes under strict schema validation.</t>
        </is>
      </c>
      <c r="E14" s="13" t="n">
        <v>46281</v>
      </c>
      <c r="F14" s="13" t="n">
        <v>46283</v>
      </c>
      <c r="G14" s="14">
        <f>IF(OR(E14="",F14=""),0,F14-E14+1)</f>
        <v/>
      </c>
      <c r="H14" s="10" t="inlineStr">
        <is>
          <t>T05, T06, T07</t>
        </is>
      </c>
      <c r="I14" s="10" t="inlineStr">
        <is>
          <t>FS</t>
        </is>
      </c>
      <c r="J14" s="10" t="inlineStr">
        <is>
          <t>No</t>
        </is>
      </c>
      <c r="K14" s="11" t="inlineStr">
        <is>
          <t>Governed MCP Data Boundary</t>
        </is>
      </c>
      <c r="L14" s="10" t="inlineStr">
        <is>
          <t>High</t>
        </is>
      </c>
      <c r="M14" s="10" t="inlineStr">
        <is>
          <t>Not Started</t>
        </is>
      </c>
      <c r="N14" s="15" t="n">
        <v>0</v>
      </c>
      <c r="O14" s="10">
        <f>IF(J14="Yes",IF(N14=1,"Completed",IF(TODAY()&gt;F14,"Overdue","Scheduled")),IF(N14=1,"Completed",IF(M14="Delayed","Delayed",IF(M14="On Hold","On Hold",IF(TODAY()&gt;F14,"Overdue",IF(AND(TODAY()&gt;=E14,N14=0),"Behind Schedule","On Track"))))))</f>
        <v/>
      </c>
      <c r="P14" s="12" t="inlineStr">
        <is>
          <t>Exclusively accessible by Agentic RAG Controller.</t>
        </is>
      </c>
    </row>
    <row r="15">
      <c r="A15" s="4" t="inlineStr">
        <is>
          <t>T10</t>
        </is>
      </c>
      <c r="B15" s="5" t="inlineStr">
        <is>
          <t>Phase 2: Governed Data Plane</t>
        </is>
      </c>
      <c r="C15" s="5" t="inlineStr">
        <is>
          <t>Configure Agentic RAG Controller with tenant isolation &amp; freshness gates</t>
        </is>
      </c>
      <c r="D15" s="6" t="inlineStr">
        <is>
          <t>Deploy hybrid semantic search, BM25 ranking, provenance tagging, and freshness verifiers.</t>
        </is>
      </c>
      <c r="E15" s="7" t="n">
        <v>46283</v>
      </c>
      <c r="F15" s="7" t="n">
        <v>46284</v>
      </c>
      <c r="G15" s="8">
        <f>IF(OR(E15="",F15=""),0,F15-E15+1)</f>
        <v/>
      </c>
      <c r="H15" s="4" t="inlineStr">
        <is>
          <t>T03, T09</t>
        </is>
      </c>
      <c r="I15" s="4" t="inlineStr">
        <is>
          <t>FS</t>
        </is>
      </c>
      <c r="J15" s="4" t="inlineStr">
        <is>
          <t>No</t>
        </is>
      </c>
      <c r="K15" s="5" t="inlineStr">
        <is>
          <t>Agentic RAG Controller</t>
        </is>
      </c>
      <c r="L15" s="4" t="inlineStr">
        <is>
          <t>High</t>
        </is>
      </c>
      <c r="M15" s="4" t="inlineStr">
        <is>
          <t>Not Started</t>
        </is>
      </c>
      <c r="N15" s="9" t="n">
        <v>0</v>
      </c>
      <c r="O15" s="4">
        <f>IF(J15="Yes",IF(N15=1,"Completed",IF(TODAY()&gt;F15,"Overdue","Scheduled")),IF(N15=1,"Completed",IF(M15="Delayed","Delayed",IF(M15="On Hold","On Hold",IF(TODAY()&gt;F15,"Overdue",IF(AND(TODAY()&gt;=E15,N15=0),"Behind Schedule","On Track"))))))</f>
        <v/>
      </c>
      <c r="P15" s="6" t="inlineStr">
        <is>
          <t>Model A mandate: Exclusively queried by Intelligence Engine.</t>
        </is>
      </c>
    </row>
    <row r="16">
      <c r="A16" s="16" t="inlineStr">
        <is>
          <t>M02</t>
        </is>
      </c>
      <c r="B16" s="17" t="inlineStr">
        <is>
          <t>Phase 2: Governed Data Plane</t>
        </is>
      </c>
      <c r="C16" s="17" t="inlineStr">
        <is>
          <t>Milestone 2: Governed Data Plane &amp; Central Storage Integration (Model A)</t>
        </is>
      </c>
      <c r="D16" s="18" t="inlineStr">
        <is>
          <t>Data boundary gateways, RAG controller, and enterprise stores validated.</t>
        </is>
      </c>
      <c r="E16" s="19" t="n">
        <v>46284</v>
      </c>
      <c r="F16" s="19" t="n">
        <v>46284</v>
      </c>
      <c r="G16" s="20">
        <f>IF(OR(E16="",F16=""),0,F16-E16+1)</f>
        <v/>
      </c>
      <c r="H16" s="16" t="inlineStr">
        <is>
          <t>T05, T06, T07, T08, T09, T10</t>
        </is>
      </c>
      <c r="I16" s="16" t="inlineStr">
        <is>
          <t>FS</t>
        </is>
      </c>
      <c r="J16" s="16" t="inlineStr">
        <is>
          <t>Yes</t>
        </is>
      </c>
      <c r="K16" s="17" t="inlineStr">
        <is>
          <t>Intelligence Engine &amp; Agentic RAG</t>
        </is>
      </c>
      <c r="L16" s="16" t="inlineStr">
        <is>
          <t>High</t>
        </is>
      </c>
      <c r="M16" s="16" t="inlineStr">
        <is>
          <t>Not Started</t>
        </is>
      </c>
      <c r="N16" s="21" t="n">
        <v>0</v>
      </c>
      <c r="O16" s="16">
        <f>IF(J16="Yes",IF(N16=1,"Completed",IF(TODAY()&gt;F16,"Overdue","Scheduled")),IF(N16=1,"Completed",IF(M16="Delayed","Delayed",IF(M16="On Hold","On Hold",IF(TODAY()&gt;F16,"Overdue",IF(AND(TODAY()&gt;=E16,N16=0),"Behind Schedule","On Track"))))))</f>
        <v/>
      </c>
      <c r="P16" s="18" t="inlineStr">
        <is>
          <t>Explicit checkpoint M2.</t>
        </is>
      </c>
    </row>
    <row r="17">
      <c r="A17" s="4" t="inlineStr">
        <is>
          <t>T11</t>
        </is>
      </c>
      <c r="B17" s="5" t="inlineStr">
        <is>
          <t>Phase 3: Sandbox Isolation</t>
        </is>
      </c>
      <c r="C17" s="5" t="inlineStr">
        <is>
          <t>Deploy agent_sandbox with cgroups, seccomp, and tmpfs isolation</t>
        </is>
      </c>
      <c r="D17" s="6" t="inlineStr">
        <is>
          <t>Configure virtualized micro-containers, memory scrubbing, and ephemeral process fences.</t>
        </is>
      </c>
      <c r="E17" s="7" t="n">
        <v>46283</v>
      </c>
      <c r="F17" s="7" t="n">
        <v>46285</v>
      </c>
      <c r="G17" s="8">
        <f>IF(OR(E17="",F17=""),0,F17-E17+1)</f>
        <v/>
      </c>
      <c r="H17" s="4" t="inlineStr">
        <is>
          <t>T03</t>
        </is>
      </c>
      <c r="I17" s="4" t="inlineStr">
        <is>
          <t>FS</t>
        </is>
      </c>
      <c r="J17" s="4" t="inlineStr">
        <is>
          <t>No</t>
        </is>
      </c>
      <c r="K17" s="5" t="inlineStr">
        <is>
          <t>Sandbox Controller (agent_sandbox)</t>
        </is>
      </c>
      <c r="L17" s="4" t="inlineStr">
        <is>
          <t>High</t>
        </is>
      </c>
      <c r="M17" s="4" t="inlineStr">
        <is>
          <t>Not Started</t>
        </is>
      </c>
      <c r="N17" s="9" t="n">
        <v>0</v>
      </c>
      <c r="O17" s="4">
        <f>IF(J17="Yes",IF(N17=1,"Completed",IF(TODAY()&gt;F17,"Overdue","Scheduled")),IF(N17=1,"Completed",IF(M17="Delayed","Delayed",IF(M17="On Hold","On Hold",IF(TODAY()&gt;F17,"Overdue",IF(AND(TODAY()&gt;=E17,N17=0),"Behind Schedule","On Track"))))))</f>
        <v/>
      </c>
      <c r="P17" s="6" t="inlineStr">
        <is>
          <t>Isolated container/micro-VM layer beneath Worker Agents.</t>
        </is>
      </c>
    </row>
    <row r="18">
      <c r="A18" s="10" t="inlineStr">
        <is>
          <t>T12</t>
        </is>
      </c>
      <c r="B18" s="11" t="inlineStr">
        <is>
          <t>Phase 3: Sandbox Isolation</t>
        </is>
      </c>
      <c r="C18" s="11" t="inlineStr">
        <is>
          <t>Configure sandbox network proxy with strict egress allowlisting (DENY_ALL)</t>
        </is>
      </c>
      <c r="D18" s="12" t="inlineStr">
        <is>
          <t>Enforce default deny network egress; whitelist explicit scraping target domains.</t>
        </is>
      </c>
      <c r="E18" s="13" t="n">
        <v>46285</v>
      </c>
      <c r="F18" s="13" t="n">
        <v>46286</v>
      </c>
      <c r="G18" s="14">
        <f>IF(OR(E18="",F18=""),0,F18-E18+1)</f>
        <v/>
      </c>
      <c r="H18" s="10" t="inlineStr">
        <is>
          <t>T11</t>
        </is>
      </c>
      <c r="I18" s="10" t="inlineStr">
        <is>
          <t>FS</t>
        </is>
      </c>
      <c r="J18" s="10" t="inlineStr">
        <is>
          <t>No</t>
        </is>
      </c>
      <c r="K18" s="11" t="inlineStr">
        <is>
          <t>Sandbox Controller (agent_sandbox)</t>
        </is>
      </c>
      <c r="L18" s="10" t="inlineStr">
        <is>
          <t>High</t>
        </is>
      </c>
      <c r="M18" s="10" t="inlineStr">
        <is>
          <t>Not Started</t>
        </is>
      </c>
      <c r="N18" s="15" t="n">
        <v>0</v>
      </c>
      <c r="O18" s="10">
        <f>IF(J18="Yes",IF(N18=1,"Completed",IF(TODAY()&gt;F18,"Overdue","Scheduled")),IF(N18=1,"Completed",IF(M18="Delayed","Delayed",IF(M18="On Hold","On Hold",IF(TODAY()&gt;F18,"Overdue",IF(AND(TODAY()&gt;=E18,N18=0),"Behind Schedule","On Track"))))))</f>
        <v/>
      </c>
      <c r="P18" s="12" t="inlineStr">
        <is>
          <t>Prevents lateral token leakage and unauthorized internal scanning.</t>
        </is>
      </c>
    </row>
    <row r="19">
      <c r="A19" s="4" t="inlineStr">
        <is>
          <t>T13</t>
        </is>
      </c>
      <c r="B19" s="5" t="inlineStr">
        <is>
          <t>Phase 3: Sandbox Isolation</t>
        </is>
      </c>
      <c r="C19" s="5" t="inlineStr">
        <is>
          <t>Implement sandbox execution audit interception to W3C PROV ledger</t>
        </is>
      </c>
      <c r="D19" s="6" t="inlineStr">
        <is>
          <t>Stream syscall traces, execution exit codes, and resource metrics to audit ledger.</t>
        </is>
      </c>
      <c r="E19" s="7" t="n">
        <v>46286</v>
      </c>
      <c r="F19" s="7" t="n">
        <v>46287</v>
      </c>
      <c r="G19" s="8">
        <f>IF(OR(E19="",F19=""),0,F19-E19+1)</f>
        <v/>
      </c>
      <c r="H19" s="4" t="inlineStr">
        <is>
          <t>T11, T12</t>
        </is>
      </c>
      <c r="I19" s="4" t="inlineStr">
        <is>
          <t>FS</t>
        </is>
      </c>
      <c r="J19" s="4" t="inlineStr">
        <is>
          <t>No</t>
        </is>
      </c>
      <c r="K19" s="5" t="inlineStr">
        <is>
          <t>Sandbox Controller &amp; W3C PROV Audit</t>
        </is>
      </c>
      <c r="L19" s="4" t="inlineStr">
        <is>
          <t>Medium</t>
        </is>
      </c>
      <c r="M19" s="4" t="inlineStr">
        <is>
          <t>Not Started</t>
        </is>
      </c>
      <c r="N19" s="9" t="n">
        <v>0</v>
      </c>
      <c r="O19" s="4">
        <f>IF(J19="Yes",IF(N19=1,"Completed",IF(TODAY()&gt;F19,"Overdue","Scheduled")),IF(N19=1,"Completed",IF(M19="Delayed","Delayed",IF(M19="On Hold","On Hold",IF(TODAY()&gt;F19,"Overdue",IF(AND(TODAY()&gt;=E19,N19=0),"Behind Schedule","On Track"))))))</f>
        <v/>
      </c>
      <c r="P19" s="6" t="inlineStr">
        <is>
          <t>Guarantees forensic non-repudiation for all dynamic code runs.</t>
        </is>
      </c>
    </row>
    <row r="20">
      <c r="A20" s="10" t="inlineStr">
        <is>
          <t>T14</t>
        </is>
      </c>
      <c r="B20" s="11" t="inlineStr">
        <is>
          <t>Phase 3: Sandbox Isolation</t>
        </is>
      </c>
      <c r="C20" s="11" t="inlineStr">
        <is>
          <t>Instantiate specialist sub-agent micro-tools (S_CODE to S_ATTR) in sandbox</t>
        </is>
      </c>
      <c r="D20" s="12" t="inlineStr">
        <is>
          <t>Containerize S_CODE, S_ALLOC, S_COPY, S_VAL, S_SCRAPE, S_PARSE, S_ATTR micro-tools.</t>
        </is>
      </c>
      <c r="E20" s="13" t="n">
        <v>46286</v>
      </c>
      <c r="F20" s="13" t="n">
        <v>46288</v>
      </c>
      <c r="G20" s="14">
        <f>IF(OR(E20="",F20=""),0,F20-E20+1)</f>
        <v/>
      </c>
      <c r="H20" s="10" t="inlineStr">
        <is>
          <t>T11, T12</t>
        </is>
      </c>
      <c r="I20" s="10" t="inlineStr">
        <is>
          <t>FS</t>
        </is>
      </c>
      <c r="J20" s="10" t="inlineStr">
        <is>
          <t>No</t>
        </is>
      </c>
      <c r="K20" s="11" t="inlineStr">
        <is>
          <t>Specialist Sub-Agents (L4_SUBS)</t>
        </is>
      </c>
      <c r="L20" s="10" t="inlineStr">
        <is>
          <t>High</t>
        </is>
      </c>
      <c r="M20" s="10" t="inlineStr">
        <is>
          <t>Not Started</t>
        </is>
      </c>
      <c r="N20" s="15" t="n">
        <v>0</v>
      </c>
      <c r="O20" s="10">
        <f>IF(J20="Yes",IF(N20=1,"Completed",IF(TODAY()&gt;F20,"Overdue","Scheduled")),IF(N20=1,"Completed",IF(M20="Delayed","Delayed",IF(M20="On Hold","On Hold",IF(TODAY()&gt;F20,"Overdue",IF(AND(TODAY()&gt;=E20,N20=0),"Behind Schedule","On Track"))))))</f>
        <v/>
      </c>
      <c r="P20" s="12" t="inlineStr">
        <is>
          <t>Ephemeral sub-agents execute strictly within sandbox boundary.</t>
        </is>
      </c>
    </row>
    <row r="21">
      <c r="A21" s="16" t="inlineStr">
        <is>
          <t>M03</t>
        </is>
      </c>
      <c r="B21" s="17" t="inlineStr">
        <is>
          <t>Phase 3: Sandbox Isolation</t>
        </is>
      </c>
      <c r="C21" s="17" t="inlineStr">
        <is>
          <t>Milestone 3: Sandbox Isolation &amp; Specialist Sub-Agent Readiness</t>
        </is>
      </c>
      <c r="D21" s="18" t="inlineStr">
        <is>
          <t>Secure micro-virtualization runtime and specialist tools certified.</t>
        </is>
      </c>
      <c r="E21" s="19" t="n">
        <v>46288</v>
      </c>
      <c r="F21" s="19" t="n">
        <v>46288</v>
      </c>
      <c r="G21" s="20">
        <f>IF(OR(E21="",F21=""),0,F21-E21+1)</f>
        <v/>
      </c>
      <c r="H21" s="16" t="inlineStr">
        <is>
          <t>T11, T12, T13, T14</t>
        </is>
      </c>
      <c r="I21" s="16" t="inlineStr">
        <is>
          <t>FS</t>
        </is>
      </c>
      <c r="J21" s="16" t="inlineStr">
        <is>
          <t>Yes</t>
        </is>
      </c>
      <c r="K21" s="17" t="inlineStr">
        <is>
          <t>Sandbox Controller (agent_sandbox)</t>
        </is>
      </c>
      <c r="L21" s="16" t="inlineStr">
        <is>
          <t>High</t>
        </is>
      </c>
      <c r="M21" s="16" t="inlineStr">
        <is>
          <t>Not Started</t>
        </is>
      </c>
      <c r="N21" s="21" t="n">
        <v>0</v>
      </c>
      <c r="O21" s="16">
        <f>IF(J21="Yes",IF(N21=1,"Completed",IF(TODAY()&gt;F21,"Overdue","Scheduled")),IF(N21=1,"Completed",IF(M21="Delayed","Delayed",IF(M21="On Hold","On Hold",IF(TODAY()&gt;F21,"Overdue",IF(AND(TODAY()&gt;=E21,N21=0),"Behind Schedule","On Track"))))))</f>
        <v/>
      </c>
      <c r="P21" s="18" t="inlineStr">
        <is>
          <t>Explicit checkpoint M3.</t>
        </is>
      </c>
    </row>
    <row r="22">
      <c r="A22" s="10" t="inlineStr">
        <is>
          <t>T15</t>
        </is>
      </c>
      <c r="B22" s="11" t="inlineStr">
        <is>
          <t>Phase 4: Domain Intelligence</t>
        </is>
      </c>
      <c r="C22" s="11" t="inlineStr">
        <is>
          <t>Configure Intelligence Engine context assembly &amp; brand persona layer</t>
        </is>
      </c>
      <c r="D22" s="12" t="inlineStr">
        <is>
          <t>Initialize dynamic prompt assembler, token budgeter, and DAG task grant scheduler.</t>
        </is>
      </c>
      <c r="E22" s="13" t="n">
        <v>46288</v>
      </c>
      <c r="F22" s="13" t="n">
        <v>46289</v>
      </c>
      <c r="G22" s="14">
        <f>IF(OR(E22="",F22=""),0,F22-E22+1)</f>
        <v/>
      </c>
      <c r="H22" s="10" t="inlineStr">
        <is>
          <t>T04, T10</t>
        </is>
      </c>
      <c r="I22" s="10" t="inlineStr">
        <is>
          <t>FS</t>
        </is>
      </c>
      <c r="J22" s="10" t="inlineStr">
        <is>
          <t>No</t>
        </is>
      </c>
      <c r="K22" s="11" t="inlineStr">
        <is>
          <t>Intelligence Engine (IE)</t>
        </is>
      </c>
      <c r="L22" s="10" t="inlineStr">
        <is>
          <t>High</t>
        </is>
      </c>
      <c r="M22" s="10" t="inlineStr">
        <is>
          <t>Not Started</t>
        </is>
      </c>
      <c r="N22" s="15" t="n">
        <v>0</v>
      </c>
      <c r="O22" s="10">
        <f>IF(J22="Yes",IF(N22=1,"Completed",IF(TODAY()&gt;F22,"Overdue","Scheduled")),IF(N22=1,"Completed",IF(M22="Delayed","Delayed",IF(M22="On Hold","On Hold",IF(TODAY()&gt;F22,"Overdue",IF(AND(TODAY()&gt;=E22,N22=0),"Behind Schedule","On Track"))))))</f>
        <v/>
      </c>
      <c r="P22" s="12" t="inlineStr">
        <is>
          <t>Controls context slices dispatched to worker engines.</t>
        </is>
      </c>
    </row>
    <row r="23">
      <c r="A23" s="4" t="inlineStr">
        <is>
          <t>T16</t>
        </is>
      </c>
      <c r="B23" s="5" t="inlineStr">
        <is>
          <t>Phase 4: Domain Intelligence</t>
        </is>
      </c>
      <c r="C23" s="5" t="inlineStr">
        <is>
          <t>Ingest &amp; verify product formulations and compliance dossiers (W_PROD)</t>
        </is>
      </c>
      <c r="D23" s="6" t="inlineStr">
        <is>
          <t>Parse clinical claims, regulatory constraints, and formulation specs via S_VAL linter.</t>
        </is>
      </c>
      <c r="E23" s="7" t="n">
        <v>46289</v>
      </c>
      <c r="F23" s="7" t="n">
        <v>46291</v>
      </c>
      <c r="G23" s="8">
        <f>IF(OR(E23="",F23=""),0,F23-E23+1)</f>
        <v/>
      </c>
      <c r="H23" s="4" t="inlineStr">
        <is>
          <t>T10, T14, T15</t>
        </is>
      </c>
      <c r="I23" s="4" t="inlineStr">
        <is>
          <t>FS</t>
        </is>
      </c>
      <c r="J23" s="4" t="inlineStr">
        <is>
          <t>No</t>
        </is>
      </c>
      <c r="K23" s="5" t="inlineStr">
        <is>
          <t>Product / Evidence Engine &amp; S_VAL</t>
        </is>
      </c>
      <c r="L23" s="4" t="inlineStr">
        <is>
          <t>High</t>
        </is>
      </c>
      <c r="M23" s="4" t="inlineStr">
        <is>
          <t>Not Started</t>
        </is>
      </c>
      <c r="N23" s="9" t="n">
        <v>0</v>
      </c>
      <c r="O23" s="4">
        <f>IF(J23="Yes",IF(N23=1,"Completed",IF(TODAY()&gt;F23,"Overdue","Scheduled")),IF(N23=1,"Completed",IF(M23="Delayed","Delayed",IF(M23="On Hold","On Hold",IF(TODAY()&gt;F23,"Overdue",IF(AND(TODAY()&gt;=E23,N23=0),"Behind Schedule","On Track"))))))</f>
        <v/>
      </c>
      <c r="P23" s="6" t="inlineStr">
        <is>
          <t>Generates verified evidence dossiers.</t>
        </is>
      </c>
    </row>
    <row r="24">
      <c r="A24" s="10" t="inlineStr">
        <is>
          <t>T17</t>
        </is>
      </c>
      <c r="B24" s="11" t="inlineStr">
        <is>
          <t>Phase 4: Domain Intelligence</t>
        </is>
      </c>
      <c r="C24" s="11" t="inlineStr">
        <is>
          <t>Ingest &amp; parse customer support tickets and review sentiment (W_VOICE)</t>
        </is>
      </c>
      <c r="D24" s="12" t="inlineStr">
        <is>
          <t>Extract CX sentiment vectors, pain-point clusters, and objection profiles via S_PARSE.</t>
        </is>
      </c>
      <c r="E24" s="13" t="n">
        <v>46289</v>
      </c>
      <c r="F24" s="13" t="n">
        <v>46291</v>
      </c>
      <c r="G24" s="14">
        <f>IF(OR(E24="",F24=""),0,F24-E24+1)</f>
        <v/>
      </c>
      <c r="H24" s="10" t="inlineStr">
        <is>
          <t>T10, T14, T15</t>
        </is>
      </c>
      <c r="I24" s="10" t="inlineStr">
        <is>
          <t>FS</t>
        </is>
      </c>
      <c r="J24" s="10" t="inlineStr">
        <is>
          <t>No</t>
        </is>
      </c>
      <c r="K24" s="11" t="inlineStr">
        <is>
          <t>Customer Voice Engine &amp; S_PARSE</t>
        </is>
      </c>
      <c r="L24" s="10" t="inlineStr">
        <is>
          <t>Medium</t>
        </is>
      </c>
      <c r="M24" s="10" t="inlineStr">
        <is>
          <t>Not Started</t>
        </is>
      </c>
      <c r="N24" s="15" t="n">
        <v>0</v>
      </c>
      <c r="O24" s="10">
        <f>IF(J24="Yes",IF(N24=1,"Completed",IF(TODAY()&gt;F24,"Overdue","Scheduled")),IF(N24=1,"Completed",IF(M24="Delayed","Delayed",IF(M24="On Hold","On Hold",IF(TODAY()&gt;F24,"Overdue",IF(AND(TODAY()&gt;=E24,N24=0),"Behind Schedule","On Track"))))))</f>
        <v/>
      </c>
      <c r="P24" s="12" t="inlineStr">
        <is>
          <t>Feeds customer objection vectors into strategy engine.</t>
        </is>
      </c>
    </row>
    <row r="25">
      <c r="A25" s="4" t="inlineStr">
        <is>
          <t>T18</t>
        </is>
      </c>
      <c r="B25" s="5" t="inlineStr">
        <is>
          <t>Phase 4: Domain Intelligence</t>
        </is>
      </c>
      <c r="C25" s="5" t="inlineStr">
        <is>
          <t>Scrape competitor ad libraries, pricing, and market positioning (W_COMP)</t>
        </is>
      </c>
      <c r="D25" s="6" t="inlineStr">
        <is>
          <t>Execute whitelisted proxy DOM scraping of rival ad creatives and price points via S_SCRAPE.</t>
        </is>
      </c>
      <c r="E25" s="7" t="n">
        <v>46289</v>
      </c>
      <c r="F25" s="7" t="n">
        <v>46291</v>
      </c>
      <c r="G25" s="8">
        <f>IF(OR(E25="",F25=""),0,F25-E25+1)</f>
        <v/>
      </c>
      <c r="H25" s="4" t="inlineStr">
        <is>
          <t>T12, T14, T15</t>
        </is>
      </c>
      <c r="I25" s="4" t="inlineStr">
        <is>
          <t>FS</t>
        </is>
      </c>
      <c r="J25" s="4" t="inlineStr">
        <is>
          <t>No</t>
        </is>
      </c>
      <c r="K25" s="5" t="inlineStr">
        <is>
          <t>Competitor Intel Engine &amp; S_SCRAPE</t>
        </is>
      </c>
      <c r="L25" s="4" t="inlineStr">
        <is>
          <t>Medium</t>
        </is>
      </c>
      <c r="M25" s="4" t="inlineStr">
        <is>
          <t>Not Started</t>
        </is>
      </c>
      <c r="N25" s="9" t="n">
        <v>0</v>
      </c>
      <c r="O25" s="4">
        <f>IF(J25="Yes",IF(N25=1,"Completed",IF(TODAY()&gt;F25,"Overdue","Scheduled")),IF(N25=1,"Completed",IF(M25="Delayed","Delayed",IF(M25="On Hold","On Hold",IF(TODAY()&gt;F25,"Overdue",IF(AND(TODAY()&gt;=E25,N25=0),"Behind Schedule","On Track"))))))</f>
        <v/>
      </c>
      <c r="P25" s="6" t="inlineStr">
        <is>
          <t>Strict outbound proxy allowlist enforced.</t>
        </is>
      </c>
    </row>
    <row r="26">
      <c r="A26" s="10" t="inlineStr">
        <is>
          <t>T19</t>
        </is>
      </c>
      <c r="B26" s="11" t="inlineStr">
        <is>
          <t>Phase 4: Domain Intelligence</t>
        </is>
      </c>
      <c r="C26" s="11" t="inlineStr">
        <is>
          <t>Develop omnichannel marketing roadmaps &amp; budget allocations (W_STRAT)</t>
        </is>
      </c>
      <c r="D26" s="12" t="inlineStr">
        <is>
          <t>Simulate funnel trajectories and media mix spend distributions via S_ALLOC micro-tool.</t>
        </is>
      </c>
      <c r="E26" s="13" t="n">
        <v>46291</v>
      </c>
      <c r="F26" s="13" t="n">
        <v>46294</v>
      </c>
      <c r="G26" s="14">
        <f>IF(OR(E26="",F26=""),0,F26-E26+1)</f>
        <v/>
      </c>
      <c r="H26" s="10" t="inlineStr">
        <is>
          <t>T16, T17, T18</t>
        </is>
      </c>
      <c r="I26" s="10" t="inlineStr">
        <is>
          <t>FS</t>
        </is>
      </c>
      <c r="J26" s="10" t="inlineStr">
        <is>
          <t>No</t>
        </is>
      </c>
      <c r="K26" s="11" t="inlineStr">
        <is>
          <t>Strategy Engine &amp; S_ALLOC</t>
        </is>
      </c>
      <c r="L26" s="10" t="inlineStr">
        <is>
          <t>High</t>
        </is>
      </c>
      <c r="M26" s="10" t="inlineStr">
        <is>
          <t>Not Started</t>
        </is>
      </c>
      <c r="N26" s="15" t="n">
        <v>0</v>
      </c>
      <c r="O26" s="10">
        <f>IF(J26="Yes",IF(N26=1,"Completed",IF(TODAY()&gt;F26,"Overdue","Scheduled")),IF(N26=1,"Completed",IF(M26="Delayed","Delayed",IF(M26="On Hold","On Hold",IF(TODAY()&gt;F26,"Overdue",IF(AND(TODAY()&gt;=E26,N26=0),"Behind Schedule","On Track"))))))</f>
        <v/>
      </c>
      <c r="P26" s="12" t="inlineStr">
        <is>
          <t>Synthesizes product claims, customer voice, and rival intel.</t>
        </is>
      </c>
    </row>
    <row r="27">
      <c r="A27" s="4" t="inlineStr">
        <is>
          <t>T20</t>
        </is>
      </c>
      <c r="B27" s="5" t="inlineStr">
        <is>
          <t>Phase 4: Domain Intelligence</t>
        </is>
      </c>
      <c r="C27" s="5" t="inlineStr">
        <is>
          <t>Generate creative ad copy variants, hooks, visual briefs &amp; posts (W_CREAT)</t>
        </is>
      </c>
      <c r="D27" s="6" t="inlineStr">
        <is>
          <t>Produce grounded copy packs, video scripts, and social hooks using S_COPY variant generator.</t>
        </is>
      </c>
      <c r="E27" s="7" t="n">
        <v>46294</v>
      </c>
      <c r="F27" s="7" t="n">
        <v>46297</v>
      </c>
      <c r="G27" s="8">
        <f>IF(OR(E27="",F27=""),0,F27-E27+1)</f>
        <v/>
      </c>
      <c r="H27" s="4" t="inlineStr">
        <is>
          <t>T16, T19</t>
        </is>
      </c>
      <c r="I27" s="4" t="inlineStr">
        <is>
          <t>FS</t>
        </is>
      </c>
      <c r="J27" s="4" t="inlineStr">
        <is>
          <t>No</t>
        </is>
      </c>
      <c r="K27" s="5" t="inlineStr">
        <is>
          <t>Creative &amp; Content Engine &amp; S_COPY</t>
        </is>
      </c>
      <c r="L27" s="4" t="inlineStr">
        <is>
          <t>High</t>
        </is>
      </c>
      <c r="M27" s="4" t="inlineStr">
        <is>
          <t>Not Started</t>
        </is>
      </c>
      <c r="N27" s="9" t="n">
        <v>0</v>
      </c>
      <c r="O27" s="4">
        <f>IF(J27="Yes",IF(N27=1,"Completed",IF(TODAY()&gt;F27,"Overdue","Scheduled")),IF(N27=1,"Completed",IF(M27="Delayed","Delayed",IF(M27="On Hold","On Hold",IF(TODAY()&gt;F27,"Overdue",IF(AND(TODAY()&gt;=E27,N27=0),"Behind Schedule","On Track"))))))</f>
        <v/>
      </c>
      <c r="P27" s="6" t="inlineStr">
        <is>
          <t>All copy strictly grounded in W_PROD compliance dossiers.</t>
        </is>
      </c>
    </row>
    <row r="28">
      <c r="A28" s="10" t="inlineStr">
        <is>
          <t>T21</t>
        </is>
      </c>
      <c r="B28" s="11" t="inlineStr">
        <is>
          <t>Phase 4: Domain Intelligence</t>
        </is>
      </c>
      <c r="C28" s="11" t="inlineStr">
        <is>
          <t>Engineer responsive UI templates, CMS schemas &amp; code diffs (W_DEV)</t>
        </is>
      </c>
      <c r="D28" s="12" t="inlineStr">
        <is>
          <t>Build storefront AST diffs, Tailwind components, and CMS JSON schemas using S_CODE linter.</t>
        </is>
      </c>
      <c r="E28" s="13" t="n">
        <v>46291</v>
      </c>
      <c r="F28" s="13" t="n">
        <v>46297</v>
      </c>
      <c r="G28" s="14">
        <f>IF(OR(E28="",F28=""),0,F28-E28+1)</f>
        <v/>
      </c>
      <c r="H28" s="10" t="inlineStr">
        <is>
          <t>T06, T14, T15</t>
        </is>
      </c>
      <c r="I28" s="10" t="inlineStr">
        <is>
          <t>FS</t>
        </is>
      </c>
      <c r="J28" s="10" t="inlineStr">
        <is>
          <t>No</t>
        </is>
      </c>
      <c r="K28" s="11" t="inlineStr">
        <is>
          <t>Development Engine &amp; S_CODE</t>
        </is>
      </c>
      <c r="L28" s="10" t="inlineStr">
        <is>
          <t>High</t>
        </is>
      </c>
      <c r="M28" s="10" t="inlineStr">
        <is>
          <t>Not Started</t>
        </is>
      </c>
      <c r="N28" s="15" t="n">
        <v>0</v>
      </c>
      <c r="O28" s="10">
        <f>IF(J28="Yes",IF(N28=1,"Completed",IF(TODAY()&gt;F28,"Overdue","Scheduled")),IF(N28=1,"Completed",IF(M28="Delayed","Delayed",IF(M28="On Hold","On Hold",IF(TODAY()&gt;F28,"Overdue",IF(AND(TODAY()&gt;=E28,N28=0),"Behind Schedule","On Track"))))))</f>
        <v/>
      </c>
      <c r="P28" s="12" t="inlineStr">
        <is>
          <t>7-day execution running in parallel with strategy and copy work.</t>
        </is>
      </c>
    </row>
    <row r="29">
      <c r="A29" s="16" t="inlineStr">
        <is>
          <t>M04</t>
        </is>
      </c>
      <c r="B29" s="17" t="inlineStr">
        <is>
          <t>Phase 4: Domain Intelligence</t>
        </is>
      </c>
      <c r="C29" s="17" t="inlineStr">
        <is>
          <t>Milestone 4: Domain Intelligence Ingestion &amp; Asset Synthesis Complete</t>
        </is>
      </c>
      <c r="D29" s="18" t="inlineStr">
        <is>
          <t>Multichannel marketing roadmap, copy packs, and UI templates assembled.</t>
        </is>
      </c>
      <c r="E29" s="19" t="n">
        <v>46297</v>
      </c>
      <c r="F29" s="19" t="n">
        <v>46297</v>
      </c>
      <c r="G29" s="20">
        <f>IF(OR(E29="",F29=""),0,F29-E29+1)</f>
        <v/>
      </c>
      <c r="H29" s="16" t="inlineStr">
        <is>
          <t>T15, T16, T17, T18, T19, T20, T21</t>
        </is>
      </c>
      <c r="I29" s="16" t="inlineStr">
        <is>
          <t>FS</t>
        </is>
      </c>
      <c r="J29" s="16" t="inlineStr">
        <is>
          <t>Yes</t>
        </is>
      </c>
      <c r="K29" s="17" t="inlineStr">
        <is>
          <t>Intelligence Engine &amp; Worker Agents</t>
        </is>
      </c>
      <c r="L29" s="16" t="inlineStr">
        <is>
          <t>High</t>
        </is>
      </c>
      <c r="M29" s="16" t="inlineStr">
        <is>
          <t>Not Started</t>
        </is>
      </c>
      <c r="N29" s="21" t="n">
        <v>0</v>
      </c>
      <c r="O29" s="16">
        <f>IF(J29="Yes",IF(N29=1,"Completed",IF(TODAY()&gt;F29,"Overdue","Scheduled")),IF(N29=1,"Completed",IF(M29="Delayed","Delayed",IF(M29="On Hold","On Hold",IF(TODAY()&gt;F29,"Overdue",IF(AND(TODAY()&gt;=E29,N29=0),"Behind Schedule","On Track"))))))</f>
        <v/>
      </c>
      <c r="P29" s="18" t="inlineStr">
        <is>
          <t>Explicit checkpoint M4.</t>
        </is>
      </c>
    </row>
    <row r="30">
      <c r="A30" s="10" t="inlineStr">
        <is>
          <t>T22</t>
        </is>
      </c>
      <c r="B30" s="11" t="inlineStr">
        <is>
          <t>Phase 5: Synthesis &amp; HITL Gate</t>
        </is>
      </c>
      <c r="C30" s="11" t="inlineStr">
        <is>
          <t>Consolidate worker evidence envelopes &amp; verify confidence intervals</t>
        </is>
      </c>
      <c r="D30" s="12" t="inlineStr">
        <is>
          <t>Synthesize upward evidence envelopes and check citation confidence scores in Orchestrator.</t>
        </is>
      </c>
      <c r="E30" s="13" t="n">
        <v>46297</v>
      </c>
      <c r="F30" s="13" t="n">
        <v>46299</v>
      </c>
      <c r="G30" s="14">
        <f>IF(OR(E30="",F30=""),0,F30-E30+1)</f>
        <v/>
      </c>
      <c r="H30" s="10" t="inlineStr">
        <is>
          <t>T19, T20, T21</t>
        </is>
      </c>
      <c r="I30" s="10" t="inlineStr">
        <is>
          <t>FS</t>
        </is>
      </c>
      <c r="J30" s="10" t="inlineStr">
        <is>
          <t>No</t>
        </is>
      </c>
      <c r="K30" s="11" t="inlineStr">
        <is>
          <t>Intelligence Engine (IE)</t>
        </is>
      </c>
      <c r="L30" s="10" t="inlineStr">
        <is>
          <t>High</t>
        </is>
      </c>
      <c r="M30" s="10" t="inlineStr">
        <is>
          <t>Not Started</t>
        </is>
      </c>
      <c r="N30" s="15" t="n">
        <v>0</v>
      </c>
      <c r="O30" s="10">
        <f>IF(J30="Yes",IF(N30=1,"Completed",IF(TODAY()&gt;F30,"Overdue","Scheduled")),IF(N30=1,"Completed",IF(M30="Delayed","Delayed",IF(M30="On Hold","On Hold",IF(TODAY()&gt;F30,"Overdue",IF(AND(TODAY()&gt;=E30,N30=0),"Behind Schedule","On Track"))))))</f>
        <v/>
      </c>
      <c r="P30" s="12" t="inlineStr">
        <is>
          <t>Pre-verification before human presentation.</t>
        </is>
      </c>
    </row>
    <row r="31">
      <c r="A31" s="4" t="inlineStr">
        <is>
          <t>T23</t>
        </is>
      </c>
      <c r="B31" s="5" t="inlineStr">
        <is>
          <t>Phase 5: Synthesis &amp; HITL Gate</t>
        </is>
      </c>
      <c r="C31" s="5" t="inlineStr">
        <is>
          <t>Generate structured action previews (spend, code diffs, claims, copy)</t>
        </is>
      </c>
      <c r="D31" s="6" t="inlineStr">
        <is>
          <t>Compile human-readable action dossiers with side-by-side diffs and spend impact models.</t>
        </is>
      </c>
      <c r="E31" s="7" t="n">
        <v>46299</v>
      </c>
      <c r="F31" s="7" t="n">
        <v>46300</v>
      </c>
      <c r="G31" s="8">
        <f>IF(OR(E31="",F31=""),0,F31-E31+1)</f>
        <v/>
      </c>
      <c r="H31" s="4" t="inlineStr">
        <is>
          <t>T22</t>
        </is>
      </c>
      <c r="I31" s="4" t="inlineStr">
        <is>
          <t>FS</t>
        </is>
      </c>
      <c r="J31" s="4" t="inlineStr">
        <is>
          <t>No</t>
        </is>
      </c>
      <c r="K31" s="5" t="inlineStr">
        <is>
          <t>Intelligence Engine (IE)</t>
        </is>
      </c>
      <c r="L31" s="4" t="inlineStr">
        <is>
          <t>High</t>
        </is>
      </c>
      <c r="M31" s="4" t="inlineStr">
        <is>
          <t>Not Started</t>
        </is>
      </c>
      <c r="N31" s="9" t="n">
        <v>0</v>
      </c>
      <c r="O31" s="4">
        <f>IF(J31="Yes",IF(N31=1,"Completed",IF(TODAY()&gt;F31,"Overdue","Scheduled")),IF(N31=1,"Completed",IF(M31="Delayed","Delayed",IF(M31="On Hold","On Hold",IF(TODAY()&gt;F31,"Overdue",IF(AND(TODAY()&gt;=E31,N31=0),"Behind Schedule","On Track"))))))</f>
        <v/>
      </c>
      <c r="P31" s="6" t="inlineStr">
        <is>
          <t>Mandatory input payload for HITL clearance.</t>
        </is>
      </c>
    </row>
    <row r="32">
      <c r="A32" s="10" t="inlineStr">
        <is>
          <t>T24</t>
        </is>
      </c>
      <c r="B32" s="11" t="inlineStr">
        <is>
          <t>Phase 5: Synthesis &amp; HITL Gate</t>
        </is>
      </c>
      <c r="C32" s="11" t="inlineStr">
        <is>
          <t>Execute Human-in-the-Loop (HITL) quality, legal, and deploy sign-off</t>
        </is>
      </c>
      <c r="D32" s="12" t="inlineStr">
        <is>
          <t>Formal stakeholder review and cryptographic authorization of ad spend, copy, and code.</t>
        </is>
      </c>
      <c r="E32" s="13" t="n">
        <v>46300</v>
      </c>
      <c r="F32" s="13" t="n">
        <v>46301</v>
      </c>
      <c r="G32" s="14">
        <f>IF(OR(E32="",F32=""),0,F32-E32+1)</f>
        <v/>
      </c>
      <c r="H32" s="10" t="inlineStr">
        <is>
          <t>T23</t>
        </is>
      </c>
      <c r="I32" s="10" t="inlineStr">
        <is>
          <t>FS</t>
        </is>
      </c>
      <c r="J32" s="10" t="inlineStr">
        <is>
          <t>No</t>
        </is>
      </c>
      <c r="K32" s="11" t="inlineStr">
        <is>
          <t>Human-in-the-Loop (HITL) Gate</t>
        </is>
      </c>
      <c r="L32" s="10" t="inlineStr">
        <is>
          <t>High</t>
        </is>
      </c>
      <c r="M32" s="10" t="inlineStr">
        <is>
          <t>Not Started</t>
        </is>
      </c>
      <c r="N32" s="15" t="n">
        <v>0</v>
      </c>
      <c r="O32" s="10">
        <f>IF(J32="Yes",IF(N32=1,"Completed",IF(TODAY()&gt;F32,"Overdue","Scheduled")),IF(N32=1,"Completed",IF(M32="Delayed","Delayed",IF(M32="On Hold","On Hold",IF(TODAY()&gt;F32,"Overdue",IF(AND(TODAY()&gt;=E32,N32=0),"Behind Schedule","On Track"))))))</f>
        <v/>
      </c>
      <c r="P32" s="12" t="inlineStr">
        <is>
          <t>Hard stop rule: Zero external actuation permitted without signature.</t>
        </is>
      </c>
    </row>
    <row r="33">
      <c r="A33" s="16" t="inlineStr">
        <is>
          <t>M05</t>
        </is>
      </c>
      <c r="B33" s="17" t="inlineStr">
        <is>
          <t>Phase 5: Synthesis &amp; HITL Gate</t>
        </is>
      </c>
      <c r="C33" s="17" t="inlineStr">
        <is>
          <t>Milestone 5: HITL Gateway Clearance &amp; Cryptographic Authorization</t>
        </is>
      </c>
      <c r="D33" s="18" t="inlineStr">
        <is>
          <t>Human stakeholder approvals recorded and signed.</t>
        </is>
      </c>
      <c r="E33" s="19" t="n">
        <v>46301</v>
      </c>
      <c r="F33" s="19" t="n">
        <v>46301</v>
      </c>
      <c r="G33" s="20">
        <f>IF(OR(E33="",F33=""),0,F33-E33+1)</f>
        <v/>
      </c>
      <c r="H33" s="16" t="inlineStr">
        <is>
          <t>T22, T23, T24</t>
        </is>
      </c>
      <c r="I33" s="16" t="inlineStr">
        <is>
          <t>FS</t>
        </is>
      </c>
      <c r="J33" s="16" t="inlineStr">
        <is>
          <t>Yes</t>
        </is>
      </c>
      <c r="K33" s="17" t="inlineStr">
        <is>
          <t>Human-in-the-Loop (HITL) Gate</t>
        </is>
      </c>
      <c r="L33" s="16" t="inlineStr">
        <is>
          <t>High</t>
        </is>
      </c>
      <c r="M33" s="16" t="inlineStr">
        <is>
          <t>Not Started</t>
        </is>
      </c>
      <c r="N33" s="21" t="n">
        <v>0</v>
      </c>
      <c r="O33" s="16">
        <f>IF(J33="Yes",IF(N33=1,"Completed",IF(TODAY()&gt;F33,"Overdue","Scheduled")),IF(N33=1,"Completed",IF(M33="Delayed","Delayed",IF(M33="On Hold","On Hold",IF(TODAY()&gt;F33,"Overdue",IF(AND(TODAY()&gt;=E33,N33=0),"Behind Schedule","On Track"))))))</f>
        <v/>
      </c>
      <c r="P33" s="18" t="inlineStr">
        <is>
          <t>Explicit checkpoint M5.</t>
        </is>
      </c>
    </row>
    <row r="34">
      <c r="A34" s="10" t="inlineStr">
        <is>
          <t>T25</t>
        </is>
      </c>
      <c r="B34" s="11" t="inlineStr">
        <is>
          <t>Phase 6: Outbound Actuation</t>
        </is>
      </c>
      <c r="C34" s="11" t="inlineStr">
        <is>
          <t>Initialize Outbound Actuation MCP Boundary with audience tokens</t>
        </is>
      </c>
      <c r="D34" s="12" t="inlineStr">
        <is>
          <t>Validate post-HITL approval tokens, rate limiters, and payload dispatch signatures.</t>
        </is>
      </c>
      <c r="E34" s="13" t="n">
        <v>46301</v>
      </c>
      <c r="F34" s="13" t="n">
        <v>46302</v>
      </c>
      <c r="G34" s="14">
        <f>IF(OR(E34="",F34=""),0,F34-E34+1)</f>
        <v/>
      </c>
      <c r="H34" s="10" t="inlineStr">
        <is>
          <t>T24</t>
        </is>
      </c>
      <c r="I34" s="10" t="inlineStr">
        <is>
          <t>FS</t>
        </is>
      </c>
      <c r="J34" s="10" t="inlineStr">
        <is>
          <t>No</t>
        </is>
      </c>
      <c r="K34" s="11" t="inlineStr">
        <is>
          <t>Outbound Actuation MCP Boundary</t>
        </is>
      </c>
      <c r="L34" s="10" t="inlineStr">
        <is>
          <t>High</t>
        </is>
      </c>
      <c r="M34" s="10" t="inlineStr">
        <is>
          <t>Not Started</t>
        </is>
      </c>
      <c r="N34" s="15" t="n">
        <v>0</v>
      </c>
      <c r="O34" s="10">
        <f>IF(J34="Yes",IF(N34=1,"Completed",IF(TODAY()&gt;F34,"Overdue","Scheduled")),IF(N34=1,"Completed",IF(M34="Delayed","Delayed",IF(M34="On Hold","On Hold",IF(TODAY()&gt;F34,"Overdue",IF(AND(TODAY()&gt;=E34,N34=0),"Behind Schedule","On Track"))))))</f>
        <v/>
      </c>
      <c r="P34" s="12" t="inlineStr">
        <is>
          <t>Audience token injection [MISSING credentials vault].</t>
        </is>
      </c>
    </row>
    <row r="35">
      <c r="A35" s="4" t="inlineStr">
        <is>
          <t>T26</t>
        </is>
      </c>
      <c r="B35" s="5" t="inlineStr">
        <is>
          <t>Phase 6: Outbound Actuation</t>
        </is>
      </c>
      <c r="C35" s="5" t="inlineStr">
        <is>
          <t>Deploy live schemas, catalog updates &amp; layout code to Website &amp; CMS</t>
        </is>
      </c>
      <c r="D35" s="6" t="inlineStr">
        <is>
          <t>Execute live schema migrations, publish page templates, and push product catalog diffs.</t>
        </is>
      </c>
      <c r="E35" s="7" t="n">
        <v>46302</v>
      </c>
      <c r="F35" s="7" t="n">
        <v>46304</v>
      </c>
      <c r="G35" s="8">
        <f>IF(OR(E35="",F35=""),0,F35-E35+1)</f>
        <v/>
      </c>
      <c r="H35" s="4" t="inlineStr">
        <is>
          <t>T25</t>
        </is>
      </c>
      <c r="I35" s="4" t="inlineStr">
        <is>
          <t>FS</t>
        </is>
      </c>
      <c r="J35" s="4" t="inlineStr">
        <is>
          <t>No</t>
        </is>
      </c>
      <c r="K35" s="5" t="inlineStr">
        <is>
          <t>Outbound MCP &amp; Website / CMS</t>
        </is>
      </c>
      <c r="L35" s="4" t="inlineStr">
        <is>
          <t>High</t>
        </is>
      </c>
      <c r="M35" s="4" t="inlineStr">
        <is>
          <t>Not Started</t>
        </is>
      </c>
      <c r="N35" s="9" t="n">
        <v>0</v>
      </c>
      <c r="O35" s="4">
        <f>IF(J35="Yes",IF(N35=1,"Completed",IF(TODAY()&gt;F35,"Overdue","Scheduled")),IF(N35=1,"Completed",IF(M35="Delayed","Delayed",IF(M35="On Hold","On Hold",IF(TODAY()&gt;F35,"Overdue",IF(AND(TODAY()&gt;=E35,N35=0),"Behind Schedule","On Track"))))))</f>
        <v/>
      </c>
      <c r="P35" s="6" t="inlineStr">
        <is>
          <t>Actuation into live production digital storefront.</t>
        </is>
      </c>
    </row>
    <row r="36">
      <c r="A36" s="10" t="inlineStr">
        <is>
          <t>T27</t>
        </is>
      </c>
      <c r="B36" s="11" t="inlineStr">
        <is>
          <t>Phase 6: Outbound Actuation</t>
        </is>
      </c>
      <c r="C36" s="11" t="inlineStr">
        <is>
          <t>Publish ad campaigns and bid targets to Paid Ad Platforms</t>
        </is>
      </c>
      <c r="D36" s="12" t="inlineStr">
        <is>
          <t>Upload campaign ad sets, targeting matrices, and budget caps to Meta, Google, and TikTok APIs.</t>
        </is>
      </c>
      <c r="E36" s="13" t="n">
        <v>46302</v>
      </c>
      <c r="F36" s="13" t="n">
        <v>46304</v>
      </c>
      <c r="G36" s="14">
        <f>IF(OR(E36="",F36=""),0,F36-E36+1)</f>
        <v/>
      </c>
      <c r="H36" s="10" t="inlineStr">
        <is>
          <t>T25</t>
        </is>
      </c>
      <c r="I36" s="10" t="inlineStr">
        <is>
          <t>FS</t>
        </is>
      </c>
      <c r="J36" s="10" t="inlineStr">
        <is>
          <t>No</t>
        </is>
      </c>
      <c r="K36" s="11" t="inlineStr">
        <is>
          <t>Outbound MCP &amp; Paid Ad Platforms</t>
        </is>
      </c>
      <c r="L36" s="10" t="inlineStr">
        <is>
          <t>High</t>
        </is>
      </c>
      <c r="M36" s="10" t="inlineStr">
        <is>
          <t>Not Started</t>
        </is>
      </c>
      <c r="N36" s="15" t="n">
        <v>0</v>
      </c>
      <c r="O36" s="10">
        <f>IF(J36="Yes",IF(N36=1,"Completed",IF(TODAY()&gt;F36,"Overdue","Scheduled")),IF(N36=1,"Completed",IF(M36="Delayed","Delayed",IF(M36="On Hold","On Hold",IF(TODAY()&gt;F36,"Overdue",IF(AND(TODAY()&gt;=E36,N36=0),"Behind Schedule","On Track"))))))</f>
        <v/>
      </c>
      <c r="P36" s="12" t="inlineStr">
        <is>
          <t>Multi-channel paid media activation.</t>
        </is>
      </c>
    </row>
    <row r="37">
      <c r="A37" s="4" t="inlineStr">
        <is>
          <t>T28</t>
        </is>
      </c>
      <c r="B37" s="5" t="inlineStr">
        <is>
          <t>Phase 6: Outbound Actuation</t>
        </is>
      </c>
      <c r="C37" s="5" t="inlineStr">
        <is>
          <t>Publish scheduled social media posts and assets to Social Channels</t>
        </is>
      </c>
      <c r="D37" s="6" t="inlineStr">
        <is>
          <t>Schedule and dispatch content calendars to Instagram, X, TikTok, and YouTube endpoints.</t>
        </is>
      </c>
      <c r="E37" s="7" t="n">
        <v>46302</v>
      </c>
      <c r="F37" s="7" t="n">
        <v>46304</v>
      </c>
      <c r="G37" s="8">
        <f>IF(OR(E37="",F37=""),0,F37-E37+1)</f>
        <v/>
      </c>
      <c r="H37" s="4" t="inlineStr">
        <is>
          <t>T25</t>
        </is>
      </c>
      <c r="I37" s="4" t="inlineStr">
        <is>
          <t>FS</t>
        </is>
      </c>
      <c r="J37" s="4" t="inlineStr">
        <is>
          <t>No</t>
        </is>
      </c>
      <c r="K37" s="5" t="inlineStr">
        <is>
          <t>Outbound MCP &amp; Social Channels</t>
        </is>
      </c>
      <c r="L37" s="4" t="inlineStr">
        <is>
          <t>Medium</t>
        </is>
      </c>
      <c r="M37" s="4" t="inlineStr">
        <is>
          <t>Not Started</t>
        </is>
      </c>
      <c r="N37" s="9" t="n">
        <v>0</v>
      </c>
      <c r="O37" s="4">
        <f>IF(J37="Yes",IF(N37=1,"Completed",IF(TODAY()&gt;F37,"Overdue","Scheduled")),IF(N37=1,"Completed",IF(M37="Delayed","Delayed",IF(M37="On Hold","On Hold",IF(TODAY()&gt;F37,"Overdue",IF(AND(TODAY()&gt;=E37,N37=0),"Behind Schedule","On Track"))))))</f>
        <v/>
      </c>
      <c r="P37" s="6" t="inlineStr">
        <is>
          <t>Organic omnichannel distribution.</t>
        </is>
      </c>
    </row>
    <row r="38">
      <c r="A38" s="10" t="inlineStr">
        <is>
          <t>T29</t>
        </is>
      </c>
      <c r="B38" s="11" t="inlineStr">
        <is>
          <t>Phase 6: Outbound Actuation</t>
        </is>
      </c>
      <c r="C38" s="11" t="inlineStr">
        <is>
          <t>Connect Omnichannel Telemetry Engine webhooks, pixel events &amp; logs</t>
        </is>
      </c>
      <c r="D38" s="12" t="inlineStr">
        <is>
          <t>Activate real-time server webhook endpoints, pixel listeners, and order tracking pipelines.</t>
        </is>
      </c>
      <c r="E38" s="13" t="n">
        <v>46304</v>
      </c>
      <c r="F38" s="13" t="n">
        <v>46305</v>
      </c>
      <c r="G38" s="14">
        <f>IF(OR(E38="",F38=""),0,F38-E38+1)</f>
        <v/>
      </c>
      <c r="H38" s="10" t="inlineStr">
        <is>
          <t>T26, T27, T28</t>
        </is>
      </c>
      <c r="I38" s="10" t="inlineStr">
        <is>
          <t>FS</t>
        </is>
      </c>
      <c r="J38" s="10" t="inlineStr">
        <is>
          <t>No</t>
        </is>
      </c>
      <c r="K38" s="11" t="inlineStr">
        <is>
          <t>Omnichannel Telemetry Engine</t>
        </is>
      </c>
      <c r="L38" s="10" t="inlineStr">
        <is>
          <t>High</t>
        </is>
      </c>
      <c r="M38" s="10" t="inlineStr">
        <is>
          <t>Not Started</t>
        </is>
      </c>
      <c r="N38" s="15" t="n">
        <v>0</v>
      </c>
      <c r="O38" s="10">
        <f>IF(J38="Yes",IF(N38=1,"Completed",IF(TODAY()&gt;F38,"Overdue","Scheduled")),IF(N38=1,"Completed",IF(M38="Delayed","Delayed",IF(M38="On Hold","On Hold",IF(TODAY()&gt;F38,"Overdue",IF(AND(TODAY()&gt;=E38,N38=0),"Behind Schedule","On Track"))))))</f>
        <v/>
      </c>
      <c r="P38" s="12" t="inlineStr">
        <is>
          <t>Establishes closed-loop real-time telemetry stream.</t>
        </is>
      </c>
    </row>
    <row r="39">
      <c r="A39" s="16" t="inlineStr">
        <is>
          <t>M06</t>
        </is>
      </c>
      <c r="B39" s="17" t="inlineStr">
        <is>
          <t>Phase 6: Outbound Actuation</t>
        </is>
      </c>
      <c r="C39" s="17" t="inlineStr">
        <is>
          <t>Milestone 6: Outbound Actuation, Telemetry &amp; Omnichannel Go-Live</t>
        </is>
      </c>
      <c r="D39" s="18" t="inlineStr">
        <is>
          <t>Storefront live, ad campaigns publishing, and real-time telemetry active.</t>
        </is>
      </c>
      <c r="E39" s="19" t="n">
        <v>46305</v>
      </c>
      <c r="F39" s="19" t="n">
        <v>46305</v>
      </c>
      <c r="G39" s="20">
        <f>IF(OR(E39="",F39=""),0,F39-E39+1)</f>
        <v/>
      </c>
      <c r="H39" s="16" t="inlineStr">
        <is>
          <t>T25, T26, T27, T28, T29</t>
        </is>
      </c>
      <c r="I39" s="16" t="inlineStr">
        <is>
          <t>FS</t>
        </is>
      </c>
      <c r="J39" s="16" t="inlineStr">
        <is>
          <t>Yes</t>
        </is>
      </c>
      <c r="K39" s="17" t="inlineStr">
        <is>
          <t>Outbound MCP &amp; Operations</t>
        </is>
      </c>
      <c r="L39" s="16" t="inlineStr">
        <is>
          <t>High</t>
        </is>
      </c>
      <c r="M39" s="16" t="inlineStr">
        <is>
          <t>Not Started</t>
        </is>
      </c>
      <c r="N39" s="21" t="n">
        <v>0</v>
      </c>
      <c r="O39" s="16">
        <f>IF(J39="Yes",IF(N39=1,"Completed",IF(TODAY()&gt;F39,"Overdue","Scheduled")),IF(N39=1,"Completed",IF(M39="Delayed","Delayed",IF(M39="On Hold","On Hold",IF(TODAY()&gt;F39,"Overdue",IF(AND(TODAY()&gt;=E39,N39=0),"Behind Schedule","On Track"))))))</f>
        <v/>
      </c>
      <c r="P39" s="18" t="inlineStr">
        <is>
          <t>Explicit checkpoint M6.</t>
        </is>
      </c>
    </row>
    <row r="40">
      <c r="A40" s="10" t="inlineStr">
        <is>
          <t>T30</t>
        </is>
      </c>
      <c r="B40" s="11" t="inlineStr">
        <is>
          <t>Phase 7: Closed-Loop Telemetry</t>
        </is>
      </c>
      <c r="C40" s="11" t="inlineStr">
        <is>
          <t>Ingest live store traffic, checkout transactions &amp; conversion logs into CDB</t>
        </is>
      </c>
      <c r="D40" s="12" t="inlineStr">
        <is>
          <t>Capture live clickstream, conversion events, and ad attribution pings into timeseries tables.</t>
        </is>
      </c>
      <c r="E40" s="13" t="n">
        <v>46305</v>
      </c>
      <c r="F40" s="13" t="n">
        <v>46306</v>
      </c>
      <c r="G40" s="14">
        <f>IF(OR(E40="",F40=""),0,F40-E40+1)</f>
        <v/>
      </c>
      <c r="H40" s="10" t="inlineStr">
        <is>
          <t>T29</t>
        </is>
      </c>
      <c r="I40" s="10" t="inlineStr">
        <is>
          <t>FS</t>
        </is>
      </c>
      <c r="J40" s="10" t="inlineStr">
        <is>
          <t>No</t>
        </is>
      </c>
      <c r="K40" s="11" t="inlineStr">
        <is>
          <t>Telemetry Engine &amp; Central Database</t>
        </is>
      </c>
      <c r="L40" s="10" t="inlineStr">
        <is>
          <t>High</t>
        </is>
      </c>
      <c r="M40" s="10" t="inlineStr">
        <is>
          <t>Not Started</t>
        </is>
      </c>
      <c r="N40" s="15" t="n">
        <v>0</v>
      </c>
      <c r="O40" s="10">
        <f>IF(J40="Yes",IF(N40=1,"Completed",IF(TODAY()&gt;F40,"Overdue","Scheduled")),IF(N40=1,"Completed",IF(M40="Delayed","Delayed",IF(M40="On Hold","On Hold",IF(TODAY()&gt;F40,"Overdue",IF(AND(TODAY()&gt;=E40,N40=0),"Behind Schedule","On Track"))))))</f>
        <v/>
      </c>
      <c r="P40" s="12" t="inlineStr">
        <is>
          <t>Continuous persistent stream into PostgreSQL/Timescale.</t>
        </is>
      </c>
    </row>
    <row r="41">
      <c r="A41" s="4" t="inlineStr">
        <is>
          <t>T31</t>
        </is>
      </c>
      <c r="B41" s="5" t="inlineStr">
        <is>
          <t>Phase 7: Closed-Loop Telemetry</t>
        </is>
      </c>
      <c r="C41" s="5" t="inlineStr">
        <is>
          <t>Calculate multi-touch attribution, creative decay &amp; ROAS (W_LEARN)</t>
        </is>
      </c>
      <c r="D41" s="6" t="inlineStr">
        <is>
          <t>Execute attribution decay models and creative fatigue analysis via S_ATTR micro-tool.</t>
        </is>
      </c>
      <c r="E41" s="7" t="n">
        <v>46306</v>
      </c>
      <c r="F41" s="7" t="n">
        <v>46308</v>
      </c>
      <c r="G41" s="8">
        <f>IF(OR(E41="",F41=""),0,F41-E41+1)</f>
        <v/>
      </c>
      <c r="H41" s="4" t="inlineStr">
        <is>
          <t>T30</t>
        </is>
      </c>
      <c r="I41" s="4" t="inlineStr">
        <is>
          <t>FS</t>
        </is>
      </c>
      <c r="J41" s="4" t="inlineStr">
        <is>
          <t>No</t>
        </is>
      </c>
      <c r="K41" s="5" t="inlineStr">
        <is>
          <t>Learning Engine &amp; S_ATTR</t>
        </is>
      </c>
      <c r="L41" s="4" t="inlineStr">
        <is>
          <t>High</t>
        </is>
      </c>
      <c r="M41" s="4" t="inlineStr">
        <is>
          <t>Not Started</t>
        </is>
      </c>
      <c r="N41" s="9" t="n">
        <v>0</v>
      </c>
      <c r="O41" s="4">
        <f>IF(J41="Yes",IF(N41=1,"Completed",IF(TODAY()&gt;F41,"Overdue","Scheduled")),IF(N41=1,"Completed",IF(M41="Delayed","Delayed",IF(M41="On Hold","On Hold",IF(TODAY()&gt;F41,"Overdue",IF(AND(TODAY()&gt;=E41,N41=0),"Behind Schedule","On Track"))))))</f>
        <v/>
      </c>
      <c r="P41" s="6" t="inlineStr">
        <is>
          <t>Computes budget reallocation deltas.</t>
        </is>
      </c>
    </row>
    <row r="42">
      <c r="A42" s="10" t="inlineStr">
        <is>
          <t>T32</t>
        </is>
      </c>
      <c r="B42" s="11" t="inlineStr">
        <is>
          <t>Phase 7: Closed-Loop Telemetry</t>
        </is>
      </c>
      <c r="C42" s="11" t="inlineStr">
        <is>
          <t>Promote validated memory deltas into Institutional Memory and IE</t>
        </is>
      </c>
      <c r="D42" s="12" t="inlineStr">
        <is>
          <t>Write high-confidence performance heuristics into Institutional Memory Store (MEM).</t>
        </is>
      </c>
      <c r="E42" s="13" t="n">
        <v>46308</v>
      </c>
      <c r="F42" s="13" t="n">
        <v>46309</v>
      </c>
      <c r="G42" s="14">
        <f>IF(OR(E42="",F42=""),0,F42-E42+1)</f>
        <v/>
      </c>
      <c r="H42" s="10" t="inlineStr">
        <is>
          <t>T31</t>
        </is>
      </c>
      <c r="I42" s="10" t="inlineStr">
        <is>
          <t>FS</t>
        </is>
      </c>
      <c r="J42" s="10" t="inlineStr">
        <is>
          <t>No</t>
        </is>
      </c>
      <c r="K42" s="11" t="inlineStr">
        <is>
          <t>Learning Engine, Memory Store &amp; IE</t>
        </is>
      </c>
      <c r="L42" s="10" t="inlineStr">
        <is>
          <t>Medium</t>
        </is>
      </c>
      <c r="M42" s="10" t="inlineStr">
        <is>
          <t>Not Started</t>
        </is>
      </c>
      <c r="N42" s="15" t="n">
        <v>0</v>
      </c>
      <c r="O42" s="10">
        <f>IF(J42="Yes",IF(N42=1,"Completed",IF(TODAY()&gt;F42,"Overdue","Scheduled")),IF(N42=1,"Completed",IF(M42="Delayed","Delayed",IF(M42="On Hold","On Hold",IF(TODAY()&gt;F42,"Overdue",IF(AND(TODAY()&gt;=E42,N42=0),"Behind Schedule","On Track"))))))</f>
        <v/>
      </c>
      <c r="P42" s="12" t="inlineStr">
        <is>
          <t>Completes closed-loop learning optimization.</t>
        </is>
      </c>
    </row>
    <row r="43">
      <c r="A43" s="4" t="inlineStr">
        <is>
          <t>T33</t>
        </is>
      </c>
      <c r="B43" s="5" t="inlineStr">
        <is>
          <t>Phase 7: Closed-Loop Telemetry</t>
        </is>
      </c>
      <c r="C43" s="5" t="inlineStr">
        <is>
          <t>Validate end-to-end W3C PROV audit lineage, state integrity &amp; logs</t>
        </is>
      </c>
      <c r="D43" s="6" t="inlineStr">
        <is>
          <t>Cryptographically verify audit trails from IE, PAB, HITL, RAG, Sandbox, and MCP gates.</t>
        </is>
      </c>
      <c r="E43" s="7" t="n">
        <v>46308</v>
      </c>
      <c r="F43" s="7" t="n">
        <v>46309</v>
      </c>
      <c r="G43" s="8">
        <f>IF(OR(E43="",F43=""),0,F43-E43+1)</f>
        <v/>
      </c>
      <c r="H43" s="4" t="inlineStr">
        <is>
          <t>T30, T31</t>
        </is>
      </c>
      <c r="I43" s="4" t="inlineStr">
        <is>
          <t>FS</t>
        </is>
      </c>
      <c r="J43" s="4" t="inlineStr">
        <is>
          <t>No</t>
        </is>
      </c>
      <c r="K43" s="5" t="inlineStr">
        <is>
          <t>W3C PROV Immutable Ledger</t>
        </is>
      </c>
      <c r="L43" s="4" t="inlineStr">
        <is>
          <t>High</t>
        </is>
      </c>
      <c r="M43" s="4" t="inlineStr">
        <is>
          <t>Not Started</t>
        </is>
      </c>
      <c r="N43" s="9" t="n">
        <v>0</v>
      </c>
      <c r="O43" s="4">
        <f>IF(J43="Yes",IF(N43=1,"Completed",IF(TODAY()&gt;F43,"Overdue","Scheduled")),IF(N43=1,"Completed",IF(M43="Delayed","Delayed",IF(M43="On Hold","On Hold",IF(TODAY()&gt;F43,"Overdue",IF(AND(TODAY()&gt;=E43,N43=0),"Behind Schedule","On Track"))))))</f>
        <v/>
      </c>
      <c r="P43" s="6" t="inlineStr">
        <is>
          <t>Tamper-evident W3C PROV compliance validation.</t>
        </is>
      </c>
    </row>
    <row r="44">
      <c r="A44" s="10" t="inlineStr">
        <is>
          <t>T34</t>
        </is>
      </c>
      <c r="B44" s="11" t="inlineStr">
        <is>
          <t>Phase 7: Closed-Loop Telemetry</t>
        </is>
      </c>
      <c r="C44" s="11" t="inlineStr">
        <is>
          <t>Perform final project verification against acceptance criteria &amp; close</t>
        </is>
      </c>
      <c r="D44" s="12" t="inlineStr">
        <is>
          <t>Formal executive sign-off, SLA certification, and multi-brand system delivery.</t>
        </is>
      </c>
      <c r="E44" s="13" t="n">
        <v>46309</v>
      </c>
      <c r="F44" s="13" t="n">
        <v>46309</v>
      </c>
      <c r="G44" s="14">
        <f>IF(OR(E44="",F44=""),0,F44-E44+1)</f>
        <v/>
      </c>
      <c r="H44" s="10" t="inlineStr">
        <is>
          <t>T32, T33</t>
        </is>
      </c>
      <c r="I44" s="10" t="inlineStr">
        <is>
          <t>FS</t>
        </is>
      </c>
      <c r="J44" s="10" t="inlineStr">
        <is>
          <t>No</t>
        </is>
      </c>
      <c r="K44" s="11" t="inlineStr">
        <is>
          <t>Intelligence Engine &amp; Brand Owner</t>
        </is>
      </c>
      <c r="L44" s="10" t="inlineStr">
        <is>
          <t>High</t>
        </is>
      </c>
      <c r="M44" s="10" t="inlineStr">
        <is>
          <t>Not Started</t>
        </is>
      </c>
      <c r="N44" s="15" t="n">
        <v>0</v>
      </c>
      <c r="O44" s="10">
        <f>IF(J44="Yes",IF(N44=1,"Completed",IF(TODAY()&gt;F44,"Overdue","Scheduled")),IF(N44=1,"Completed",IF(M44="Delayed","Delayed",IF(M44="On Hold","On Hold",IF(TODAY()&gt;F44,"Overdue",IF(AND(TODAY()&gt;=E44,N44=0),"Behind Schedule","On Track"))))))</f>
        <v/>
      </c>
      <c r="P44" s="12" t="inlineStr">
        <is>
          <t>Project finish on 2026-10-14.</t>
        </is>
      </c>
    </row>
    <row r="45">
      <c r="A45" s="16" t="inlineStr">
        <is>
          <t>M07</t>
        </is>
      </c>
      <c r="B45" s="17" t="inlineStr">
        <is>
          <t>Phase 7: Closed-Loop Telemetry</t>
        </is>
      </c>
      <c r="C45" s="17" t="inlineStr">
        <is>
          <t>Milestone 7: Closed-Loop Telemetry Optimization &amp; Final Project Closeout</t>
        </is>
      </c>
      <c r="D45" s="18" t="inlineStr">
        <is>
          <t>Attribution optimized, memory updated, ledger sealed, and system accepted.</t>
        </is>
      </c>
      <c r="E45" s="19" t="n">
        <v>46309</v>
      </c>
      <c r="F45" s="19" t="n">
        <v>46309</v>
      </c>
      <c r="G45" s="20">
        <f>IF(OR(E45="",F45=""),0,F45-E45+1)</f>
        <v/>
      </c>
      <c r="H45" s="16" t="inlineStr">
        <is>
          <t>T30, T31, T32, T33, T34</t>
        </is>
      </c>
      <c r="I45" s="16" t="inlineStr">
        <is>
          <t>FS</t>
        </is>
      </c>
      <c r="J45" s="16" t="inlineStr">
        <is>
          <t>Yes</t>
        </is>
      </c>
      <c r="K45" s="17" t="inlineStr">
        <is>
          <t>Brand Stakeholder &amp; IE</t>
        </is>
      </c>
      <c r="L45" s="16" t="inlineStr">
        <is>
          <t>High</t>
        </is>
      </c>
      <c r="M45" s="16" t="inlineStr">
        <is>
          <t>Not Started</t>
        </is>
      </c>
      <c r="N45" s="21" t="n">
        <v>0</v>
      </c>
      <c r="O45" s="16">
        <f>IF(J45="Yes",IF(N45=1,"Completed",IF(TODAY()&gt;F45,"Overdue","Scheduled")),IF(N45=1,"Completed",IF(M45="Delayed","Delayed",IF(M45="On Hold","On Hold",IF(TODAY()&gt;F45,"Overdue",IF(AND(TODAY()&gt;=E45,N45=0),"Behind Schedule","On Track"))))))</f>
        <v/>
      </c>
      <c r="P45" s="18" t="inlineStr">
        <is>
          <t>Explicit checkpoint M7 (Project Complete).</t>
        </is>
      </c>
    </row>
  </sheetData>
  <dataValidations count="5">
    <dataValidation sqref="M5:M45" showDropDown="0" showInputMessage="0" showErrorMessage="0" allowBlank="1" type="list">
      <formula1>"Not Started,In Progress,Completed,On Hold,Delayed"</formula1>
    </dataValidation>
    <dataValidation sqref="L5:L45" showDropDown="0" showInputMessage="0" showErrorMessage="0" allowBlank="1" type="list">
      <formula1>"High,Medium,Low"</formula1>
    </dataValidation>
    <dataValidation sqref="J5:J45" showDropDown="0" showInputMessage="0" showErrorMessage="0" allowBlank="1" type="list">
      <formula1>"Yes,No"</formula1>
    </dataValidation>
    <dataValidation sqref="I5:I45" showDropDown="0" showInputMessage="0" showErrorMessage="0" allowBlank="1" type="list">
      <formula1>"FS,SS,FF,SF"</formula1>
    </dataValidation>
    <dataValidation sqref="N5:N45" showDropDown="0" showInputMessage="0" showErrorMessage="0" allowBlank="1" errorTitle="Invalid Progress" error="Progress must be a decimal between 0.0 (0%) and 1.0 (100%)." type="decimal" operator="between">
      <formula1>0.0</formula1>
      <formula2>1.0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N46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3" customWidth="1" min="3" max="3"/>
    <col width="13" customWidth="1" min="4" max="4"/>
    <col width="12" customWidth="1" min="5" max="5"/>
    <col width="1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</cols>
  <sheetData>
    <row r="2">
      <c r="A2" s="1" t="inlineStr">
        <is>
          <t>Governed Multi-Brand Agentic System — Automated Timeline Visualization</t>
        </is>
      </c>
    </row>
    <row r="3">
      <c r="A3" s="2" t="inlineStr">
        <is>
          <t>Schedule Duration: 2026-09-11 to 2026-10-14 (34 Calendar Days) | Legend: ■ Done (Blue) | ░ Remaining (Light Blue) | ◆ Milestone (Gold)</t>
        </is>
      </c>
      <c r="G3" s="22" t="inlineStr">
        <is>
          <t>September 2026 (Launch &amp; Foundation Plane)</t>
        </is>
      </c>
      <c r="AA3" s="23" t="inlineStr">
        <is>
          <t>October 2026 (Actuation &amp; Closed-Loop Telemetry)</t>
        </is>
      </c>
    </row>
    <row r="4">
      <c r="A4" s="24" t="inlineStr">
        <is>
          <t>Task ID</t>
        </is>
      </c>
      <c r="B4" s="24" t="inlineStr">
        <is>
          <t>Task Name</t>
        </is>
      </c>
      <c r="C4" s="24" t="inlineStr">
        <is>
          <t>Start Date</t>
        </is>
      </c>
      <c r="D4" s="24" t="inlineStr">
        <is>
          <t>End Date</t>
        </is>
      </c>
      <c r="E4" s="24" t="inlineStr">
        <is>
          <t>Progress %</t>
        </is>
      </c>
      <c r="F4" s="24" t="inlineStr">
        <is>
          <t>Milestone</t>
        </is>
      </c>
      <c r="G4" s="3" t="n">
        <v>11</v>
      </c>
      <c r="H4" s="24" t="n">
        <v>12</v>
      </c>
      <c r="I4" s="24" t="n">
        <v>13</v>
      </c>
      <c r="J4" s="3" t="n">
        <v>14</v>
      </c>
      <c r="K4" s="3" t="n">
        <v>15</v>
      </c>
      <c r="L4" s="3" t="n">
        <v>16</v>
      </c>
      <c r="M4" s="3" t="n">
        <v>17</v>
      </c>
      <c r="N4" s="3" t="n">
        <v>18</v>
      </c>
      <c r="O4" s="24" t="n">
        <v>19</v>
      </c>
      <c r="P4" s="24" t="n">
        <v>20</v>
      </c>
      <c r="Q4" s="3" t="n">
        <v>21</v>
      </c>
      <c r="R4" s="3" t="n">
        <v>22</v>
      </c>
      <c r="S4" s="3" t="n">
        <v>23</v>
      </c>
      <c r="T4" s="3" t="n">
        <v>24</v>
      </c>
      <c r="U4" s="3" t="n">
        <v>25</v>
      </c>
      <c r="V4" s="24" t="n">
        <v>26</v>
      </c>
      <c r="W4" s="24" t="n">
        <v>27</v>
      </c>
      <c r="X4" s="3" t="n">
        <v>28</v>
      </c>
      <c r="Y4" s="3" t="n">
        <v>29</v>
      </c>
      <c r="Z4" s="3" t="n">
        <v>30</v>
      </c>
      <c r="AA4" s="3" t="n">
        <v>1</v>
      </c>
      <c r="AB4" s="3" t="n">
        <v>2</v>
      </c>
      <c r="AC4" s="24" t="n">
        <v>3</v>
      </c>
      <c r="AD4" s="24" t="n">
        <v>4</v>
      </c>
      <c r="AE4" s="3" t="n">
        <v>5</v>
      </c>
      <c r="AF4" s="3" t="n">
        <v>6</v>
      </c>
      <c r="AG4" s="3" t="n">
        <v>7</v>
      </c>
      <c r="AH4" s="3" t="n">
        <v>8</v>
      </c>
      <c r="AI4" s="3" t="n">
        <v>9</v>
      </c>
      <c r="AJ4" s="24" t="n">
        <v>10</v>
      </c>
      <c r="AK4" s="24" t="n">
        <v>11</v>
      </c>
      <c r="AL4" s="3" t="n">
        <v>12</v>
      </c>
      <c r="AM4" s="3" t="n">
        <v>13</v>
      </c>
      <c r="AN4" s="3" t="n">
        <v>14</v>
      </c>
    </row>
    <row r="5">
      <c r="G5" s="25" t="inlineStr">
        <is>
          <t>FR</t>
        </is>
      </c>
      <c r="H5" s="26" t="inlineStr">
        <is>
          <t>SA</t>
        </is>
      </c>
      <c r="I5" s="26" t="inlineStr">
        <is>
          <t>SU</t>
        </is>
      </c>
      <c r="J5" s="25" t="inlineStr">
        <is>
          <t>MO</t>
        </is>
      </c>
      <c r="K5" s="25" t="inlineStr">
        <is>
          <t>TU</t>
        </is>
      </c>
      <c r="L5" s="25" t="inlineStr">
        <is>
          <t>WE</t>
        </is>
      </c>
      <c r="M5" s="25" t="inlineStr">
        <is>
          <t>TH</t>
        </is>
      </c>
      <c r="N5" s="25" t="inlineStr">
        <is>
          <t>FR</t>
        </is>
      </c>
      <c r="O5" s="26" t="inlineStr">
        <is>
          <t>SA</t>
        </is>
      </c>
      <c r="P5" s="26" t="inlineStr">
        <is>
          <t>SU</t>
        </is>
      </c>
      <c r="Q5" s="25" t="inlineStr">
        <is>
          <t>MO</t>
        </is>
      </c>
      <c r="R5" s="25" t="inlineStr">
        <is>
          <t>TU</t>
        </is>
      </c>
      <c r="S5" s="25" t="inlineStr">
        <is>
          <t>WE</t>
        </is>
      </c>
      <c r="T5" s="25" t="inlineStr">
        <is>
          <t>TH</t>
        </is>
      </c>
      <c r="U5" s="25" t="inlineStr">
        <is>
          <t>FR</t>
        </is>
      </c>
      <c r="V5" s="26" t="inlineStr">
        <is>
          <t>SA</t>
        </is>
      </c>
      <c r="W5" s="26" t="inlineStr">
        <is>
          <t>SU</t>
        </is>
      </c>
      <c r="X5" s="25" t="inlineStr">
        <is>
          <t>MO</t>
        </is>
      </c>
      <c r="Y5" s="25" t="inlineStr">
        <is>
          <t>TU</t>
        </is>
      </c>
      <c r="Z5" s="25" t="inlineStr">
        <is>
          <t>WE</t>
        </is>
      </c>
      <c r="AA5" s="25" t="inlineStr">
        <is>
          <t>TH</t>
        </is>
      </c>
      <c r="AB5" s="25" t="inlineStr">
        <is>
          <t>FR</t>
        </is>
      </c>
      <c r="AC5" s="26" t="inlineStr">
        <is>
          <t>SA</t>
        </is>
      </c>
      <c r="AD5" s="26" t="inlineStr">
        <is>
          <t>SU</t>
        </is>
      </c>
      <c r="AE5" s="25" t="inlineStr">
        <is>
          <t>MO</t>
        </is>
      </c>
      <c r="AF5" s="25" t="inlineStr">
        <is>
          <t>TU</t>
        </is>
      </c>
      <c r="AG5" s="25" t="inlineStr">
        <is>
          <t>WE</t>
        </is>
      </c>
      <c r="AH5" s="25" t="inlineStr">
        <is>
          <t>TH</t>
        </is>
      </c>
      <c r="AI5" s="25" t="inlineStr">
        <is>
          <t>FR</t>
        </is>
      </c>
      <c r="AJ5" s="26" t="inlineStr">
        <is>
          <t>SA</t>
        </is>
      </c>
      <c r="AK5" s="26" t="inlineStr">
        <is>
          <t>SU</t>
        </is>
      </c>
      <c r="AL5" s="25" t="inlineStr">
        <is>
          <t>MO</t>
        </is>
      </c>
      <c r="AM5" s="25" t="inlineStr">
        <is>
          <t>TU</t>
        </is>
      </c>
      <c r="AN5" s="25" t="inlineStr">
        <is>
          <t>WE</t>
        </is>
      </c>
    </row>
    <row r="6">
      <c r="A6" s="4">
        <f>'Project Tracker'!A5</f>
        <v/>
      </c>
      <c r="B6" s="5">
        <f>'Project Tracker'!C5</f>
        <v/>
      </c>
      <c r="C6" s="7">
        <f>'Project Tracker'!E5</f>
        <v/>
      </c>
      <c r="D6" s="7">
        <f>'Project Tracker'!F5</f>
        <v/>
      </c>
      <c r="E6" s="9">
        <f>'Project Tracker'!N5</f>
        <v/>
      </c>
      <c r="F6" s="4">
        <f>'Project Tracker'!J5</f>
        <v/>
      </c>
      <c r="G6" s="27">
        <f>IF($F6="Yes",IF(DATE(2026,9,11)=$C6,"◆",""),IF(AND(DATE(2026,9,11)&gt;=$C6,DATE(2026,9,11)&lt;=$D6),IF(DATE(2026,9,11)&lt;$C6+ROUND($E6*($D6-$C6+1),0),"█","░"),""))</f>
        <v/>
      </c>
      <c r="H6" s="28">
        <f>IF($F6="Yes",IF(DATE(2026,9,12)=$C6,"◆",""),IF(AND(DATE(2026,9,12)&gt;=$C6,DATE(2026,9,12)&lt;=$D6),IF(DATE(2026,9,12)&lt;$C6+ROUND($E6*($D6-$C6+1),0),"█","░"),""))</f>
        <v/>
      </c>
      <c r="I6" s="28">
        <f>IF($F6="Yes",IF(DATE(2026,9,13)=$C6,"◆",""),IF(AND(DATE(2026,9,13)&gt;=$C6,DATE(2026,9,13)&lt;=$D6),IF(DATE(2026,9,13)&lt;$C6+ROUND($E6*($D6-$C6+1),0),"█","░"),""))</f>
        <v/>
      </c>
      <c r="J6" s="27">
        <f>IF($F6="Yes",IF(DATE(2026,9,14)=$C6,"◆",""),IF(AND(DATE(2026,9,14)&gt;=$C6,DATE(2026,9,14)&lt;=$D6),IF(DATE(2026,9,14)&lt;$C6+ROUND($E6*($D6-$C6+1),0),"█","░"),""))</f>
        <v/>
      </c>
      <c r="K6" s="27">
        <f>IF($F6="Yes",IF(DATE(2026,9,15)=$C6,"◆",""),IF(AND(DATE(2026,9,15)&gt;=$C6,DATE(2026,9,15)&lt;=$D6),IF(DATE(2026,9,15)&lt;$C6+ROUND($E6*($D6-$C6+1),0),"█","░"),""))</f>
        <v/>
      </c>
      <c r="L6" s="27">
        <f>IF($F6="Yes",IF(DATE(2026,9,16)=$C6,"◆",""),IF(AND(DATE(2026,9,16)&gt;=$C6,DATE(2026,9,16)&lt;=$D6),IF(DATE(2026,9,16)&lt;$C6+ROUND($E6*($D6-$C6+1),0),"█","░"),""))</f>
        <v/>
      </c>
      <c r="M6" s="27">
        <f>IF($F6="Yes",IF(DATE(2026,9,17)=$C6,"◆",""),IF(AND(DATE(2026,9,17)&gt;=$C6,DATE(2026,9,17)&lt;=$D6),IF(DATE(2026,9,17)&lt;$C6+ROUND($E6*($D6-$C6+1),0),"█","░"),""))</f>
        <v/>
      </c>
      <c r="N6" s="27">
        <f>IF($F6="Yes",IF(DATE(2026,9,18)=$C6,"◆",""),IF(AND(DATE(2026,9,18)&gt;=$C6,DATE(2026,9,18)&lt;=$D6),IF(DATE(2026,9,18)&lt;$C6+ROUND($E6*($D6-$C6+1),0),"█","░"),""))</f>
        <v/>
      </c>
      <c r="O6" s="28">
        <f>IF($F6="Yes",IF(DATE(2026,9,19)=$C6,"◆",""),IF(AND(DATE(2026,9,19)&gt;=$C6,DATE(2026,9,19)&lt;=$D6),IF(DATE(2026,9,19)&lt;$C6+ROUND($E6*($D6-$C6+1),0),"█","░"),""))</f>
        <v/>
      </c>
      <c r="P6" s="28">
        <f>IF($F6="Yes",IF(DATE(2026,9,20)=$C6,"◆",""),IF(AND(DATE(2026,9,20)&gt;=$C6,DATE(2026,9,20)&lt;=$D6),IF(DATE(2026,9,20)&lt;$C6+ROUND($E6*($D6-$C6+1),0),"█","░"),""))</f>
        <v/>
      </c>
      <c r="Q6" s="27">
        <f>IF($F6="Yes",IF(DATE(2026,9,21)=$C6,"◆",""),IF(AND(DATE(2026,9,21)&gt;=$C6,DATE(2026,9,21)&lt;=$D6),IF(DATE(2026,9,21)&lt;$C6+ROUND($E6*($D6-$C6+1),0),"█","░"),""))</f>
        <v/>
      </c>
      <c r="R6" s="27">
        <f>IF($F6="Yes",IF(DATE(2026,9,22)=$C6,"◆",""),IF(AND(DATE(2026,9,22)&gt;=$C6,DATE(2026,9,22)&lt;=$D6),IF(DATE(2026,9,22)&lt;$C6+ROUND($E6*($D6-$C6+1),0),"█","░"),""))</f>
        <v/>
      </c>
      <c r="S6" s="27">
        <f>IF($F6="Yes",IF(DATE(2026,9,23)=$C6,"◆",""),IF(AND(DATE(2026,9,23)&gt;=$C6,DATE(2026,9,23)&lt;=$D6),IF(DATE(2026,9,23)&lt;$C6+ROUND($E6*($D6-$C6+1),0),"█","░"),""))</f>
        <v/>
      </c>
      <c r="T6" s="27">
        <f>IF($F6="Yes",IF(DATE(2026,9,24)=$C6,"◆",""),IF(AND(DATE(2026,9,24)&gt;=$C6,DATE(2026,9,24)&lt;=$D6),IF(DATE(2026,9,24)&lt;$C6+ROUND($E6*($D6-$C6+1),0),"█","░"),""))</f>
        <v/>
      </c>
      <c r="U6" s="27">
        <f>IF($F6="Yes",IF(DATE(2026,9,25)=$C6,"◆",""),IF(AND(DATE(2026,9,25)&gt;=$C6,DATE(2026,9,25)&lt;=$D6),IF(DATE(2026,9,25)&lt;$C6+ROUND($E6*($D6-$C6+1),0),"█","░"),""))</f>
        <v/>
      </c>
      <c r="V6" s="28">
        <f>IF($F6="Yes",IF(DATE(2026,9,26)=$C6,"◆",""),IF(AND(DATE(2026,9,26)&gt;=$C6,DATE(2026,9,26)&lt;=$D6),IF(DATE(2026,9,26)&lt;$C6+ROUND($E6*($D6-$C6+1),0),"█","░"),""))</f>
        <v/>
      </c>
      <c r="W6" s="28">
        <f>IF($F6="Yes",IF(DATE(2026,9,27)=$C6,"◆",""),IF(AND(DATE(2026,9,27)&gt;=$C6,DATE(2026,9,27)&lt;=$D6),IF(DATE(2026,9,27)&lt;$C6+ROUND($E6*($D6-$C6+1),0),"█","░"),""))</f>
        <v/>
      </c>
      <c r="X6" s="27">
        <f>IF($F6="Yes",IF(DATE(2026,9,28)=$C6,"◆",""),IF(AND(DATE(2026,9,28)&gt;=$C6,DATE(2026,9,28)&lt;=$D6),IF(DATE(2026,9,28)&lt;$C6+ROUND($E6*($D6-$C6+1),0),"█","░"),""))</f>
        <v/>
      </c>
      <c r="Y6" s="27">
        <f>IF($F6="Yes",IF(DATE(2026,9,29)=$C6,"◆",""),IF(AND(DATE(2026,9,29)&gt;=$C6,DATE(2026,9,29)&lt;=$D6),IF(DATE(2026,9,29)&lt;$C6+ROUND($E6*($D6-$C6+1),0),"█","░"),""))</f>
        <v/>
      </c>
      <c r="Z6" s="27">
        <f>IF($F6="Yes",IF(DATE(2026,9,30)=$C6,"◆",""),IF(AND(DATE(2026,9,30)&gt;=$C6,DATE(2026,9,30)&lt;=$D6),IF(DATE(2026,9,30)&lt;$C6+ROUND($E6*($D6-$C6+1),0),"█","░"),""))</f>
        <v/>
      </c>
      <c r="AA6" s="27">
        <f>IF($F6="Yes",IF(DATE(2026,10,1)=$C6,"◆",""),IF(AND(DATE(2026,10,1)&gt;=$C6,DATE(2026,10,1)&lt;=$D6),IF(DATE(2026,10,1)&lt;$C6+ROUND($E6*($D6-$C6+1),0),"█","░"),""))</f>
        <v/>
      </c>
      <c r="AB6" s="27">
        <f>IF($F6="Yes",IF(DATE(2026,10,2)=$C6,"◆",""),IF(AND(DATE(2026,10,2)&gt;=$C6,DATE(2026,10,2)&lt;=$D6),IF(DATE(2026,10,2)&lt;$C6+ROUND($E6*($D6-$C6+1),0),"█","░"),""))</f>
        <v/>
      </c>
      <c r="AC6" s="28">
        <f>IF($F6="Yes",IF(DATE(2026,10,3)=$C6,"◆",""),IF(AND(DATE(2026,10,3)&gt;=$C6,DATE(2026,10,3)&lt;=$D6),IF(DATE(2026,10,3)&lt;$C6+ROUND($E6*($D6-$C6+1),0),"█","░"),""))</f>
        <v/>
      </c>
      <c r="AD6" s="28">
        <f>IF($F6="Yes",IF(DATE(2026,10,4)=$C6,"◆",""),IF(AND(DATE(2026,10,4)&gt;=$C6,DATE(2026,10,4)&lt;=$D6),IF(DATE(2026,10,4)&lt;$C6+ROUND($E6*($D6-$C6+1),0),"█","░"),""))</f>
        <v/>
      </c>
      <c r="AE6" s="27">
        <f>IF($F6="Yes",IF(DATE(2026,10,5)=$C6,"◆",""),IF(AND(DATE(2026,10,5)&gt;=$C6,DATE(2026,10,5)&lt;=$D6),IF(DATE(2026,10,5)&lt;$C6+ROUND($E6*($D6-$C6+1),0),"█","░"),""))</f>
        <v/>
      </c>
      <c r="AF6" s="27">
        <f>IF($F6="Yes",IF(DATE(2026,10,6)=$C6,"◆",""),IF(AND(DATE(2026,10,6)&gt;=$C6,DATE(2026,10,6)&lt;=$D6),IF(DATE(2026,10,6)&lt;$C6+ROUND($E6*($D6-$C6+1),0),"█","░"),""))</f>
        <v/>
      </c>
      <c r="AG6" s="27">
        <f>IF($F6="Yes",IF(DATE(2026,10,7)=$C6,"◆",""),IF(AND(DATE(2026,10,7)&gt;=$C6,DATE(2026,10,7)&lt;=$D6),IF(DATE(2026,10,7)&lt;$C6+ROUND($E6*($D6-$C6+1),0),"█","░"),""))</f>
        <v/>
      </c>
      <c r="AH6" s="27">
        <f>IF($F6="Yes",IF(DATE(2026,10,8)=$C6,"◆",""),IF(AND(DATE(2026,10,8)&gt;=$C6,DATE(2026,10,8)&lt;=$D6),IF(DATE(2026,10,8)&lt;$C6+ROUND($E6*($D6-$C6+1),0),"█","░"),""))</f>
        <v/>
      </c>
      <c r="AI6" s="27">
        <f>IF($F6="Yes",IF(DATE(2026,10,9)=$C6,"◆",""),IF(AND(DATE(2026,10,9)&gt;=$C6,DATE(2026,10,9)&lt;=$D6),IF(DATE(2026,10,9)&lt;$C6+ROUND($E6*($D6-$C6+1),0),"█","░"),""))</f>
        <v/>
      </c>
      <c r="AJ6" s="28">
        <f>IF($F6="Yes",IF(DATE(2026,10,10)=$C6,"◆",""),IF(AND(DATE(2026,10,10)&gt;=$C6,DATE(2026,10,10)&lt;=$D6),IF(DATE(2026,10,10)&lt;$C6+ROUND($E6*($D6-$C6+1),0),"█","░"),""))</f>
        <v/>
      </c>
      <c r="AK6" s="28">
        <f>IF($F6="Yes",IF(DATE(2026,10,11)=$C6,"◆",""),IF(AND(DATE(2026,10,11)&gt;=$C6,DATE(2026,10,11)&lt;=$D6),IF(DATE(2026,10,11)&lt;$C6+ROUND($E6*($D6-$C6+1),0),"█","░"),""))</f>
        <v/>
      </c>
      <c r="AL6" s="27">
        <f>IF($F6="Yes",IF(DATE(2026,10,12)=$C6,"◆",""),IF(AND(DATE(2026,10,12)&gt;=$C6,DATE(2026,10,12)&lt;=$D6),IF(DATE(2026,10,12)&lt;$C6+ROUND($E6*($D6-$C6+1),0),"█","░"),""))</f>
        <v/>
      </c>
      <c r="AM6" s="27">
        <f>IF($F6="Yes",IF(DATE(2026,10,13)=$C6,"◆",""),IF(AND(DATE(2026,10,13)&gt;=$C6,DATE(2026,10,13)&lt;=$D6),IF(DATE(2026,10,13)&lt;$C6+ROUND($E6*($D6-$C6+1),0),"█","░"),""))</f>
        <v/>
      </c>
      <c r="AN6" s="27">
        <f>IF($F6="Yes",IF(DATE(2026,10,14)=$C6,"◆",""),IF(AND(DATE(2026,10,14)&gt;=$C6,DATE(2026,10,14)&lt;=$D6),IF(DATE(2026,10,14)&lt;$C6+ROUND($E6*($D6-$C6+1),0),"█","░"),""))</f>
        <v/>
      </c>
    </row>
    <row r="7">
      <c r="A7" s="4">
        <f>'Project Tracker'!A6</f>
        <v/>
      </c>
      <c r="B7" s="5">
        <f>'Project Tracker'!C6</f>
        <v/>
      </c>
      <c r="C7" s="7">
        <f>'Project Tracker'!E6</f>
        <v/>
      </c>
      <c r="D7" s="7">
        <f>'Project Tracker'!F6</f>
        <v/>
      </c>
      <c r="E7" s="9">
        <f>'Project Tracker'!N6</f>
        <v/>
      </c>
      <c r="F7" s="4">
        <f>'Project Tracker'!J6</f>
        <v/>
      </c>
      <c r="G7" s="27">
        <f>IF($F7="Yes",IF(DATE(2026,9,11)=$C7,"◆",""),IF(AND(DATE(2026,9,11)&gt;=$C7,DATE(2026,9,11)&lt;=$D7),IF(DATE(2026,9,11)&lt;$C7+ROUND($E7*($D7-$C7+1),0),"█","░"),""))</f>
        <v/>
      </c>
      <c r="H7" s="28">
        <f>IF($F7="Yes",IF(DATE(2026,9,12)=$C7,"◆",""),IF(AND(DATE(2026,9,12)&gt;=$C7,DATE(2026,9,12)&lt;=$D7),IF(DATE(2026,9,12)&lt;$C7+ROUND($E7*($D7-$C7+1),0),"█","░"),""))</f>
        <v/>
      </c>
      <c r="I7" s="28">
        <f>IF($F7="Yes",IF(DATE(2026,9,13)=$C7,"◆",""),IF(AND(DATE(2026,9,13)&gt;=$C7,DATE(2026,9,13)&lt;=$D7),IF(DATE(2026,9,13)&lt;$C7+ROUND($E7*($D7-$C7+1),0),"█","░"),""))</f>
        <v/>
      </c>
      <c r="J7" s="27">
        <f>IF($F7="Yes",IF(DATE(2026,9,14)=$C7,"◆",""),IF(AND(DATE(2026,9,14)&gt;=$C7,DATE(2026,9,14)&lt;=$D7),IF(DATE(2026,9,14)&lt;$C7+ROUND($E7*($D7-$C7+1),0),"█","░"),""))</f>
        <v/>
      </c>
      <c r="K7" s="27">
        <f>IF($F7="Yes",IF(DATE(2026,9,15)=$C7,"◆",""),IF(AND(DATE(2026,9,15)&gt;=$C7,DATE(2026,9,15)&lt;=$D7),IF(DATE(2026,9,15)&lt;$C7+ROUND($E7*($D7-$C7+1),0),"█","░"),""))</f>
        <v/>
      </c>
      <c r="L7" s="27">
        <f>IF($F7="Yes",IF(DATE(2026,9,16)=$C7,"◆",""),IF(AND(DATE(2026,9,16)&gt;=$C7,DATE(2026,9,16)&lt;=$D7),IF(DATE(2026,9,16)&lt;$C7+ROUND($E7*($D7-$C7+1),0),"█","░"),""))</f>
        <v/>
      </c>
      <c r="M7" s="27">
        <f>IF($F7="Yes",IF(DATE(2026,9,17)=$C7,"◆",""),IF(AND(DATE(2026,9,17)&gt;=$C7,DATE(2026,9,17)&lt;=$D7),IF(DATE(2026,9,17)&lt;$C7+ROUND($E7*($D7-$C7+1),0),"█","░"),""))</f>
        <v/>
      </c>
      <c r="N7" s="27">
        <f>IF($F7="Yes",IF(DATE(2026,9,18)=$C7,"◆",""),IF(AND(DATE(2026,9,18)&gt;=$C7,DATE(2026,9,18)&lt;=$D7),IF(DATE(2026,9,18)&lt;$C7+ROUND($E7*($D7-$C7+1),0),"█","░"),""))</f>
        <v/>
      </c>
      <c r="O7" s="28">
        <f>IF($F7="Yes",IF(DATE(2026,9,19)=$C7,"◆",""),IF(AND(DATE(2026,9,19)&gt;=$C7,DATE(2026,9,19)&lt;=$D7),IF(DATE(2026,9,19)&lt;$C7+ROUND($E7*($D7-$C7+1),0),"█","░"),""))</f>
        <v/>
      </c>
      <c r="P7" s="28">
        <f>IF($F7="Yes",IF(DATE(2026,9,20)=$C7,"◆",""),IF(AND(DATE(2026,9,20)&gt;=$C7,DATE(2026,9,20)&lt;=$D7),IF(DATE(2026,9,20)&lt;$C7+ROUND($E7*($D7-$C7+1),0),"█","░"),""))</f>
        <v/>
      </c>
      <c r="Q7" s="27">
        <f>IF($F7="Yes",IF(DATE(2026,9,21)=$C7,"◆",""),IF(AND(DATE(2026,9,21)&gt;=$C7,DATE(2026,9,21)&lt;=$D7),IF(DATE(2026,9,21)&lt;$C7+ROUND($E7*($D7-$C7+1),0),"█","░"),""))</f>
        <v/>
      </c>
      <c r="R7" s="27">
        <f>IF($F7="Yes",IF(DATE(2026,9,22)=$C7,"◆",""),IF(AND(DATE(2026,9,22)&gt;=$C7,DATE(2026,9,22)&lt;=$D7),IF(DATE(2026,9,22)&lt;$C7+ROUND($E7*($D7-$C7+1),0),"█","░"),""))</f>
        <v/>
      </c>
      <c r="S7" s="27">
        <f>IF($F7="Yes",IF(DATE(2026,9,23)=$C7,"◆",""),IF(AND(DATE(2026,9,23)&gt;=$C7,DATE(2026,9,23)&lt;=$D7),IF(DATE(2026,9,23)&lt;$C7+ROUND($E7*($D7-$C7+1),0),"█","░"),""))</f>
        <v/>
      </c>
      <c r="T7" s="27">
        <f>IF($F7="Yes",IF(DATE(2026,9,24)=$C7,"◆",""),IF(AND(DATE(2026,9,24)&gt;=$C7,DATE(2026,9,24)&lt;=$D7),IF(DATE(2026,9,24)&lt;$C7+ROUND($E7*($D7-$C7+1),0),"█","░"),""))</f>
        <v/>
      </c>
      <c r="U7" s="27">
        <f>IF($F7="Yes",IF(DATE(2026,9,25)=$C7,"◆",""),IF(AND(DATE(2026,9,25)&gt;=$C7,DATE(2026,9,25)&lt;=$D7),IF(DATE(2026,9,25)&lt;$C7+ROUND($E7*($D7-$C7+1),0),"█","░"),""))</f>
        <v/>
      </c>
      <c r="V7" s="28">
        <f>IF($F7="Yes",IF(DATE(2026,9,26)=$C7,"◆",""),IF(AND(DATE(2026,9,26)&gt;=$C7,DATE(2026,9,26)&lt;=$D7),IF(DATE(2026,9,26)&lt;$C7+ROUND($E7*($D7-$C7+1),0),"█","░"),""))</f>
        <v/>
      </c>
      <c r="W7" s="28">
        <f>IF($F7="Yes",IF(DATE(2026,9,27)=$C7,"◆",""),IF(AND(DATE(2026,9,27)&gt;=$C7,DATE(2026,9,27)&lt;=$D7),IF(DATE(2026,9,27)&lt;$C7+ROUND($E7*($D7-$C7+1),0),"█","░"),""))</f>
        <v/>
      </c>
      <c r="X7" s="27">
        <f>IF($F7="Yes",IF(DATE(2026,9,28)=$C7,"◆",""),IF(AND(DATE(2026,9,28)&gt;=$C7,DATE(2026,9,28)&lt;=$D7),IF(DATE(2026,9,28)&lt;$C7+ROUND($E7*($D7-$C7+1),0),"█","░"),""))</f>
        <v/>
      </c>
      <c r="Y7" s="27">
        <f>IF($F7="Yes",IF(DATE(2026,9,29)=$C7,"◆",""),IF(AND(DATE(2026,9,29)&gt;=$C7,DATE(2026,9,29)&lt;=$D7),IF(DATE(2026,9,29)&lt;$C7+ROUND($E7*($D7-$C7+1),0),"█","░"),""))</f>
        <v/>
      </c>
      <c r="Z7" s="27">
        <f>IF($F7="Yes",IF(DATE(2026,9,30)=$C7,"◆",""),IF(AND(DATE(2026,9,30)&gt;=$C7,DATE(2026,9,30)&lt;=$D7),IF(DATE(2026,9,30)&lt;$C7+ROUND($E7*($D7-$C7+1),0),"█","░"),""))</f>
        <v/>
      </c>
      <c r="AA7" s="27">
        <f>IF($F7="Yes",IF(DATE(2026,10,1)=$C7,"◆",""),IF(AND(DATE(2026,10,1)&gt;=$C7,DATE(2026,10,1)&lt;=$D7),IF(DATE(2026,10,1)&lt;$C7+ROUND($E7*($D7-$C7+1),0),"█","░"),""))</f>
        <v/>
      </c>
      <c r="AB7" s="27">
        <f>IF($F7="Yes",IF(DATE(2026,10,2)=$C7,"◆",""),IF(AND(DATE(2026,10,2)&gt;=$C7,DATE(2026,10,2)&lt;=$D7),IF(DATE(2026,10,2)&lt;$C7+ROUND($E7*($D7-$C7+1),0),"█","░"),""))</f>
        <v/>
      </c>
      <c r="AC7" s="28">
        <f>IF($F7="Yes",IF(DATE(2026,10,3)=$C7,"◆",""),IF(AND(DATE(2026,10,3)&gt;=$C7,DATE(2026,10,3)&lt;=$D7),IF(DATE(2026,10,3)&lt;$C7+ROUND($E7*($D7-$C7+1),0),"█","░"),""))</f>
        <v/>
      </c>
      <c r="AD7" s="28">
        <f>IF($F7="Yes",IF(DATE(2026,10,4)=$C7,"◆",""),IF(AND(DATE(2026,10,4)&gt;=$C7,DATE(2026,10,4)&lt;=$D7),IF(DATE(2026,10,4)&lt;$C7+ROUND($E7*($D7-$C7+1),0),"█","░"),""))</f>
        <v/>
      </c>
      <c r="AE7" s="27">
        <f>IF($F7="Yes",IF(DATE(2026,10,5)=$C7,"◆",""),IF(AND(DATE(2026,10,5)&gt;=$C7,DATE(2026,10,5)&lt;=$D7),IF(DATE(2026,10,5)&lt;$C7+ROUND($E7*($D7-$C7+1),0),"█","░"),""))</f>
        <v/>
      </c>
      <c r="AF7" s="27">
        <f>IF($F7="Yes",IF(DATE(2026,10,6)=$C7,"◆",""),IF(AND(DATE(2026,10,6)&gt;=$C7,DATE(2026,10,6)&lt;=$D7),IF(DATE(2026,10,6)&lt;$C7+ROUND($E7*($D7-$C7+1),0),"█","░"),""))</f>
        <v/>
      </c>
      <c r="AG7" s="27">
        <f>IF($F7="Yes",IF(DATE(2026,10,7)=$C7,"◆",""),IF(AND(DATE(2026,10,7)&gt;=$C7,DATE(2026,10,7)&lt;=$D7),IF(DATE(2026,10,7)&lt;$C7+ROUND($E7*($D7-$C7+1),0),"█","░"),""))</f>
        <v/>
      </c>
      <c r="AH7" s="27">
        <f>IF($F7="Yes",IF(DATE(2026,10,8)=$C7,"◆",""),IF(AND(DATE(2026,10,8)&gt;=$C7,DATE(2026,10,8)&lt;=$D7),IF(DATE(2026,10,8)&lt;$C7+ROUND($E7*($D7-$C7+1),0),"█","░"),""))</f>
        <v/>
      </c>
      <c r="AI7" s="27">
        <f>IF($F7="Yes",IF(DATE(2026,10,9)=$C7,"◆",""),IF(AND(DATE(2026,10,9)&gt;=$C7,DATE(2026,10,9)&lt;=$D7),IF(DATE(2026,10,9)&lt;$C7+ROUND($E7*($D7-$C7+1),0),"█","░"),""))</f>
        <v/>
      </c>
      <c r="AJ7" s="28">
        <f>IF($F7="Yes",IF(DATE(2026,10,10)=$C7,"◆",""),IF(AND(DATE(2026,10,10)&gt;=$C7,DATE(2026,10,10)&lt;=$D7),IF(DATE(2026,10,10)&lt;$C7+ROUND($E7*($D7-$C7+1),0),"█","░"),""))</f>
        <v/>
      </c>
      <c r="AK7" s="28">
        <f>IF($F7="Yes",IF(DATE(2026,10,11)=$C7,"◆",""),IF(AND(DATE(2026,10,11)&gt;=$C7,DATE(2026,10,11)&lt;=$D7),IF(DATE(2026,10,11)&lt;$C7+ROUND($E7*($D7-$C7+1),0),"█","░"),""))</f>
        <v/>
      </c>
      <c r="AL7" s="27">
        <f>IF($F7="Yes",IF(DATE(2026,10,12)=$C7,"◆",""),IF(AND(DATE(2026,10,12)&gt;=$C7,DATE(2026,10,12)&lt;=$D7),IF(DATE(2026,10,12)&lt;$C7+ROUND($E7*($D7-$C7+1),0),"█","░"),""))</f>
        <v/>
      </c>
      <c r="AM7" s="27">
        <f>IF($F7="Yes",IF(DATE(2026,10,13)=$C7,"◆",""),IF(AND(DATE(2026,10,13)&gt;=$C7,DATE(2026,10,13)&lt;=$D7),IF(DATE(2026,10,13)&lt;$C7+ROUND($E7*($D7-$C7+1),0),"█","░"),""))</f>
        <v/>
      </c>
      <c r="AN7" s="27">
        <f>IF($F7="Yes",IF(DATE(2026,10,14)=$C7,"◆",""),IF(AND(DATE(2026,10,14)&gt;=$C7,DATE(2026,10,14)&lt;=$D7),IF(DATE(2026,10,14)&lt;$C7+ROUND($E7*($D7-$C7+1),0),"█","░"),""))</f>
        <v/>
      </c>
    </row>
    <row r="8">
      <c r="A8" s="4">
        <f>'Project Tracker'!A7</f>
        <v/>
      </c>
      <c r="B8" s="5">
        <f>'Project Tracker'!C7</f>
        <v/>
      </c>
      <c r="C8" s="7">
        <f>'Project Tracker'!E7</f>
        <v/>
      </c>
      <c r="D8" s="7">
        <f>'Project Tracker'!F7</f>
        <v/>
      </c>
      <c r="E8" s="9">
        <f>'Project Tracker'!N7</f>
        <v/>
      </c>
      <c r="F8" s="4">
        <f>'Project Tracker'!J7</f>
        <v/>
      </c>
      <c r="G8" s="27">
        <f>IF($F8="Yes",IF(DATE(2026,9,11)=$C8,"◆",""),IF(AND(DATE(2026,9,11)&gt;=$C8,DATE(2026,9,11)&lt;=$D8),IF(DATE(2026,9,11)&lt;$C8+ROUND($E8*($D8-$C8+1),0),"█","░"),""))</f>
        <v/>
      </c>
      <c r="H8" s="28">
        <f>IF($F8="Yes",IF(DATE(2026,9,12)=$C8,"◆",""),IF(AND(DATE(2026,9,12)&gt;=$C8,DATE(2026,9,12)&lt;=$D8),IF(DATE(2026,9,12)&lt;$C8+ROUND($E8*($D8-$C8+1),0),"█","░"),""))</f>
        <v/>
      </c>
      <c r="I8" s="28">
        <f>IF($F8="Yes",IF(DATE(2026,9,13)=$C8,"◆",""),IF(AND(DATE(2026,9,13)&gt;=$C8,DATE(2026,9,13)&lt;=$D8),IF(DATE(2026,9,13)&lt;$C8+ROUND($E8*($D8-$C8+1),0),"█","░"),""))</f>
        <v/>
      </c>
      <c r="J8" s="27">
        <f>IF($F8="Yes",IF(DATE(2026,9,14)=$C8,"◆",""),IF(AND(DATE(2026,9,14)&gt;=$C8,DATE(2026,9,14)&lt;=$D8),IF(DATE(2026,9,14)&lt;$C8+ROUND($E8*($D8-$C8+1),0),"█","░"),""))</f>
        <v/>
      </c>
      <c r="K8" s="27">
        <f>IF($F8="Yes",IF(DATE(2026,9,15)=$C8,"◆",""),IF(AND(DATE(2026,9,15)&gt;=$C8,DATE(2026,9,15)&lt;=$D8),IF(DATE(2026,9,15)&lt;$C8+ROUND($E8*($D8-$C8+1),0),"█","░"),""))</f>
        <v/>
      </c>
      <c r="L8" s="27">
        <f>IF($F8="Yes",IF(DATE(2026,9,16)=$C8,"◆",""),IF(AND(DATE(2026,9,16)&gt;=$C8,DATE(2026,9,16)&lt;=$D8),IF(DATE(2026,9,16)&lt;$C8+ROUND($E8*($D8-$C8+1),0),"█","░"),""))</f>
        <v/>
      </c>
      <c r="M8" s="27">
        <f>IF($F8="Yes",IF(DATE(2026,9,17)=$C8,"◆",""),IF(AND(DATE(2026,9,17)&gt;=$C8,DATE(2026,9,17)&lt;=$D8),IF(DATE(2026,9,17)&lt;$C8+ROUND($E8*($D8-$C8+1),0),"█","░"),""))</f>
        <v/>
      </c>
      <c r="N8" s="27">
        <f>IF($F8="Yes",IF(DATE(2026,9,18)=$C8,"◆",""),IF(AND(DATE(2026,9,18)&gt;=$C8,DATE(2026,9,18)&lt;=$D8),IF(DATE(2026,9,18)&lt;$C8+ROUND($E8*($D8-$C8+1),0),"█","░"),""))</f>
        <v/>
      </c>
      <c r="O8" s="28">
        <f>IF($F8="Yes",IF(DATE(2026,9,19)=$C8,"◆",""),IF(AND(DATE(2026,9,19)&gt;=$C8,DATE(2026,9,19)&lt;=$D8),IF(DATE(2026,9,19)&lt;$C8+ROUND($E8*($D8-$C8+1),0),"█","░"),""))</f>
        <v/>
      </c>
      <c r="P8" s="28">
        <f>IF($F8="Yes",IF(DATE(2026,9,20)=$C8,"◆",""),IF(AND(DATE(2026,9,20)&gt;=$C8,DATE(2026,9,20)&lt;=$D8),IF(DATE(2026,9,20)&lt;$C8+ROUND($E8*($D8-$C8+1),0),"█","░"),""))</f>
        <v/>
      </c>
      <c r="Q8" s="27">
        <f>IF($F8="Yes",IF(DATE(2026,9,21)=$C8,"◆",""),IF(AND(DATE(2026,9,21)&gt;=$C8,DATE(2026,9,21)&lt;=$D8),IF(DATE(2026,9,21)&lt;$C8+ROUND($E8*($D8-$C8+1),0),"█","░"),""))</f>
        <v/>
      </c>
      <c r="R8" s="27">
        <f>IF($F8="Yes",IF(DATE(2026,9,22)=$C8,"◆",""),IF(AND(DATE(2026,9,22)&gt;=$C8,DATE(2026,9,22)&lt;=$D8),IF(DATE(2026,9,22)&lt;$C8+ROUND($E8*($D8-$C8+1),0),"█","░"),""))</f>
        <v/>
      </c>
      <c r="S8" s="27">
        <f>IF($F8="Yes",IF(DATE(2026,9,23)=$C8,"◆",""),IF(AND(DATE(2026,9,23)&gt;=$C8,DATE(2026,9,23)&lt;=$D8),IF(DATE(2026,9,23)&lt;$C8+ROUND($E8*($D8-$C8+1),0),"█","░"),""))</f>
        <v/>
      </c>
      <c r="T8" s="27">
        <f>IF($F8="Yes",IF(DATE(2026,9,24)=$C8,"◆",""),IF(AND(DATE(2026,9,24)&gt;=$C8,DATE(2026,9,24)&lt;=$D8),IF(DATE(2026,9,24)&lt;$C8+ROUND($E8*($D8-$C8+1),0),"█","░"),""))</f>
        <v/>
      </c>
      <c r="U8" s="27">
        <f>IF($F8="Yes",IF(DATE(2026,9,25)=$C8,"◆",""),IF(AND(DATE(2026,9,25)&gt;=$C8,DATE(2026,9,25)&lt;=$D8),IF(DATE(2026,9,25)&lt;$C8+ROUND($E8*($D8-$C8+1),0),"█","░"),""))</f>
        <v/>
      </c>
      <c r="V8" s="28">
        <f>IF($F8="Yes",IF(DATE(2026,9,26)=$C8,"◆",""),IF(AND(DATE(2026,9,26)&gt;=$C8,DATE(2026,9,26)&lt;=$D8),IF(DATE(2026,9,26)&lt;$C8+ROUND($E8*($D8-$C8+1),0),"█","░"),""))</f>
        <v/>
      </c>
      <c r="W8" s="28">
        <f>IF($F8="Yes",IF(DATE(2026,9,27)=$C8,"◆",""),IF(AND(DATE(2026,9,27)&gt;=$C8,DATE(2026,9,27)&lt;=$D8),IF(DATE(2026,9,27)&lt;$C8+ROUND($E8*($D8-$C8+1),0),"█","░"),""))</f>
        <v/>
      </c>
      <c r="X8" s="27">
        <f>IF($F8="Yes",IF(DATE(2026,9,28)=$C8,"◆",""),IF(AND(DATE(2026,9,28)&gt;=$C8,DATE(2026,9,28)&lt;=$D8),IF(DATE(2026,9,28)&lt;$C8+ROUND($E8*($D8-$C8+1),0),"█","░"),""))</f>
        <v/>
      </c>
      <c r="Y8" s="27">
        <f>IF($F8="Yes",IF(DATE(2026,9,29)=$C8,"◆",""),IF(AND(DATE(2026,9,29)&gt;=$C8,DATE(2026,9,29)&lt;=$D8),IF(DATE(2026,9,29)&lt;$C8+ROUND($E8*($D8-$C8+1),0),"█","░"),""))</f>
        <v/>
      </c>
      <c r="Z8" s="27">
        <f>IF($F8="Yes",IF(DATE(2026,9,30)=$C8,"◆",""),IF(AND(DATE(2026,9,30)&gt;=$C8,DATE(2026,9,30)&lt;=$D8),IF(DATE(2026,9,30)&lt;$C8+ROUND($E8*($D8-$C8+1),0),"█","░"),""))</f>
        <v/>
      </c>
      <c r="AA8" s="27">
        <f>IF($F8="Yes",IF(DATE(2026,10,1)=$C8,"◆",""),IF(AND(DATE(2026,10,1)&gt;=$C8,DATE(2026,10,1)&lt;=$D8),IF(DATE(2026,10,1)&lt;$C8+ROUND($E8*($D8-$C8+1),0),"█","░"),""))</f>
        <v/>
      </c>
      <c r="AB8" s="27">
        <f>IF($F8="Yes",IF(DATE(2026,10,2)=$C8,"◆",""),IF(AND(DATE(2026,10,2)&gt;=$C8,DATE(2026,10,2)&lt;=$D8),IF(DATE(2026,10,2)&lt;$C8+ROUND($E8*($D8-$C8+1),0),"█","░"),""))</f>
        <v/>
      </c>
      <c r="AC8" s="28">
        <f>IF($F8="Yes",IF(DATE(2026,10,3)=$C8,"◆",""),IF(AND(DATE(2026,10,3)&gt;=$C8,DATE(2026,10,3)&lt;=$D8),IF(DATE(2026,10,3)&lt;$C8+ROUND($E8*($D8-$C8+1),0),"█","░"),""))</f>
        <v/>
      </c>
      <c r="AD8" s="28">
        <f>IF($F8="Yes",IF(DATE(2026,10,4)=$C8,"◆",""),IF(AND(DATE(2026,10,4)&gt;=$C8,DATE(2026,10,4)&lt;=$D8),IF(DATE(2026,10,4)&lt;$C8+ROUND($E8*($D8-$C8+1),0),"█","░"),""))</f>
        <v/>
      </c>
      <c r="AE8" s="27">
        <f>IF($F8="Yes",IF(DATE(2026,10,5)=$C8,"◆",""),IF(AND(DATE(2026,10,5)&gt;=$C8,DATE(2026,10,5)&lt;=$D8),IF(DATE(2026,10,5)&lt;$C8+ROUND($E8*($D8-$C8+1),0),"█","░"),""))</f>
        <v/>
      </c>
      <c r="AF8" s="27">
        <f>IF($F8="Yes",IF(DATE(2026,10,6)=$C8,"◆",""),IF(AND(DATE(2026,10,6)&gt;=$C8,DATE(2026,10,6)&lt;=$D8),IF(DATE(2026,10,6)&lt;$C8+ROUND($E8*($D8-$C8+1),0),"█","░"),""))</f>
        <v/>
      </c>
      <c r="AG8" s="27">
        <f>IF($F8="Yes",IF(DATE(2026,10,7)=$C8,"◆",""),IF(AND(DATE(2026,10,7)&gt;=$C8,DATE(2026,10,7)&lt;=$D8),IF(DATE(2026,10,7)&lt;$C8+ROUND($E8*($D8-$C8+1),0),"█","░"),""))</f>
        <v/>
      </c>
      <c r="AH8" s="27">
        <f>IF($F8="Yes",IF(DATE(2026,10,8)=$C8,"◆",""),IF(AND(DATE(2026,10,8)&gt;=$C8,DATE(2026,10,8)&lt;=$D8),IF(DATE(2026,10,8)&lt;$C8+ROUND($E8*($D8-$C8+1),0),"█","░"),""))</f>
        <v/>
      </c>
      <c r="AI8" s="27">
        <f>IF($F8="Yes",IF(DATE(2026,10,9)=$C8,"◆",""),IF(AND(DATE(2026,10,9)&gt;=$C8,DATE(2026,10,9)&lt;=$D8),IF(DATE(2026,10,9)&lt;$C8+ROUND($E8*($D8-$C8+1),0),"█","░"),""))</f>
        <v/>
      </c>
      <c r="AJ8" s="28">
        <f>IF($F8="Yes",IF(DATE(2026,10,10)=$C8,"◆",""),IF(AND(DATE(2026,10,10)&gt;=$C8,DATE(2026,10,10)&lt;=$D8),IF(DATE(2026,10,10)&lt;$C8+ROUND($E8*($D8-$C8+1),0),"█","░"),""))</f>
        <v/>
      </c>
      <c r="AK8" s="28">
        <f>IF($F8="Yes",IF(DATE(2026,10,11)=$C8,"◆",""),IF(AND(DATE(2026,10,11)&gt;=$C8,DATE(2026,10,11)&lt;=$D8),IF(DATE(2026,10,11)&lt;$C8+ROUND($E8*($D8-$C8+1),0),"█","░"),""))</f>
        <v/>
      </c>
      <c r="AL8" s="27">
        <f>IF($F8="Yes",IF(DATE(2026,10,12)=$C8,"◆",""),IF(AND(DATE(2026,10,12)&gt;=$C8,DATE(2026,10,12)&lt;=$D8),IF(DATE(2026,10,12)&lt;$C8+ROUND($E8*($D8-$C8+1),0),"█","░"),""))</f>
        <v/>
      </c>
      <c r="AM8" s="27">
        <f>IF($F8="Yes",IF(DATE(2026,10,13)=$C8,"◆",""),IF(AND(DATE(2026,10,13)&gt;=$C8,DATE(2026,10,13)&lt;=$D8),IF(DATE(2026,10,13)&lt;$C8+ROUND($E8*($D8-$C8+1),0),"█","░"),""))</f>
        <v/>
      </c>
      <c r="AN8" s="27">
        <f>IF($F8="Yes",IF(DATE(2026,10,14)=$C8,"◆",""),IF(AND(DATE(2026,10,14)&gt;=$C8,DATE(2026,10,14)&lt;=$D8),IF(DATE(2026,10,14)&lt;$C8+ROUND($E8*($D8-$C8+1),0),"█","░"),""))</f>
        <v/>
      </c>
    </row>
    <row r="9">
      <c r="A9" s="4">
        <f>'Project Tracker'!A8</f>
        <v/>
      </c>
      <c r="B9" s="5">
        <f>'Project Tracker'!C8</f>
        <v/>
      </c>
      <c r="C9" s="7">
        <f>'Project Tracker'!E8</f>
        <v/>
      </c>
      <c r="D9" s="7">
        <f>'Project Tracker'!F8</f>
        <v/>
      </c>
      <c r="E9" s="9">
        <f>'Project Tracker'!N8</f>
        <v/>
      </c>
      <c r="F9" s="4">
        <f>'Project Tracker'!J8</f>
        <v/>
      </c>
      <c r="G9" s="27">
        <f>IF($F9="Yes",IF(DATE(2026,9,11)=$C9,"◆",""),IF(AND(DATE(2026,9,11)&gt;=$C9,DATE(2026,9,11)&lt;=$D9),IF(DATE(2026,9,11)&lt;$C9+ROUND($E9*($D9-$C9+1),0),"█","░"),""))</f>
        <v/>
      </c>
      <c r="H9" s="28">
        <f>IF($F9="Yes",IF(DATE(2026,9,12)=$C9,"◆",""),IF(AND(DATE(2026,9,12)&gt;=$C9,DATE(2026,9,12)&lt;=$D9),IF(DATE(2026,9,12)&lt;$C9+ROUND($E9*($D9-$C9+1),0),"█","░"),""))</f>
        <v/>
      </c>
      <c r="I9" s="28">
        <f>IF($F9="Yes",IF(DATE(2026,9,13)=$C9,"◆",""),IF(AND(DATE(2026,9,13)&gt;=$C9,DATE(2026,9,13)&lt;=$D9),IF(DATE(2026,9,13)&lt;$C9+ROUND($E9*($D9-$C9+1),0),"█","░"),""))</f>
        <v/>
      </c>
      <c r="J9" s="27">
        <f>IF($F9="Yes",IF(DATE(2026,9,14)=$C9,"◆",""),IF(AND(DATE(2026,9,14)&gt;=$C9,DATE(2026,9,14)&lt;=$D9),IF(DATE(2026,9,14)&lt;$C9+ROUND($E9*($D9-$C9+1),0),"█","░"),""))</f>
        <v/>
      </c>
      <c r="K9" s="27">
        <f>IF($F9="Yes",IF(DATE(2026,9,15)=$C9,"◆",""),IF(AND(DATE(2026,9,15)&gt;=$C9,DATE(2026,9,15)&lt;=$D9),IF(DATE(2026,9,15)&lt;$C9+ROUND($E9*($D9-$C9+1),0),"█","░"),""))</f>
        <v/>
      </c>
      <c r="L9" s="27">
        <f>IF($F9="Yes",IF(DATE(2026,9,16)=$C9,"◆",""),IF(AND(DATE(2026,9,16)&gt;=$C9,DATE(2026,9,16)&lt;=$D9),IF(DATE(2026,9,16)&lt;$C9+ROUND($E9*($D9-$C9+1),0),"█","░"),""))</f>
        <v/>
      </c>
      <c r="M9" s="27">
        <f>IF($F9="Yes",IF(DATE(2026,9,17)=$C9,"◆",""),IF(AND(DATE(2026,9,17)&gt;=$C9,DATE(2026,9,17)&lt;=$D9),IF(DATE(2026,9,17)&lt;$C9+ROUND($E9*($D9-$C9+1),0),"█","░"),""))</f>
        <v/>
      </c>
      <c r="N9" s="27">
        <f>IF($F9="Yes",IF(DATE(2026,9,18)=$C9,"◆",""),IF(AND(DATE(2026,9,18)&gt;=$C9,DATE(2026,9,18)&lt;=$D9),IF(DATE(2026,9,18)&lt;$C9+ROUND($E9*($D9-$C9+1),0),"█","░"),""))</f>
        <v/>
      </c>
      <c r="O9" s="28">
        <f>IF($F9="Yes",IF(DATE(2026,9,19)=$C9,"◆",""),IF(AND(DATE(2026,9,19)&gt;=$C9,DATE(2026,9,19)&lt;=$D9),IF(DATE(2026,9,19)&lt;$C9+ROUND($E9*($D9-$C9+1),0),"█","░"),""))</f>
        <v/>
      </c>
      <c r="P9" s="28">
        <f>IF($F9="Yes",IF(DATE(2026,9,20)=$C9,"◆",""),IF(AND(DATE(2026,9,20)&gt;=$C9,DATE(2026,9,20)&lt;=$D9),IF(DATE(2026,9,20)&lt;$C9+ROUND($E9*($D9-$C9+1),0),"█","░"),""))</f>
        <v/>
      </c>
      <c r="Q9" s="27">
        <f>IF($F9="Yes",IF(DATE(2026,9,21)=$C9,"◆",""),IF(AND(DATE(2026,9,21)&gt;=$C9,DATE(2026,9,21)&lt;=$D9),IF(DATE(2026,9,21)&lt;$C9+ROUND($E9*($D9-$C9+1),0),"█","░"),""))</f>
        <v/>
      </c>
      <c r="R9" s="27">
        <f>IF($F9="Yes",IF(DATE(2026,9,22)=$C9,"◆",""),IF(AND(DATE(2026,9,22)&gt;=$C9,DATE(2026,9,22)&lt;=$D9),IF(DATE(2026,9,22)&lt;$C9+ROUND($E9*($D9-$C9+1),0),"█","░"),""))</f>
        <v/>
      </c>
      <c r="S9" s="27">
        <f>IF($F9="Yes",IF(DATE(2026,9,23)=$C9,"◆",""),IF(AND(DATE(2026,9,23)&gt;=$C9,DATE(2026,9,23)&lt;=$D9),IF(DATE(2026,9,23)&lt;$C9+ROUND($E9*($D9-$C9+1),0),"█","░"),""))</f>
        <v/>
      </c>
      <c r="T9" s="27">
        <f>IF($F9="Yes",IF(DATE(2026,9,24)=$C9,"◆",""),IF(AND(DATE(2026,9,24)&gt;=$C9,DATE(2026,9,24)&lt;=$D9),IF(DATE(2026,9,24)&lt;$C9+ROUND($E9*($D9-$C9+1),0),"█","░"),""))</f>
        <v/>
      </c>
      <c r="U9" s="27">
        <f>IF($F9="Yes",IF(DATE(2026,9,25)=$C9,"◆",""),IF(AND(DATE(2026,9,25)&gt;=$C9,DATE(2026,9,25)&lt;=$D9),IF(DATE(2026,9,25)&lt;$C9+ROUND($E9*($D9-$C9+1),0),"█","░"),""))</f>
        <v/>
      </c>
      <c r="V9" s="28">
        <f>IF($F9="Yes",IF(DATE(2026,9,26)=$C9,"◆",""),IF(AND(DATE(2026,9,26)&gt;=$C9,DATE(2026,9,26)&lt;=$D9),IF(DATE(2026,9,26)&lt;$C9+ROUND($E9*($D9-$C9+1),0),"█","░"),""))</f>
        <v/>
      </c>
      <c r="W9" s="28">
        <f>IF($F9="Yes",IF(DATE(2026,9,27)=$C9,"◆",""),IF(AND(DATE(2026,9,27)&gt;=$C9,DATE(2026,9,27)&lt;=$D9),IF(DATE(2026,9,27)&lt;$C9+ROUND($E9*($D9-$C9+1),0),"█","░"),""))</f>
        <v/>
      </c>
      <c r="X9" s="27">
        <f>IF($F9="Yes",IF(DATE(2026,9,28)=$C9,"◆",""),IF(AND(DATE(2026,9,28)&gt;=$C9,DATE(2026,9,28)&lt;=$D9),IF(DATE(2026,9,28)&lt;$C9+ROUND($E9*($D9-$C9+1),0),"█","░"),""))</f>
        <v/>
      </c>
      <c r="Y9" s="27">
        <f>IF($F9="Yes",IF(DATE(2026,9,29)=$C9,"◆",""),IF(AND(DATE(2026,9,29)&gt;=$C9,DATE(2026,9,29)&lt;=$D9),IF(DATE(2026,9,29)&lt;$C9+ROUND($E9*($D9-$C9+1),0),"█","░"),""))</f>
        <v/>
      </c>
      <c r="Z9" s="27">
        <f>IF($F9="Yes",IF(DATE(2026,9,30)=$C9,"◆",""),IF(AND(DATE(2026,9,30)&gt;=$C9,DATE(2026,9,30)&lt;=$D9),IF(DATE(2026,9,30)&lt;$C9+ROUND($E9*($D9-$C9+1),0),"█","░"),""))</f>
        <v/>
      </c>
      <c r="AA9" s="27">
        <f>IF($F9="Yes",IF(DATE(2026,10,1)=$C9,"◆",""),IF(AND(DATE(2026,10,1)&gt;=$C9,DATE(2026,10,1)&lt;=$D9),IF(DATE(2026,10,1)&lt;$C9+ROUND($E9*($D9-$C9+1),0),"█","░"),""))</f>
        <v/>
      </c>
      <c r="AB9" s="27">
        <f>IF($F9="Yes",IF(DATE(2026,10,2)=$C9,"◆",""),IF(AND(DATE(2026,10,2)&gt;=$C9,DATE(2026,10,2)&lt;=$D9),IF(DATE(2026,10,2)&lt;$C9+ROUND($E9*($D9-$C9+1),0),"█","░"),""))</f>
        <v/>
      </c>
      <c r="AC9" s="28">
        <f>IF($F9="Yes",IF(DATE(2026,10,3)=$C9,"◆",""),IF(AND(DATE(2026,10,3)&gt;=$C9,DATE(2026,10,3)&lt;=$D9),IF(DATE(2026,10,3)&lt;$C9+ROUND($E9*($D9-$C9+1),0),"█","░"),""))</f>
        <v/>
      </c>
      <c r="AD9" s="28">
        <f>IF($F9="Yes",IF(DATE(2026,10,4)=$C9,"◆",""),IF(AND(DATE(2026,10,4)&gt;=$C9,DATE(2026,10,4)&lt;=$D9),IF(DATE(2026,10,4)&lt;$C9+ROUND($E9*($D9-$C9+1),0),"█","░"),""))</f>
        <v/>
      </c>
      <c r="AE9" s="27">
        <f>IF($F9="Yes",IF(DATE(2026,10,5)=$C9,"◆",""),IF(AND(DATE(2026,10,5)&gt;=$C9,DATE(2026,10,5)&lt;=$D9),IF(DATE(2026,10,5)&lt;$C9+ROUND($E9*($D9-$C9+1),0),"█","░"),""))</f>
        <v/>
      </c>
      <c r="AF9" s="27">
        <f>IF($F9="Yes",IF(DATE(2026,10,6)=$C9,"◆",""),IF(AND(DATE(2026,10,6)&gt;=$C9,DATE(2026,10,6)&lt;=$D9),IF(DATE(2026,10,6)&lt;$C9+ROUND($E9*($D9-$C9+1),0),"█","░"),""))</f>
        <v/>
      </c>
      <c r="AG9" s="27">
        <f>IF($F9="Yes",IF(DATE(2026,10,7)=$C9,"◆",""),IF(AND(DATE(2026,10,7)&gt;=$C9,DATE(2026,10,7)&lt;=$D9),IF(DATE(2026,10,7)&lt;$C9+ROUND($E9*($D9-$C9+1),0),"█","░"),""))</f>
        <v/>
      </c>
      <c r="AH9" s="27">
        <f>IF($F9="Yes",IF(DATE(2026,10,8)=$C9,"◆",""),IF(AND(DATE(2026,10,8)&gt;=$C9,DATE(2026,10,8)&lt;=$D9),IF(DATE(2026,10,8)&lt;$C9+ROUND($E9*($D9-$C9+1),0),"█","░"),""))</f>
        <v/>
      </c>
      <c r="AI9" s="27">
        <f>IF($F9="Yes",IF(DATE(2026,10,9)=$C9,"◆",""),IF(AND(DATE(2026,10,9)&gt;=$C9,DATE(2026,10,9)&lt;=$D9),IF(DATE(2026,10,9)&lt;$C9+ROUND($E9*($D9-$C9+1),0),"█","░"),""))</f>
        <v/>
      </c>
      <c r="AJ9" s="28">
        <f>IF($F9="Yes",IF(DATE(2026,10,10)=$C9,"◆",""),IF(AND(DATE(2026,10,10)&gt;=$C9,DATE(2026,10,10)&lt;=$D9),IF(DATE(2026,10,10)&lt;$C9+ROUND($E9*($D9-$C9+1),0),"█","░"),""))</f>
        <v/>
      </c>
      <c r="AK9" s="28">
        <f>IF($F9="Yes",IF(DATE(2026,10,11)=$C9,"◆",""),IF(AND(DATE(2026,10,11)&gt;=$C9,DATE(2026,10,11)&lt;=$D9),IF(DATE(2026,10,11)&lt;$C9+ROUND($E9*($D9-$C9+1),0),"█","░"),""))</f>
        <v/>
      </c>
      <c r="AL9" s="27">
        <f>IF($F9="Yes",IF(DATE(2026,10,12)=$C9,"◆",""),IF(AND(DATE(2026,10,12)&gt;=$C9,DATE(2026,10,12)&lt;=$D9),IF(DATE(2026,10,12)&lt;$C9+ROUND($E9*($D9-$C9+1),0),"█","░"),""))</f>
        <v/>
      </c>
      <c r="AM9" s="27">
        <f>IF($F9="Yes",IF(DATE(2026,10,13)=$C9,"◆",""),IF(AND(DATE(2026,10,13)&gt;=$C9,DATE(2026,10,13)&lt;=$D9),IF(DATE(2026,10,13)&lt;$C9+ROUND($E9*($D9-$C9+1),0),"█","░"),""))</f>
        <v/>
      </c>
      <c r="AN9" s="27">
        <f>IF($F9="Yes",IF(DATE(2026,10,14)=$C9,"◆",""),IF(AND(DATE(2026,10,14)&gt;=$C9,DATE(2026,10,14)&lt;=$D9),IF(DATE(2026,10,14)&lt;$C9+ROUND($E9*($D9-$C9+1),0),"█","░"),""))</f>
        <v/>
      </c>
    </row>
    <row r="10">
      <c r="A10" s="4">
        <f>'Project Tracker'!A9</f>
        <v/>
      </c>
      <c r="B10" s="5">
        <f>'Project Tracker'!C9</f>
        <v/>
      </c>
      <c r="C10" s="7">
        <f>'Project Tracker'!E9</f>
        <v/>
      </c>
      <c r="D10" s="7">
        <f>'Project Tracker'!F9</f>
        <v/>
      </c>
      <c r="E10" s="9">
        <f>'Project Tracker'!N9</f>
        <v/>
      </c>
      <c r="F10" s="4">
        <f>'Project Tracker'!J9</f>
        <v/>
      </c>
      <c r="G10" s="27">
        <f>IF($F10="Yes",IF(DATE(2026,9,11)=$C10,"◆",""),IF(AND(DATE(2026,9,11)&gt;=$C10,DATE(2026,9,11)&lt;=$D10),IF(DATE(2026,9,11)&lt;$C10+ROUND($E10*($D10-$C10+1),0),"█","░"),""))</f>
        <v/>
      </c>
      <c r="H10" s="28">
        <f>IF($F10="Yes",IF(DATE(2026,9,12)=$C10,"◆",""),IF(AND(DATE(2026,9,12)&gt;=$C10,DATE(2026,9,12)&lt;=$D10),IF(DATE(2026,9,12)&lt;$C10+ROUND($E10*($D10-$C10+1),0),"█","░"),""))</f>
        <v/>
      </c>
      <c r="I10" s="28">
        <f>IF($F10="Yes",IF(DATE(2026,9,13)=$C10,"◆",""),IF(AND(DATE(2026,9,13)&gt;=$C10,DATE(2026,9,13)&lt;=$D10),IF(DATE(2026,9,13)&lt;$C10+ROUND($E10*($D10-$C10+1),0),"█","░"),""))</f>
        <v/>
      </c>
      <c r="J10" s="27">
        <f>IF($F10="Yes",IF(DATE(2026,9,14)=$C10,"◆",""),IF(AND(DATE(2026,9,14)&gt;=$C10,DATE(2026,9,14)&lt;=$D10),IF(DATE(2026,9,14)&lt;$C10+ROUND($E10*($D10-$C10+1),0),"█","░"),""))</f>
        <v/>
      </c>
      <c r="K10" s="27">
        <f>IF($F10="Yes",IF(DATE(2026,9,15)=$C10,"◆",""),IF(AND(DATE(2026,9,15)&gt;=$C10,DATE(2026,9,15)&lt;=$D10),IF(DATE(2026,9,15)&lt;$C10+ROUND($E10*($D10-$C10+1),0),"█","░"),""))</f>
        <v/>
      </c>
      <c r="L10" s="27">
        <f>IF($F10="Yes",IF(DATE(2026,9,16)=$C10,"◆",""),IF(AND(DATE(2026,9,16)&gt;=$C10,DATE(2026,9,16)&lt;=$D10),IF(DATE(2026,9,16)&lt;$C10+ROUND($E10*($D10-$C10+1),0),"█","░"),""))</f>
        <v/>
      </c>
      <c r="M10" s="27">
        <f>IF($F10="Yes",IF(DATE(2026,9,17)=$C10,"◆",""),IF(AND(DATE(2026,9,17)&gt;=$C10,DATE(2026,9,17)&lt;=$D10),IF(DATE(2026,9,17)&lt;$C10+ROUND($E10*($D10-$C10+1),0),"█","░"),""))</f>
        <v/>
      </c>
      <c r="N10" s="27">
        <f>IF($F10="Yes",IF(DATE(2026,9,18)=$C10,"◆",""),IF(AND(DATE(2026,9,18)&gt;=$C10,DATE(2026,9,18)&lt;=$D10),IF(DATE(2026,9,18)&lt;$C10+ROUND($E10*($D10-$C10+1),0),"█","░"),""))</f>
        <v/>
      </c>
      <c r="O10" s="28">
        <f>IF($F10="Yes",IF(DATE(2026,9,19)=$C10,"◆",""),IF(AND(DATE(2026,9,19)&gt;=$C10,DATE(2026,9,19)&lt;=$D10),IF(DATE(2026,9,19)&lt;$C10+ROUND($E10*($D10-$C10+1),0),"█","░"),""))</f>
        <v/>
      </c>
      <c r="P10" s="28">
        <f>IF($F10="Yes",IF(DATE(2026,9,20)=$C10,"◆",""),IF(AND(DATE(2026,9,20)&gt;=$C10,DATE(2026,9,20)&lt;=$D10),IF(DATE(2026,9,20)&lt;$C10+ROUND($E10*($D10-$C10+1),0),"█","░"),""))</f>
        <v/>
      </c>
      <c r="Q10" s="27">
        <f>IF($F10="Yes",IF(DATE(2026,9,21)=$C10,"◆",""),IF(AND(DATE(2026,9,21)&gt;=$C10,DATE(2026,9,21)&lt;=$D10),IF(DATE(2026,9,21)&lt;$C10+ROUND($E10*($D10-$C10+1),0),"█","░"),""))</f>
        <v/>
      </c>
      <c r="R10" s="27">
        <f>IF($F10="Yes",IF(DATE(2026,9,22)=$C10,"◆",""),IF(AND(DATE(2026,9,22)&gt;=$C10,DATE(2026,9,22)&lt;=$D10),IF(DATE(2026,9,22)&lt;$C10+ROUND($E10*($D10-$C10+1),0),"█","░"),""))</f>
        <v/>
      </c>
      <c r="S10" s="27">
        <f>IF($F10="Yes",IF(DATE(2026,9,23)=$C10,"◆",""),IF(AND(DATE(2026,9,23)&gt;=$C10,DATE(2026,9,23)&lt;=$D10),IF(DATE(2026,9,23)&lt;$C10+ROUND($E10*($D10-$C10+1),0),"█","░"),""))</f>
        <v/>
      </c>
      <c r="T10" s="27">
        <f>IF($F10="Yes",IF(DATE(2026,9,24)=$C10,"◆",""),IF(AND(DATE(2026,9,24)&gt;=$C10,DATE(2026,9,24)&lt;=$D10),IF(DATE(2026,9,24)&lt;$C10+ROUND($E10*($D10-$C10+1),0),"█","░"),""))</f>
        <v/>
      </c>
      <c r="U10" s="27">
        <f>IF($F10="Yes",IF(DATE(2026,9,25)=$C10,"◆",""),IF(AND(DATE(2026,9,25)&gt;=$C10,DATE(2026,9,25)&lt;=$D10),IF(DATE(2026,9,25)&lt;$C10+ROUND($E10*($D10-$C10+1),0),"█","░"),""))</f>
        <v/>
      </c>
      <c r="V10" s="28">
        <f>IF($F10="Yes",IF(DATE(2026,9,26)=$C10,"◆",""),IF(AND(DATE(2026,9,26)&gt;=$C10,DATE(2026,9,26)&lt;=$D10),IF(DATE(2026,9,26)&lt;$C10+ROUND($E10*($D10-$C10+1),0),"█","░"),""))</f>
        <v/>
      </c>
      <c r="W10" s="28">
        <f>IF($F10="Yes",IF(DATE(2026,9,27)=$C10,"◆",""),IF(AND(DATE(2026,9,27)&gt;=$C10,DATE(2026,9,27)&lt;=$D10),IF(DATE(2026,9,27)&lt;$C10+ROUND($E10*($D10-$C10+1),0),"█","░"),""))</f>
        <v/>
      </c>
      <c r="X10" s="27">
        <f>IF($F10="Yes",IF(DATE(2026,9,28)=$C10,"◆",""),IF(AND(DATE(2026,9,28)&gt;=$C10,DATE(2026,9,28)&lt;=$D10),IF(DATE(2026,9,28)&lt;$C10+ROUND($E10*($D10-$C10+1),0),"█","░"),""))</f>
        <v/>
      </c>
      <c r="Y10" s="27">
        <f>IF($F10="Yes",IF(DATE(2026,9,29)=$C10,"◆",""),IF(AND(DATE(2026,9,29)&gt;=$C10,DATE(2026,9,29)&lt;=$D10),IF(DATE(2026,9,29)&lt;$C10+ROUND($E10*($D10-$C10+1),0),"█","░"),""))</f>
        <v/>
      </c>
      <c r="Z10" s="27">
        <f>IF($F10="Yes",IF(DATE(2026,9,30)=$C10,"◆",""),IF(AND(DATE(2026,9,30)&gt;=$C10,DATE(2026,9,30)&lt;=$D10),IF(DATE(2026,9,30)&lt;$C10+ROUND($E10*($D10-$C10+1),0),"█","░"),""))</f>
        <v/>
      </c>
      <c r="AA10" s="27">
        <f>IF($F10="Yes",IF(DATE(2026,10,1)=$C10,"◆",""),IF(AND(DATE(2026,10,1)&gt;=$C10,DATE(2026,10,1)&lt;=$D10),IF(DATE(2026,10,1)&lt;$C10+ROUND($E10*($D10-$C10+1),0),"█","░"),""))</f>
        <v/>
      </c>
      <c r="AB10" s="27">
        <f>IF($F10="Yes",IF(DATE(2026,10,2)=$C10,"◆",""),IF(AND(DATE(2026,10,2)&gt;=$C10,DATE(2026,10,2)&lt;=$D10),IF(DATE(2026,10,2)&lt;$C10+ROUND($E10*($D10-$C10+1),0),"█","░"),""))</f>
        <v/>
      </c>
      <c r="AC10" s="28">
        <f>IF($F10="Yes",IF(DATE(2026,10,3)=$C10,"◆",""),IF(AND(DATE(2026,10,3)&gt;=$C10,DATE(2026,10,3)&lt;=$D10),IF(DATE(2026,10,3)&lt;$C10+ROUND($E10*($D10-$C10+1),0),"█","░"),""))</f>
        <v/>
      </c>
      <c r="AD10" s="28">
        <f>IF($F10="Yes",IF(DATE(2026,10,4)=$C10,"◆",""),IF(AND(DATE(2026,10,4)&gt;=$C10,DATE(2026,10,4)&lt;=$D10),IF(DATE(2026,10,4)&lt;$C10+ROUND($E10*($D10-$C10+1),0),"█","░"),""))</f>
        <v/>
      </c>
      <c r="AE10" s="27">
        <f>IF($F10="Yes",IF(DATE(2026,10,5)=$C10,"◆",""),IF(AND(DATE(2026,10,5)&gt;=$C10,DATE(2026,10,5)&lt;=$D10),IF(DATE(2026,10,5)&lt;$C10+ROUND($E10*($D10-$C10+1),0),"█","░"),""))</f>
        <v/>
      </c>
      <c r="AF10" s="27">
        <f>IF($F10="Yes",IF(DATE(2026,10,6)=$C10,"◆",""),IF(AND(DATE(2026,10,6)&gt;=$C10,DATE(2026,10,6)&lt;=$D10),IF(DATE(2026,10,6)&lt;$C10+ROUND($E10*($D10-$C10+1),0),"█","░"),""))</f>
        <v/>
      </c>
      <c r="AG10" s="27">
        <f>IF($F10="Yes",IF(DATE(2026,10,7)=$C10,"◆",""),IF(AND(DATE(2026,10,7)&gt;=$C10,DATE(2026,10,7)&lt;=$D10),IF(DATE(2026,10,7)&lt;$C10+ROUND($E10*($D10-$C10+1),0),"█","░"),""))</f>
        <v/>
      </c>
      <c r="AH10" s="27">
        <f>IF($F10="Yes",IF(DATE(2026,10,8)=$C10,"◆",""),IF(AND(DATE(2026,10,8)&gt;=$C10,DATE(2026,10,8)&lt;=$D10),IF(DATE(2026,10,8)&lt;$C10+ROUND($E10*($D10-$C10+1),0),"█","░"),""))</f>
        <v/>
      </c>
      <c r="AI10" s="27">
        <f>IF($F10="Yes",IF(DATE(2026,10,9)=$C10,"◆",""),IF(AND(DATE(2026,10,9)&gt;=$C10,DATE(2026,10,9)&lt;=$D10),IF(DATE(2026,10,9)&lt;$C10+ROUND($E10*($D10-$C10+1),0),"█","░"),""))</f>
        <v/>
      </c>
      <c r="AJ10" s="28">
        <f>IF($F10="Yes",IF(DATE(2026,10,10)=$C10,"◆",""),IF(AND(DATE(2026,10,10)&gt;=$C10,DATE(2026,10,10)&lt;=$D10),IF(DATE(2026,10,10)&lt;$C10+ROUND($E10*($D10-$C10+1),0),"█","░"),""))</f>
        <v/>
      </c>
      <c r="AK10" s="28">
        <f>IF($F10="Yes",IF(DATE(2026,10,11)=$C10,"◆",""),IF(AND(DATE(2026,10,11)&gt;=$C10,DATE(2026,10,11)&lt;=$D10),IF(DATE(2026,10,11)&lt;$C10+ROUND($E10*($D10-$C10+1),0),"█","░"),""))</f>
        <v/>
      </c>
      <c r="AL10" s="27">
        <f>IF($F10="Yes",IF(DATE(2026,10,12)=$C10,"◆",""),IF(AND(DATE(2026,10,12)&gt;=$C10,DATE(2026,10,12)&lt;=$D10),IF(DATE(2026,10,12)&lt;$C10+ROUND($E10*($D10-$C10+1),0),"█","░"),""))</f>
        <v/>
      </c>
      <c r="AM10" s="27">
        <f>IF($F10="Yes",IF(DATE(2026,10,13)=$C10,"◆",""),IF(AND(DATE(2026,10,13)&gt;=$C10,DATE(2026,10,13)&lt;=$D10),IF(DATE(2026,10,13)&lt;$C10+ROUND($E10*($D10-$C10+1),0),"█","░"),""))</f>
        <v/>
      </c>
      <c r="AN10" s="27">
        <f>IF($F10="Yes",IF(DATE(2026,10,14)=$C10,"◆",""),IF(AND(DATE(2026,10,14)&gt;=$C10,DATE(2026,10,14)&lt;=$D10),IF(DATE(2026,10,14)&lt;$C10+ROUND($E10*($D10-$C10+1),0),"█","░"),""))</f>
        <v/>
      </c>
    </row>
    <row r="11">
      <c r="A11" s="4">
        <f>'Project Tracker'!A10</f>
        <v/>
      </c>
      <c r="B11" s="5">
        <f>'Project Tracker'!C10</f>
        <v/>
      </c>
      <c r="C11" s="7">
        <f>'Project Tracker'!E10</f>
        <v/>
      </c>
      <c r="D11" s="7">
        <f>'Project Tracker'!F10</f>
        <v/>
      </c>
      <c r="E11" s="9">
        <f>'Project Tracker'!N10</f>
        <v/>
      </c>
      <c r="F11" s="4">
        <f>'Project Tracker'!J10</f>
        <v/>
      </c>
      <c r="G11" s="27">
        <f>IF($F11="Yes",IF(DATE(2026,9,11)=$C11,"◆",""),IF(AND(DATE(2026,9,11)&gt;=$C11,DATE(2026,9,11)&lt;=$D11),IF(DATE(2026,9,11)&lt;$C11+ROUND($E11*($D11-$C11+1),0),"█","░"),""))</f>
        <v/>
      </c>
      <c r="H11" s="28">
        <f>IF($F11="Yes",IF(DATE(2026,9,12)=$C11,"◆",""),IF(AND(DATE(2026,9,12)&gt;=$C11,DATE(2026,9,12)&lt;=$D11),IF(DATE(2026,9,12)&lt;$C11+ROUND($E11*($D11-$C11+1),0),"█","░"),""))</f>
        <v/>
      </c>
      <c r="I11" s="28">
        <f>IF($F11="Yes",IF(DATE(2026,9,13)=$C11,"◆",""),IF(AND(DATE(2026,9,13)&gt;=$C11,DATE(2026,9,13)&lt;=$D11),IF(DATE(2026,9,13)&lt;$C11+ROUND($E11*($D11-$C11+1),0),"█","░"),""))</f>
        <v/>
      </c>
      <c r="J11" s="27">
        <f>IF($F11="Yes",IF(DATE(2026,9,14)=$C11,"◆",""),IF(AND(DATE(2026,9,14)&gt;=$C11,DATE(2026,9,14)&lt;=$D11),IF(DATE(2026,9,14)&lt;$C11+ROUND($E11*($D11-$C11+1),0),"█","░"),""))</f>
        <v/>
      </c>
      <c r="K11" s="27">
        <f>IF($F11="Yes",IF(DATE(2026,9,15)=$C11,"◆",""),IF(AND(DATE(2026,9,15)&gt;=$C11,DATE(2026,9,15)&lt;=$D11),IF(DATE(2026,9,15)&lt;$C11+ROUND($E11*($D11-$C11+1),0),"█","░"),""))</f>
        <v/>
      </c>
      <c r="L11" s="27">
        <f>IF($F11="Yes",IF(DATE(2026,9,16)=$C11,"◆",""),IF(AND(DATE(2026,9,16)&gt;=$C11,DATE(2026,9,16)&lt;=$D11),IF(DATE(2026,9,16)&lt;$C11+ROUND($E11*($D11-$C11+1),0),"█","░"),""))</f>
        <v/>
      </c>
      <c r="M11" s="27">
        <f>IF($F11="Yes",IF(DATE(2026,9,17)=$C11,"◆",""),IF(AND(DATE(2026,9,17)&gt;=$C11,DATE(2026,9,17)&lt;=$D11),IF(DATE(2026,9,17)&lt;$C11+ROUND($E11*($D11-$C11+1),0),"█","░"),""))</f>
        <v/>
      </c>
      <c r="N11" s="27">
        <f>IF($F11="Yes",IF(DATE(2026,9,18)=$C11,"◆",""),IF(AND(DATE(2026,9,18)&gt;=$C11,DATE(2026,9,18)&lt;=$D11),IF(DATE(2026,9,18)&lt;$C11+ROUND($E11*($D11-$C11+1),0),"█","░"),""))</f>
        <v/>
      </c>
      <c r="O11" s="28">
        <f>IF($F11="Yes",IF(DATE(2026,9,19)=$C11,"◆",""),IF(AND(DATE(2026,9,19)&gt;=$C11,DATE(2026,9,19)&lt;=$D11),IF(DATE(2026,9,19)&lt;$C11+ROUND($E11*($D11-$C11+1),0),"█","░"),""))</f>
        <v/>
      </c>
      <c r="P11" s="28">
        <f>IF($F11="Yes",IF(DATE(2026,9,20)=$C11,"◆",""),IF(AND(DATE(2026,9,20)&gt;=$C11,DATE(2026,9,20)&lt;=$D11),IF(DATE(2026,9,20)&lt;$C11+ROUND($E11*($D11-$C11+1),0),"█","░"),""))</f>
        <v/>
      </c>
      <c r="Q11" s="27">
        <f>IF($F11="Yes",IF(DATE(2026,9,21)=$C11,"◆",""),IF(AND(DATE(2026,9,21)&gt;=$C11,DATE(2026,9,21)&lt;=$D11),IF(DATE(2026,9,21)&lt;$C11+ROUND($E11*($D11-$C11+1),0),"█","░"),""))</f>
        <v/>
      </c>
      <c r="R11" s="27">
        <f>IF($F11="Yes",IF(DATE(2026,9,22)=$C11,"◆",""),IF(AND(DATE(2026,9,22)&gt;=$C11,DATE(2026,9,22)&lt;=$D11),IF(DATE(2026,9,22)&lt;$C11+ROUND($E11*($D11-$C11+1),0),"█","░"),""))</f>
        <v/>
      </c>
      <c r="S11" s="27">
        <f>IF($F11="Yes",IF(DATE(2026,9,23)=$C11,"◆",""),IF(AND(DATE(2026,9,23)&gt;=$C11,DATE(2026,9,23)&lt;=$D11),IF(DATE(2026,9,23)&lt;$C11+ROUND($E11*($D11-$C11+1),0),"█","░"),""))</f>
        <v/>
      </c>
      <c r="T11" s="27">
        <f>IF($F11="Yes",IF(DATE(2026,9,24)=$C11,"◆",""),IF(AND(DATE(2026,9,24)&gt;=$C11,DATE(2026,9,24)&lt;=$D11),IF(DATE(2026,9,24)&lt;$C11+ROUND($E11*($D11-$C11+1),0),"█","░"),""))</f>
        <v/>
      </c>
      <c r="U11" s="27">
        <f>IF($F11="Yes",IF(DATE(2026,9,25)=$C11,"◆",""),IF(AND(DATE(2026,9,25)&gt;=$C11,DATE(2026,9,25)&lt;=$D11),IF(DATE(2026,9,25)&lt;$C11+ROUND($E11*($D11-$C11+1),0),"█","░"),""))</f>
        <v/>
      </c>
      <c r="V11" s="28">
        <f>IF($F11="Yes",IF(DATE(2026,9,26)=$C11,"◆",""),IF(AND(DATE(2026,9,26)&gt;=$C11,DATE(2026,9,26)&lt;=$D11),IF(DATE(2026,9,26)&lt;$C11+ROUND($E11*($D11-$C11+1),0),"█","░"),""))</f>
        <v/>
      </c>
      <c r="W11" s="28">
        <f>IF($F11="Yes",IF(DATE(2026,9,27)=$C11,"◆",""),IF(AND(DATE(2026,9,27)&gt;=$C11,DATE(2026,9,27)&lt;=$D11),IF(DATE(2026,9,27)&lt;$C11+ROUND($E11*($D11-$C11+1),0),"█","░"),""))</f>
        <v/>
      </c>
      <c r="X11" s="27">
        <f>IF($F11="Yes",IF(DATE(2026,9,28)=$C11,"◆",""),IF(AND(DATE(2026,9,28)&gt;=$C11,DATE(2026,9,28)&lt;=$D11),IF(DATE(2026,9,28)&lt;$C11+ROUND($E11*($D11-$C11+1),0),"█","░"),""))</f>
        <v/>
      </c>
      <c r="Y11" s="27">
        <f>IF($F11="Yes",IF(DATE(2026,9,29)=$C11,"◆",""),IF(AND(DATE(2026,9,29)&gt;=$C11,DATE(2026,9,29)&lt;=$D11),IF(DATE(2026,9,29)&lt;$C11+ROUND($E11*($D11-$C11+1),0),"█","░"),""))</f>
        <v/>
      </c>
      <c r="Z11" s="27">
        <f>IF($F11="Yes",IF(DATE(2026,9,30)=$C11,"◆",""),IF(AND(DATE(2026,9,30)&gt;=$C11,DATE(2026,9,30)&lt;=$D11),IF(DATE(2026,9,30)&lt;$C11+ROUND($E11*($D11-$C11+1),0),"█","░"),""))</f>
        <v/>
      </c>
      <c r="AA11" s="27">
        <f>IF($F11="Yes",IF(DATE(2026,10,1)=$C11,"◆",""),IF(AND(DATE(2026,10,1)&gt;=$C11,DATE(2026,10,1)&lt;=$D11),IF(DATE(2026,10,1)&lt;$C11+ROUND($E11*($D11-$C11+1),0),"█","░"),""))</f>
        <v/>
      </c>
      <c r="AB11" s="27">
        <f>IF($F11="Yes",IF(DATE(2026,10,2)=$C11,"◆",""),IF(AND(DATE(2026,10,2)&gt;=$C11,DATE(2026,10,2)&lt;=$D11),IF(DATE(2026,10,2)&lt;$C11+ROUND($E11*($D11-$C11+1),0),"█","░"),""))</f>
        <v/>
      </c>
      <c r="AC11" s="28">
        <f>IF($F11="Yes",IF(DATE(2026,10,3)=$C11,"◆",""),IF(AND(DATE(2026,10,3)&gt;=$C11,DATE(2026,10,3)&lt;=$D11),IF(DATE(2026,10,3)&lt;$C11+ROUND($E11*($D11-$C11+1),0),"█","░"),""))</f>
        <v/>
      </c>
      <c r="AD11" s="28">
        <f>IF($F11="Yes",IF(DATE(2026,10,4)=$C11,"◆",""),IF(AND(DATE(2026,10,4)&gt;=$C11,DATE(2026,10,4)&lt;=$D11),IF(DATE(2026,10,4)&lt;$C11+ROUND($E11*($D11-$C11+1),0),"█","░"),""))</f>
        <v/>
      </c>
      <c r="AE11" s="27">
        <f>IF($F11="Yes",IF(DATE(2026,10,5)=$C11,"◆",""),IF(AND(DATE(2026,10,5)&gt;=$C11,DATE(2026,10,5)&lt;=$D11),IF(DATE(2026,10,5)&lt;$C11+ROUND($E11*($D11-$C11+1),0),"█","░"),""))</f>
        <v/>
      </c>
      <c r="AF11" s="27">
        <f>IF($F11="Yes",IF(DATE(2026,10,6)=$C11,"◆",""),IF(AND(DATE(2026,10,6)&gt;=$C11,DATE(2026,10,6)&lt;=$D11),IF(DATE(2026,10,6)&lt;$C11+ROUND($E11*($D11-$C11+1),0),"█","░"),""))</f>
        <v/>
      </c>
      <c r="AG11" s="27">
        <f>IF($F11="Yes",IF(DATE(2026,10,7)=$C11,"◆",""),IF(AND(DATE(2026,10,7)&gt;=$C11,DATE(2026,10,7)&lt;=$D11),IF(DATE(2026,10,7)&lt;$C11+ROUND($E11*($D11-$C11+1),0),"█","░"),""))</f>
        <v/>
      </c>
      <c r="AH11" s="27">
        <f>IF($F11="Yes",IF(DATE(2026,10,8)=$C11,"◆",""),IF(AND(DATE(2026,10,8)&gt;=$C11,DATE(2026,10,8)&lt;=$D11),IF(DATE(2026,10,8)&lt;$C11+ROUND($E11*($D11-$C11+1),0),"█","░"),""))</f>
        <v/>
      </c>
      <c r="AI11" s="27">
        <f>IF($F11="Yes",IF(DATE(2026,10,9)=$C11,"◆",""),IF(AND(DATE(2026,10,9)&gt;=$C11,DATE(2026,10,9)&lt;=$D11),IF(DATE(2026,10,9)&lt;$C11+ROUND($E11*($D11-$C11+1),0),"█","░"),""))</f>
        <v/>
      </c>
      <c r="AJ11" s="28">
        <f>IF($F11="Yes",IF(DATE(2026,10,10)=$C11,"◆",""),IF(AND(DATE(2026,10,10)&gt;=$C11,DATE(2026,10,10)&lt;=$D11),IF(DATE(2026,10,10)&lt;$C11+ROUND($E11*($D11-$C11+1),0),"█","░"),""))</f>
        <v/>
      </c>
      <c r="AK11" s="28">
        <f>IF($F11="Yes",IF(DATE(2026,10,11)=$C11,"◆",""),IF(AND(DATE(2026,10,11)&gt;=$C11,DATE(2026,10,11)&lt;=$D11),IF(DATE(2026,10,11)&lt;$C11+ROUND($E11*($D11-$C11+1),0),"█","░"),""))</f>
        <v/>
      </c>
      <c r="AL11" s="27">
        <f>IF($F11="Yes",IF(DATE(2026,10,12)=$C11,"◆",""),IF(AND(DATE(2026,10,12)&gt;=$C11,DATE(2026,10,12)&lt;=$D11),IF(DATE(2026,10,12)&lt;$C11+ROUND($E11*($D11-$C11+1),0),"█","░"),""))</f>
        <v/>
      </c>
      <c r="AM11" s="27">
        <f>IF($F11="Yes",IF(DATE(2026,10,13)=$C11,"◆",""),IF(AND(DATE(2026,10,13)&gt;=$C11,DATE(2026,10,13)&lt;=$D11),IF(DATE(2026,10,13)&lt;$C11+ROUND($E11*($D11-$C11+1),0),"█","░"),""))</f>
        <v/>
      </c>
      <c r="AN11" s="27">
        <f>IF($F11="Yes",IF(DATE(2026,10,14)=$C11,"◆",""),IF(AND(DATE(2026,10,14)&gt;=$C11,DATE(2026,10,14)&lt;=$D11),IF(DATE(2026,10,14)&lt;$C11+ROUND($E11*($D11-$C11+1),0),"█","░"),""))</f>
        <v/>
      </c>
    </row>
    <row r="12">
      <c r="A12" s="4">
        <f>'Project Tracker'!A11</f>
        <v/>
      </c>
      <c r="B12" s="5">
        <f>'Project Tracker'!C11</f>
        <v/>
      </c>
      <c r="C12" s="7">
        <f>'Project Tracker'!E11</f>
        <v/>
      </c>
      <c r="D12" s="7">
        <f>'Project Tracker'!F11</f>
        <v/>
      </c>
      <c r="E12" s="9">
        <f>'Project Tracker'!N11</f>
        <v/>
      </c>
      <c r="F12" s="4">
        <f>'Project Tracker'!J11</f>
        <v/>
      </c>
      <c r="G12" s="27">
        <f>IF($F12="Yes",IF(DATE(2026,9,11)=$C12,"◆",""),IF(AND(DATE(2026,9,11)&gt;=$C12,DATE(2026,9,11)&lt;=$D12),IF(DATE(2026,9,11)&lt;$C12+ROUND($E12*($D12-$C12+1),0),"█","░"),""))</f>
        <v/>
      </c>
      <c r="H12" s="28">
        <f>IF($F12="Yes",IF(DATE(2026,9,12)=$C12,"◆",""),IF(AND(DATE(2026,9,12)&gt;=$C12,DATE(2026,9,12)&lt;=$D12),IF(DATE(2026,9,12)&lt;$C12+ROUND($E12*($D12-$C12+1),0),"█","░"),""))</f>
        <v/>
      </c>
      <c r="I12" s="28">
        <f>IF($F12="Yes",IF(DATE(2026,9,13)=$C12,"◆",""),IF(AND(DATE(2026,9,13)&gt;=$C12,DATE(2026,9,13)&lt;=$D12),IF(DATE(2026,9,13)&lt;$C12+ROUND($E12*($D12-$C12+1),0),"█","░"),""))</f>
        <v/>
      </c>
      <c r="J12" s="27">
        <f>IF($F12="Yes",IF(DATE(2026,9,14)=$C12,"◆",""),IF(AND(DATE(2026,9,14)&gt;=$C12,DATE(2026,9,14)&lt;=$D12),IF(DATE(2026,9,14)&lt;$C12+ROUND($E12*($D12-$C12+1),0),"█","░"),""))</f>
        <v/>
      </c>
      <c r="K12" s="27">
        <f>IF($F12="Yes",IF(DATE(2026,9,15)=$C12,"◆",""),IF(AND(DATE(2026,9,15)&gt;=$C12,DATE(2026,9,15)&lt;=$D12),IF(DATE(2026,9,15)&lt;$C12+ROUND($E12*($D12-$C12+1),0),"█","░"),""))</f>
        <v/>
      </c>
      <c r="L12" s="27">
        <f>IF($F12="Yes",IF(DATE(2026,9,16)=$C12,"◆",""),IF(AND(DATE(2026,9,16)&gt;=$C12,DATE(2026,9,16)&lt;=$D12),IF(DATE(2026,9,16)&lt;$C12+ROUND($E12*($D12-$C12+1),0),"█","░"),""))</f>
        <v/>
      </c>
      <c r="M12" s="27">
        <f>IF($F12="Yes",IF(DATE(2026,9,17)=$C12,"◆",""),IF(AND(DATE(2026,9,17)&gt;=$C12,DATE(2026,9,17)&lt;=$D12),IF(DATE(2026,9,17)&lt;$C12+ROUND($E12*($D12-$C12+1),0),"█","░"),""))</f>
        <v/>
      </c>
      <c r="N12" s="27">
        <f>IF($F12="Yes",IF(DATE(2026,9,18)=$C12,"◆",""),IF(AND(DATE(2026,9,18)&gt;=$C12,DATE(2026,9,18)&lt;=$D12),IF(DATE(2026,9,18)&lt;$C12+ROUND($E12*($D12-$C12+1),0),"█","░"),""))</f>
        <v/>
      </c>
      <c r="O12" s="28">
        <f>IF($F12="Yes",IF(DATE(2026,9,19)=$C12,"◆",""),IF(AND(DATE(2026,9,19)&gt;=$C12,DATE(2026,9,19)&lt;=$D12),IF(DATE(2026,9,19)&lt;$C12+ROUND($E12*($D12-$C12+1),0),"█","░"),""))</f>
        <v/>
      </c>
      <c r="P12" s="28">
        <f>IF($F12="Yes",IF(DATE(2026,9,20)=$C12,"◆",""),IF(AND(DATE(2026,9,20)&gt;=$C12,DATE(2026,9,20)&lt;=$D12),IF(DATE(2026,9,20)&lt;$C12+ROUND($E12*($D12-$C12+1),0),"█","░"),""))</f>
        <v/>
      </c>
      <c r="Q12" s="27">
        <f>IF($F12="Yes",IF(DATE(2026,9,21)=$C12,"◆",""),IF(AND(DATE(2026,9,21)&gt;=$C12,DATE(2026,9,21)&lt;=$D12),IF(DATE(2026,9,21)&lt;$C12+ROUND($E12*($D12-$C12+1),0),"█","░"),""))</f>
        <v/>
      </c>
      <c r="R12" s="27">
        <f>IF($F12="Yes",IF(DATE(2026,9,22)=$C12,"◆",""),IF(AND(DATE(2026,9,22)&gt;=$C12,DATE(2026,9,22)&lt;=$D12),IF(DATE(2026,9,22)&lt;$C12+ROUND($E12*($D12-$C12+1),0),"█","░"),""))</f>
        <v/>
      </c>
      <c r="S12" s="27">
        <f>IF($F12="Yes",IF(DATE(2026,9,23)=$C12,"◆",""),IF(AND(DATE(2026,9,23)&gt;=$C12,DATE(2026,9,23)&lt;=$D12),IF(DATE(2026,9,23)&lt;$C12+ROUND($E12*($D12-$C12+1),0),"█","░"),""))</f>
        <v/>
      </c>
      <c r="T12" s="27">
        <f>IF($F12="Yes",IF(DATE(2026,9,24)=$C12,"◆",""),IF(AND(DATE(2026,9,24)&gt;=$C12,DATE(2026,9,24)&lt;=$D12),IF(DATE(2026,9,24)&lt;$C12+ROUND($E12*($D12-$C12+1),0),"█","░"),""))</f>
        <v/>
      </c>
      <c r="U12" s="27">
        <f>IF($F12="Yes",IF(DATE(2026,9,25)=$C12,"◆",""),IF(AND(DATE(2026,9,25)&gt;=$C12,DATE(2026,9,25)&lt;=$D12),IF(DATE(2026,9,25)&lt;$C12+ROUND($E12*($D12-$C12+1),0),"█","░"),""))</f>
        <v/>
      </c>
      <c r="V12" s="28">
        <f>IF($F12="Yes",IF(DATE(2026,9,26)=$C12,"◆",""),IF(AND(DATE(2026,9,26)&gt;=$C12,DATE(2026,9,26)&lt;=$D12),IF(DATE(2026,9,26)&lt;$C12+ROUND($E12*($D12-$C12+1),0),"█","░"),""))</f>
        <v/>
      </c>
      <c r="W12" s="28">
        <f>IF($F12="Yes",IF(DATE(2026,9,27)=$C12,"◆",""),IF(AND(DATE(2026,9,27)&gt;=$C12,DATE(2026,9,27)&lt;=$D12),IF(DATE(2026,9,27)&lt;$C12+ROUND($E12*($D12-$C12+1),0),"█","░"),""))</f>
        <v/>
      </c>
      <c r="X12" s="27">
        <f>IF($F12="Yes",IF(DATE(2026,9,28)=$C12,"◆",""),IF(AND(DATE(2026,9,28)&gt;=$C12,DATE(2026,9,28)&lt;=$D12),IF(DATE(2026,9,28)&lt;$C12+ROUND($E12*($D12-$C12+1),0),"█","░"),""))</f>
        <v/>
      </c>
      <c r="Y12" s="27">
        <f>IF($F12="Yes",IF(DATE(2026,9,29)=$C12,"◆",""),IF(AND(DATE(2026,9,29)&gt;=$C12,DATE(2026,9,29)&lt;=$D12),IF(DATE(2026,9,29)&lt;$C12+ROUND($E12*($D12-$C12+1),0),"█","░"),""))</f>
        <v/>
      </c>
      <c r="Z12" s="27">
        <f>IF($F12="Yes",IF(DATE(2026,9,30)=$C12,"◆",""),IF(AND(DATE(2026,9,30)&gt;=$C12,DATE(2026,9,30)&lt;=$D12),IF(DATE(2026,9,30)&lt;$C12+ROUND($E12*($D12-$C12+1),0),"█","░"),""))</f>
        <v/>
      </c>
      <c r="AA12" s="27">
        <f>IF($F12="Yes",IF(DATE(2026,10,1)=$C12,"◆",""),IF(AND(DATE(2026,10,1)&gt;=$C12,DATE(2026,10,1)&lt;=$D12),IF(DATE(2026,10,1)&lt;$C12+ROUND($E12*($D12-$C12+1),0),"█","░"),""))</f>
        <v/>
      </c>
      <c r="AB12" s="27">
        <f>IF($F12="Yes",IF(DATE(2026,10,2)=$C12,"◆",""),IF(AND(DATE(2026,10,2)&gt;=$C12,DATE(2026,10,2)&lt;=$D12),IF(DATE(2026,10,2)&lt;$C12+ROUND($E12*($D12-$C12+1),0),"█","░"),""))</f>
        <v/>
      </c>
      <c r="AC12" s="28">
        <f>IF($F12="Yes",IF(DATE(2026,10,3)=$C12,"◆",""),IF(AND(DATE(2026,10,3)&gt;=$C12,DATE(2026,10,3)&lt;=$D12),IF(DATE(2026,10,3)&lt;$C12+ROUND($E12*($D12-$C12+1),0),"█","░"),""))</f>
        <v/>
      </c>
      <c r="AD12" s="28">
        <f>IF($F12="Yes",IF(DATE(2026,10,4)=$C12,"◆",""),IF(AND(DATE(2026,10,4)&gt;=$C12,DATE(2026,10,4)&lt;=$D12),IF(DATE(2026,10,4)&lt;$C12+ROUND($E12*($D12-$C12+1),0),"█","░"),""))</f>
        <v/>
      </c>
      <c r="AE12" s="27">
        <f>IF($F12="Yes",IF(DATE(2026,10,5)=$C12,"◆",""),IF(AND(DATE(2026,10,5)&gt;=$C12,DATE(2026,10,5)&lt;=$D12),IF(DATE(2026,10,5)&lt;$C12+ROUND($E12*($D12-$C12+1),0),"█","░"),""))</f>
        <v/>
      </c>
      <c r="AF12" s="27">
        <f>IF($F12="Yes",IF(DATE(2026,10,6)=$C12,"◆",""),IF(AND(DATE(2026,10,6)&gt;=$C12,DATE(2026,10,6)&lt;=$D12),IF(DATE(2026,10,6)&lt;$C12+ROUND($E12*($D12-$C12+1),0),"█","░"),""))</f>
        <v/>
      </c>
      <c r="AG12" s="27">
        <f>IF($F12="Yes",IF(DATE(2026,10,7)=$C12,"◆",""),IF(AND(DATE(2026,10,7)&gt;=$C12,DATE(2026,10,7)&lt;=$D12),IF(DATE(2026,10,7)&lt;$C12+ROUND($E12*($D12-$C12+1),0),"█","░"),""))</f>
        <v/>
      </c>
      <c r="AH12" s="27">
        <f>IF($F12="Yes",IF(DATE(2026,10,8)=$C12,"◆",""),IF(AND(DATE(2026,10,8)&gt;=$C12,DATE(2026,10,8)&lt;=$D12),IF(DATE(2026,10,8)&lt;$C12+ROUND($E12*($D12-$C12+1),0),"█","░"),""))</f>
        <v/>
      </c>
      <c r="AI12" s="27">
        <f>IF($F12="Yes",IF(DATE(2026,10,9)=$C12,"◆",""),IF(AND(DATE(2026,10,9)&gt;=$C12,DATE(2026,10,9)&lt;=$D12),IF(DATE(2026,10,9)&lt;$C12+ROUND($E12*($D12-$C12+1),0),"█","░"),""))</f>
        <v/>
      </c>
      <c r="AJ12" s="28">
        <f>IF($F12="Yes",IF(DATE(2026,10,10)=$C12,"◆",""),IF(AND(DATE(2026,10,10)&gt;=$C12,DATE(2026,10,10)&lt;=$D12),IF(DATE(2026,10,10)&lt;$C12+ROUND($E12*($D12-$C12+1),0),"█","░"),""))</f>
        <v/>
      </c>
      <c r="AK12" s="28">
        <f>IF($F12="Yes",IF(DATE(2026,10,11)=$C12,"◆",""),IF(AND(DATE(2026,10,11)&gt;=$C12,DATE(2026,10,11)&lt;=$D12),IF(DATE(2026,10,11)&lt;$C12+ROUND($E12*($D12-$C12+1),0),"█","░"),""))</f>
        <v/>
      </c>
      <c r="AL12" s="27">
        <f>IF($F12="Yes",IF(DATE(2026,10,12)=$C12,"◆",""),IF(AND(DATE(2026,10,12)&gt;=$C12,DATE(2026,10,12)&lt;=$D12),IF(DATE(2026,10,12)&lt;$C12+ROUND($E12*($D12-$C12+1),0),"█","░"),""))</f>
        <v/>
      </c>
      <c r="AM12" s="27">
        <f>IF($F12="Yes",IF(DATE(2026,10,13)=$C12,"◆",""),IF(AND(DATE(2026,10,13)&gt;=$C12,DATE(2026,10,13)&lt;=$D12),IF(DATE(2026,10,13)&lt;$C12+ROUND($E12*($D12-$C12+1),0),"█","░"),""))</f>
        <v/>
      </c>
      <c r="AN12" s="27">
        <f>IF($F12="Yes",IF(DATE(2026,10,14)=$C12,"◆",""),IF(AND(DATE(2026,10,14)&gt;=$C12,DATE(2026,10,14)&lt;=$D12),IF(DATE(2026,10,14)&lt;$C12+ROUND($E12*($D12-$C12+1),0),"█","░"),""))</f>
        <v/>
      </c>
    </row>
    <row r="13">
      <c r="A13" s="4">
        <f>'Project Tracker'!A12</f>
        <v/>
      </c>
      <c r="B13" s="5">
        <f>'Project Tracker'!C12</f>
        <v/>
      </c>
      <c r="C13" s="7">
        <f>'Project Tracker'!E12</f>
        <v/>
      </c>
      <c r="D13" s="7">
        <f>'Project Tracker'!F12</f>
        <v/>
      </c>
      <c r="E13" s="9">
        <f>'Project Tracker'!N12</f>
        <v/>
      </c>
      <c r="F13" s="4">
        <f>'Project Tracker'!J12</f>
        <v/>
      </c>
      <c r="G13" s="27">
        <f>IF($F13="Yes",IF(DATE(2026,9,11)=$C13,"◆",""),IF(AND(DATE(2026,9,11)&gt;=$C13,DATE(2026,9,11)&lt;=$D13),IF(DATE(2026,9,11)&lt;$C13+ROUND($E13*($D13-$C13+1),0),"█","░"),""))</f>
        <v/>
      </c>
      <c r="H13" s="28">
        <f>IF($F13="Yes",IF(DATE(2026,9,12)=$C13,"◆",""),IF(AND(DATE(2026,9,12)&gt;=$C13,DATE(2026,9,12)&lt;=$D13),IF(DATE(2026,9,12)&lt;$C13+ROUND($E13*($D13-$C13+1),0),"█","░"),""))</f>
        <v/>
      </c>
      <c r="I13" s="28">
        <f>IF($F13="Yes",IF(DATE(2026,9,13)=$C13,"◆",""),IF(AND(DATE(2026,9,13)&gt;=$C13,DATE(2026,9,13)&lt;=$D13),IF(DATE(2026,9,13)&lt;$C13+ROUND($E13*($D13-$C13+1),0),"█","░"),""))</f>
        <v/>
      </c>
      <c r="J13" s="27">
        <f>IF($F13="Yes",IF(DATE(2026,9,14)=$C13,"◆",""),IF(AND(DATE(2026,9,14)&gt;=$C13,DATE(2026,9,14)&lt;=$D13),IF(DATE(2026,9,14)&lt;$C13+ROUND($E13*($D13-$C13+1),0),"█","░"),""))</f>
        <v/>
      </c>
      <c r="K13" s="27">
        <f>IF($F13="Yes",IF(DATE(2026,9,15)=$C13,"◆",""),IF(AND(DATE(2026,9,15)&gt;=$C13,DATE(2026,9,15)&lt;=$D13),IF(DATE(2026,9,15)&lt;$C13+ROUND($E13*($D13-$C13+1),0),"█","░"),""))</f>
        <v/>
      </c>
      <c r="L13" s="27">
        <f>IF($F13="Yes",IF(DATE(2026,9,16)=$C13,"◆",""),IF(AND(DATE(2026,9,16)&gt;=$C13,DATE(2026,9,16)&lt;=$D13),IF(DATE(2026,9,16)&lt;$C13+ROUND($E13*($D13-$C13+1),0),"█","░"),""))</f>
        <v/>
      </c>
      <c r="M13" s="27">
        <f>IF($F13="Yes",IF(DATE(2026,9,17)=$C13,"◆",""),IF(AND(DATE(2026,9,17)&gt;=$C13,DATE(2026,9,17)&lt;=$D13),IF(DATE(2026,9,17)&lt;$C13+ROUND($E13*($D13-$C13+1),0),"█","░"),""))</f>
        <v/>
      </c>
      <c r="N13" s="27">
        <f>IF($F13="Yes",IF(DATE(2026,9,18)=$C13,"◆",""),IF(AND(DATE(2026,9,18)&gt;=$C13,DATE(2026,9,18)&lt;=$D13),IF(DATE(2026,9,18)&lt;$C13+ROUND($E13*($D13-$C13+1),0),"█","░"),""))</f>
        <v/>
      </c>
      <c r="O13" s="28">
        <f>IF($F13="Yes",IF(DATE(2026,9,19)=$C13,"◆",""),IF(AND(DATE(2026,9,19)&gt;=$C13,DATE(2026,9,19)&lt;=$D13),IF(DATE(2026,9,19)&lt;$C13+ROUND($E13*($D13-$C13+1),0),"█","░"),""))</f>
        <v/>
      </c>
      <c r="P13" s="28">
        <f>IF($F13="Yes",IF(DATE(2026,9,20)=$C13,"◆",""),IF(AND(DATE(2026,9,20)&gt;=$C13,DATE(2026,9,20)&lt;=$D13),IF(DATE(2026,9,20)&lt;$C13+ROUND($E13*($D13-$C13+1),0),"█","░"),""))</f>
        <v/>
      </c>
      <c r="Q13" s="27">
        <f>IF($F13="Yes",IF(DATE(2026,9,21)=$C13,"◆",""),IF(AND(DATE(2026,9,21)&gt;=$C13,DATE(2026,9,21)&lt;=$D13),IF(DATE(2026,9,21)&lt;$C13+ROUND($E13*($D13-$C13+1),0),"█","░"),""))</f>
        <v/>
      </c>
      <c r="R13" s="27">
        <f>IF($F13="Yes",IF(DATE(2026,9,22)=$C13,"◆",""),IF(AND(DATE(2026,9,22)&gt;=$C13,DATE(2026,9,22)&lt;=$D13),IF(DATE(2026,9,22)&lt;$C13+ROUND($E13*($D13-$C13+1),0),"█","░"),""))</f>
        <v/>
      </c>
      <c r="S13" s="27">
        <f>IF($F13="Yes",IF(DATE(2026,9,23)=$C13,"◆",""),IF(AND(DATE(2026,9,23)&gt;=$C13,DATE(2026,9,23)&lt;=$D13),IF(DATE(2026,9,23)&lt;$C13+ROUND($E13*($D13-$C13+1),0),"█","░"),""))</f>
        <v/>
      </c>
      <c r="T13" s="27">
        <f>IF($F13="Yes",IF(DATE(2026,9,24)=$C13,"◆",""),IF(AND(DATE(2026,9,24)&gt;=$C13,DATE(2026,9,24)&lt;=$D13),IF(DATE(2026,9,24)&lt;$C13+ROUND($E13*($D13-$C13+1),0),"█","░"),""))</f>
        <v/>
      </c>
      <c r="U13" s="27">
        <f>IF($F13="Yes",IF(DATE(2026,9,25)=$C13,"◆",""),IF(AND(DATE(2026,9,25)&gt;=$C13,DATE(2026,9,25)&lt;=$D13),IF(DATE(2026,9,25)&lt;$C13+ROUND($E13*($D13-$C13+1),0),"█","░"),""))</f>
        <v/>
      </c>
      <c r="V13" s="28">
        <f>IF($F13="Yes",IF(DATE(2026,9,26)=$C13,"◆",""),IF(AND(DATE(2026,9,26)&gt;=$C13,DATE(2026,9,26)&lt;=$D13),IF(DATE(2026,9,26)&lt;$C13+ROUND($E13*($D13-$C13+1),0),"█","░"),""))</f>
        <v/>
      </c>
      <c r="W13" s="28">
        <f>IF($F13="Yes",IF(DATE(2026,9,27)=$C13,"◆",""),IF(AND(DATE(2026,9,27)&gt;=$C13,DATE(2026,9,27)&lt;=$D13),IF(DATE(2026,9,27)&lt;$C13+ROUND($E13*($D13-$C13+1),0),"█","░"),""))</f>
        <v/>
      </c>
      <c r="X13" s="27">
        <f>IF($F13="Yes",IF(DATE(2026,9,28)=$C13,"◆",""),IF(AND(DATE(2026,9,28)&gt;=$C13,DATE(2026,9,28)&lt;=$D13),IF(DATE(2026,9,28)&lt;$C13+ROUND($E13*($D13-$C13+1),0),"█","░"),""))</f>
        <v/>
      </c>
      <c r="Y13" s="27">
        <f>IF($F13="Yes",IF(DATE(2026,9,29)=$C13,"◆",""),IF(AND(DATE(2026,9,29)&gt;=$C13,DATE(2026,9,29)&lt;=$D13),IF(DATE(2026,9,29)&lt;$C13+ROUND($E13*($D13-$C13+1),0),"█","░"),""))</f>
        <v/>
      </c>
      <c r="Z13" s="27">
        <f>IF($F13="Yes",IF(DATE(2026,9,30)=$C13,"◆",""),IF(AND(DATE(2026,9,30)&gt;=$C13,DATE(2026,9,30)&lt;=$D13),IF(DATE(2026,9,30)&lt;$C13+ROUND($E13*($D13-$C13+1),0),"█","░"),""))</f>
        <v/>
      </c>
      <c r="AA13" s="27">
        <f>IF($F13="Yes",IF(DATE(2026,10,1)=$C13,"◆",""),IF(AND(DATE(2026,10,1)&gt;=$C13,DATE(2026,10,1)&lt;=$D13),IF(DATE(2026,10,1)&lt;$C13+ROUND($E13*($D13-$C13+1),0),"█","░"),""))</f>
        <v/>
      </c>
      <c r="AB13" s="27">
        <f>IF($F13="Yes",IF(DATE(2026,10,2)=$C13,"◆",""),IF(AND(DATE(2026,10,2)&gt;=$C13,DATE(2026,10,2)&lt;=$D13),IF(DATE(2026,10,2)&lt;$C13+ROUND($E13*($D13-$C13+1),0),"█","░"),""))</f>
        <v/>
      </c>
      <c r="AC13" s="28">
        <f>IF($F13="Yes",IF(DATE(2026,10,3)=$C13,"◆",""),IF(AND(DATE(2026,10,3)&gt;=$C13,DATE(2026,10,3)&lt;=$D13),IF(DATE(2026,10,3)&lt;$C13+ROUND($E13*($D13-$C13+1),0),"█","░"),""))</f>
        <v/>
      </c>
      <c r="AD13" s="28">
        <f>IF($F13="Yes",IF(DATE(2026,10,4)=$C13,"◆",""),IF(AND(DATE(2026,10,4)&gt;=$C13,DATE(2026,10,4)&lt;=$D13),IF(DATE(2026,10,4)&lt;$C13+ROUND($E13*($D13-$C13+1),0),"█","░"),""))</f>
        <v/>
      </c>
      <c r="AE13" s="27">
        <f>IF($F13="Yes",IF(DATE(2026,10,5)=$C13,"◆",""),IF(AND(DATE(2026,10,5)&gt;=$C13,DATE(2026,10,5)&lt;=$D13),IF(DATE(2026,10,5)&lt;$C13+ROUND($E13*($D13-$C13+1),0),"█","░"),""))</f>
        <v/>
      </c>
      <c r="AF13" s="27">
        <f>IF($F13="Yes",IF(DATE(2026,10,6)=$C13,"◆",""),IF(AND(DATE(2026,10,6)&gt;=$C13,DATE(2026,10,6)&lt;=$D13),IF(DATE(2026,10,6)&lt;$C13+ROUND($E13*($D13-$C13+1),0),"█","░"),""))</f>
        <v/>
      </c>
      <c r="AG13" s="27">
        <f>IF($F13="Yes",IF(DATE(2026,10,7)=$C13,"◆",""),IF(AND(DATE(2026,10,7)&gt;=$C13,DATE(2026,10,7)&lt;=$D13),IF(DATE(2026,10,7)&lt;$C13+ROUND($E13*($D13-$C13+1),0),"█","░"),""))</f>
        <v/>
      </c>
      <c r="AH13" s="27">
        <f>IF($F13="Yes",IF(DATE(2026,10,8)=$C13,"◆",""),IF(AND(DATE(2026,10,8)&gt;=$C13,DATE(2026,10,8)&lt;=$D13),IF(DATE(2026,10,8)&lt;$C13+ROUND($E13*($D13-$C13+1),0),"█","░"),""))</f>
        <v/>
      </c>
      <c r="AI13" s="27">
        <f>IF($F13="Yes",IF(DATE(2026,10,9)=$C13,"◆",""),IF(AND(DATE(2026,10,9)&gt;=$C13,DATE(2026,10,9)&lt;=$D13),IF(DATE(2026,10,9)&lt;$C13+ROUND($E13*($D13-$C13+1),0),"█","░"),""))</f>
        <v/>
      </c>
      <c r="AJ13" s="28">
        <f>IF($F13="Yes",IF(DATE(2026,10,10)=$C13,"◆",""),IF(AND(DATE(2026,10,10)&gt;=$C13,DATE(2026,10,10)&lt;=$D13),IF(DATE(2026,10,10)&lt;$C13+ROUND($E13*($D13-$C13+1),0),"█","░"),""))</f>
        <v/>
      </c>
      <c r="AK13" s="28">
        <f>IF($F13="Yes",IF(DATE(2026,10,11)=$C13,"◆",""),IF(AND(DATE(2026,10,11)&gt;=$C13,DATE(2026,10,11)&lt;=$D13),IF(DATE(2026,10,11)&lt;$C13+ROUND($E13*($D13-$C13+1),0),"█","░"),""))</f>
        <v/>
      </c>
      <c r="AL13" s="27">
        <f>IF($F13="Yes",IF(DATE(2026,10,12)=$C13,"◆",""),IF(AND(DATE(2026,10,12)&gt;=$C13,DATE(2026,10,12)&lt;=$D13),IF(DATE(2026,10,12)&lt;$C13+ROUND($E13*($D13-$C13+1),0),"█","░"),""))</f>
        <v/>
      </c>
      <c r="AM13" s="27">
        <f>IF($F13="Yes",IF(DATE(2026,10,13)=$C13,"◆",""),IF(AND(DATE(2026,10,13)&gt;=$C13,DATE(2026,10,13)&lt;=$D13),IF(DATE(2026,10,13)&lt;$C13+ROUND($E13*($D13-$C13+1),0),"█","░"),""))</f>
        <v/>
      </c>
      <c r="AN13" s="27">
        <f>IF($F13="Yes",IF(DATE(2026,10,14)=$C13,"◆",""),IF(AND(DATE(2026,10,14)&gt;=$C13,DATE(2026,10,14)&lt;=$D13),IF(DATE(2026,10,14)&lt;$C13+ROUND($E13*($D13-$C13+1),0),"█","░"),""))</f>
        <v/>
      </c>
    </row>
    <row r="14">
      <c r="A14" s="4">
        <f>'Project Tracker'!A13</f>
        <v/>
      </c>
      <c r="B14" s="5">
        <f>'Project Tracker'!C13</f>
        <v/>
      </c>
      <c r="C14" s="7">
        <f>'Project Tracker'!E13</f>
        <v/>
      </c>
      <c r="D14" s="7">
        <f>'Project Tracker'!F13</f>
        <v/>
      </c>
      <c r="E14" s="9">
        <f>'Project Tracker'!N13</f>
        <v/>
      </c>
      <c r="F14" s="4">
        <f>'Project Tracker'!J13</f>
        <v/>
      </c>
      <c r="G14" s="27">
        <f>IF($F14="Yes",IF(DATE(2026,9,11)=$C14,"◆",""),IF(AND(DATE(2026,9,11)&gt;=$C14,DATE(2026,9,11)&lt;=$D14),IF(DATE(2026,9,11)&lt;$C14+ROUND($E14*($D14-$C14+1),0),"█","░"),""))</f>
        <v/>
      </c>
      <c r="H14" s="28">
        <f>IF($F14="Yes",IF(DATE(2026,9,12)=$C14,"◆",""),IF(AND(DATE(2026,9,12)&gt;=$C14,DATE(2026,9,12)&lt;=$D14),IF(DATE(2026,9,12)&lt;$C14+ROUND($E14*($D14-$C14+1),0),"█","░"),""))</f>
        <v/>
      </c>
      <c r="I14" s="28">
        <f>IF($F14="Yes",IF(DATE(2026,9,13)=$C14,"◆",""),IF(AND(DATE(2026,9,13)&gt;=$C14,DATE(2026,9,13)&lt;=$D14),IF(DATE(2026,9,13)&lt;$C14+ROUND($E14*($D14-$C14+1),0),"█","░"),""))</f>
        <v/>
      </c>
      <c r="J14" s="27">
        <f>IF($F14="Yes",IF(DATE(2026,9,14)=$C14,"◆",""),IF(AND(DATE(2026,9,14)&gt;=$C14,DATE(2026,9,14)&lt;=$D14),IF(DATE(2026,9,14)&lt;$C14+ROUND($E14*($D14-$C14+1),0),"█","░"),""))</f>
        <v/>
      </c>
      <c r="K14" s="27">
        <f>IF($F14="Yes",IF(DATE(2026,9,15)=$C14,"◆",""),IF(AND(DATE(2026,9,15)&gt;=$C14,DATE(2026,9,15)&lt;=$D14),IF(DATE(2026,9,15)&lt;$C14+ROUND($E14*($D14-$C14+1),0),"█","░"),""))</f>
        <v/>
      </c>
      <c r="L14" s="27">
        <f>IF($F14="Yes",IF(DATE(2026,9,16)=$C14,"◆",""),IF(AND(DATE(2026,9,16)&gt;=$C14,DATE(2026,9,16)&lt;=$D14),IF(DATE(2026,9,16)&lt;$C14+ROUND($E14*($D14-$C14+1),0),"█","░"),""))</f>
        <v/>
      </c>
      <c r="M14" s="27">
        <f>IF($F14="Yes",IF(DATE(2026,9,17)=$C14,"◆",""),IF(AND(DATE(2026,9,17)&gt;=$C14,DATE(2026,9,17)&lt;=$D14),IF(DATE(2026,9,17)&lt;$C14+ROUND($E14*($D14-$C14+1),0),"█","░"),""))</f>
        <v/>
      </c>
      <c r="N14" s="27">
        <f>IF($F14="Yes",IF(DATE(2026,9,18)=$C14,"◆",""),IF(AND(DATE(2026,9,18)&gt;=$C14,DATE(2026,9,18)&lt;=$D14),IF(DATE(2026,9,18)&lt;$C14+ROUND($E14*($D14-$C14+1),0),"█","░"),""))</f>
        <v/>
      </c>
      <c r="O14" s="28">
        <f>IF($F14="Yes",IF(DATE(2026,9,19)=$C14,"◆",""),IF(AND(DATE(2026,9,19)&gt;=$C14,DATE(2026,9,19)&lt;=$D14),IF(DATE(2026,9,19)&lt;$C14+ROUND($E14*($D14-$C14+1),0),"█","░"),""))</f>
        <v/>
      </c>
      <c r="P14" s="28">
        <f>IF($F14="Yes",IF(DATE(2026,9,20)=$C14,"◆",""),IF(AND(DATE(2026,9,20)&gt;=$C14,DATE(2026,9,20)&lt;=$D14),IF(DATE(2026,9,20)&lt;$C14+ROUND($E14*($D14-$C14+1),0),"█","░"),""))</f>
        <v/>
      </c>
      <c r="Q14" s="27">
        <f>IF($F14="Yes",IF(DATE(2026,9,21)=$C14,"◆",""),IF(AND(DATE(2026,9,21)&gt;=$C14,DATE(2026,9,21)&lt;=$D14),IF(DATE(2026,9,21)&lt;$C14+ROUND($E14*($D14-$C14+1),0),"█","░"),""))</f>
        <v/>
      </c>
      <c r="R14" s="27">
        <f>IF($F14="Yes",IF(DATE(2026,9,22)=$C14,"◆",""),IF(AND(DATE(2026,9,22)&gt;=$C14,DATE(2026,9,22)&lt;=$D14),IF(DATE(2026,9,22)&lt;$C14+ROUND($E14*($D14-$C14+1),0),"█","░"),""))</f>
        <v/>
      </c>
      <c r="S14" s="27">
        <f>IF($F14="Yes",IF(DATE(2026,9,23)=$C14,"◆",""),IF(AND(DATE(2026,9,23)&gt;=$C14,DATE(2026,9,23)&lt;=$D14),IF(DATE(2026,9,23)&lt;$C14+ROUND($E14*($D14-$C14+1),0),"█","░"),""))</f>
        <v/>
      </c>
      <c r="T14" s="27">
        <f>IF($F14="Yes",IF(DATE(2026,9,24)=$C14,"◆",""),IF(AND(DATE(2026,9,24)&gt;=$C14,DATE(2026,9,24)&lt;=$D14),IF(DATE(2026,9,24)&lt;$C14+ROUND($E14*($D14-$C14+1),0),"█","░"),""))</f>
        <v/>
      </c>
      <c r="U14" s="27">
        <f>IF($F14="Yes",IF(DATE(2026,9,25)=$C14,"◆",""),IF(AND(DATE(2026,9,25)&gt;=$C14,DATE(2026,9,25)&lt;=$D14),IF(DATE(2026,9,25)&lt;$C14+ROUND($E14*($D14-$C14+1),0),"█","░"),""))</f>
        <v/>
      </c>
      <c r="V14" s="28">
        <f>IF($F14="Yes",IF(DATE(2026,9,26)=$C14,"◆",""),IF(AND(DATE(2026,9,26)&gt;=$C14,DATE(2026,9,26)&lt;=$D14),IF(DATE(2026,9,26)&lt;$C14+ROUND($E14*($D14-$C14+1),0),"█","░"),""))</f>
        <v/>
      </c>
      <c r="W14" s="28">
        <f>IF($F14="Yes",IF(DATE(2026,9,27)=$C14,"◆",""),IF(AND(DATE(2026,9,27)&gt;=$C14,DATE(2026,9,27)&lt;=$D14),IF(DATE(2026,9,27)&lt;$C14+ROUND($E14*($D14-$C14+1),0),"█","░"),""))</f>
        <v/>
      </c>
      <c r="X14" s="27">
        <f>IF($F14="Yes",IF(DATE(2026,9,28)=$C14,"◆",""),IF(AND(DATE(2026,9,28)&gt;=$C14,DATE(2026,9,28)&lt;=$D14),IF(DATE(2026,9,28)&lt;$C14+ROUND($E14*($D14-$C14+1),0),"█","░"),""))</f>
        <v/>
      </c>
      <c r="Y14" s="27">
        <f>IF($F14="Yes",IF(DATE(2026,9,29)=$C14,"◆",""),IF(AND(DATE(2026,9,29)&gt;=$C14,DATE(2026,9,29)&lt;=$D14),IF(DATE(2026,9,29)&lt;$C14+ROUND($E14*($D14-$C14+1),0),"█","░"),""))</f>
        <v/>
      </c>
      <c r="Z14" s="27">
        <f>IF($F14="Yes",IF(DATE(2026,9,30)=$C14,"◆",""),IF(AND(DATE(2026,9,30)&gt;=$C14,DATE(2026,9,30)&lt;=$D14),IF(DATE(2026,9,30)&lt;$C14+ROUND($E14*($D14-$C14+1),0),"█","░"),""))</f>
        <v/>
      </c>
      <c r="AA14" s="27">
        <f>IF($F14="Yes",IF(DATE(2026,10,1)=$C14,"◆",""),IF(AND(DATE(2026,10,1)&gt;=$C14,DATE(2026,10,1)&lt;=$D14),IF(DATE(2026,10,1)&lt;$C14+ROUND($E14*($D14-$C14+1),0),"█","░"),""))</f>
        <v/>
      </c>
      <c r="AB14" s="27">
        <f>IF($F14="Yes",IF(DATE(2026,10,2)=$C14,"◆",""),IF(AND(DATE(2026,10,2)&gt;=$C14,DATE(2026,10,2)&lt;=$D14),IF(DATE(2026,10,2)&lt;$C14+ROUND($E14*($D14-$C14+1),0),"█","░"),""))</f>
        <v/>
      </c>
      <c r="AC14" s="28">
        <f>IF($F14="Yes",IF(DATE(2026,10,3)=$C14,"◆",""),IF(AND(DATE(2026,10,3)&gt;=$C14,DATE(2026,10,3)&lt;=$D14),IF(DATE(2026,10,3)&lt;$C14+ROUND($E14*($D14-$C14+1),0),"█","░"),""))</f>
        <v/>
      </c>
      <c r="AD14" s="28">
        <f>IF($F14="Yes",IF(DATE(2026,10,4)=$C14,"◆",""),IF(AND(DATE(2026,10,4)&gt;=$C14,DATE(2026,10,4)&lt;=$D14),IF(DATE(2026,10,4)&lt;$C14+ROUND($E14*($D14-$C14+1),0),"█","░"),""))</f>
        <v/>
      </c>
      <c r="AE14" s="27">
        <f>IF($F14="Yes",IF(DATE(2026,10,5)=$C14,"◆",""),IF(AND(DATE(2026,10,5)&gt;=$C14,DATE(2026,10,5)&lt;=$D14),IF(DATE(2026,10,5)&lt;$C14+ROUND($E14*($D14-$C14+1),0),"█","░"),""))</f>
        <v/>
      </c>
      <c r="AF14" s="27">
        <f>IF($F14="Yes",IF(DATE(2026,10,6)=$C14,"◆",""),IF(AND(DATE(2026,10,6)&gt;=$C14,DATE(2026,10,6)&lt;=$D14),IF(DATE(2026,10,6)&lt;$C14+ROUND($E14*($D14-$C14+1),0),"█","░"),""))</f>
        <v/>
      </c>
      <c r="AG14" s="27">
        <f>IF($F14="Yes",IF(DATE(2026,10,7)=$C14,"◆",""),IF(AND(DATE(2026,10,7)&gt;=$C14,DATE(2026,10,7)&lt;=$D14),IF(DATE(2026,10,7)&lt;$C14+ROUND($E14*($D14-$C14+1),0),"█","░"),""))</f>
        <v/>
      </c>
      <c r="AH14" s="27">
        <f>IF($F14="Yes",IF(DATE(2026,10,8)=$C14,"◆",""),IF(AND(DATE(2026,10,8)&gt;=$C14,DATE(2026,10,8)&lt;=$D14),IF(DATE(2026,10,8)&lt;$C14+ROUND($E14*($D14-$C14+1),0),"█","░"),""))</f>
        <v/>
      </c>
      <c r="AI14" s="27">
        <f>IF($F14="Yes",IF(DATE(2026,10,9)=$C14,"◆",""),IF(AND(DATE(2026,10,9)&gt;=$C14,DATE(2026,10,9)&lt;=$D14),IF(DATE(2026,10,9)&lt;$C14+ROUND($E14*($D14-$C14+1),0),"█","░"),""))</f>
        <v/>
      </c>
      <c r="AJ14" s="28">
        <f>IF($F14="Yes",IF(DATE(2026,10,10)=$C14,"◆",""),IF(AND(DATE(2026,10,10)&gt;=$C14,DATE(2026,10,10)&lt;=$D14),IF(DATE(2026,10,10)&lt;$C14+ROUND($E14*($D14-$C14+1),0),"█","░"),""))</f>
        <v/>
      </c>
      <c r="AK14" s="28">
        <f>IF($F14="Yes",IF(DATE(2026,10,11)=$C14,"◆",""),IF(AND(DATE(2026,10,11)&gt;=$C14,DATE(2026,10,11)&lt;=$D14),IF(DATE(2026,10,11)&lt;$C14+ROUND($E14*($D14-$C14+1),0),"█","░"),""))</f>
        <v/>
      </c>
      <c r="AL14" s="27">
        <f>IF($F14="Yes",IF(DATE(2026,10,12)=$C14,"◆",""),IF(AND(DATE(2026,10,12)&gt;=$C14,DATE(2026,10,12)&lt;=$D14),IF(DATE(2026,10,12)&lt;$C14+ROUND($E14*($D14-$C14+1),0),"█","░"),""))</f>
        <v/>
      </c>
      <c r="AM14" s="27">
        <f>IF($F14="Yes",IF(DATE(2026,10,13)=$C14,"◆",""),IF(AND(DATE(2026,10,13)&gt;=$C14,DATE(2026,10,13)&lt;=$D14),IF(DATE(2026,10,13)&lt;$C14+ROUND($E14*($D14-$C14+1),0),"█","░"),""))</f>
        <v/>
      </c>
      <c r="AN14" s="27">
        <f>IF($F14="Yes",IF(DATE(2026,10,14)=$C14,"◆",""),IF(AND(DATE(2026,10,14)&gt;=$C14,DATE(2026,10,14)&lt;=$D14),IF(DATE(2026,10,14)&lt;$C14+ROUND($E14*($D14-$C14+1),0),"█","░"),""))</f>
        <v/>
      </c>
    </row>
    <row r="15">
      <c r="A15" s="4">
        <f>'Project Tracker'!A14</f>
        <v/>
      </c>
      <c r="B15" s="5">
        <f>'Project Tracker'!C14</f>
        <v/>
      </c>
      <c r="C15" s="7">
        <f>'Project Tracker'!E14</f>
        <v/>
      </c>
      <c r="D15" s="7">
        <f>'Project Tracker'!F14</f>
        <v/>
      </c>
      <c r="E15" s="9">
        <f>'Project Tracker'!N14</f>
        <v/>
      </c>
      <c r="F15" s="4">
        <f>'Project Tracker'!J14</f>
        <v/>
      </c>
      <c r="G15" s="27">
        <f>IF($F15="Yes",IF(DATE(2026,9,11)=$C15,"◆",""),IF(AND(DATE(2026,9,11)&gt;=$C15,DATE(2026,9,11)&lt;=$D15),IF(DATE(2026,9,11)&lt;$C15+ROUND($E15*($D15-$C15+1),0),"█","░"),""))</f>
        <v/>
      </c>
      <c r="H15" s="28">
        <f>IF($F15="Yes",IF(DATE(2026,9,12)=$C15,"◆",""),IF(AND(DATE(2026,9,12)&gt;=$C15,DATE(2026,9,12)&lt;=$D15),IF(DATE(2026,9,12)&lt;$C15+ROUND($E15*($D15-$C15+1),0),"█","░"),""))</f>
        <v/>
      </c>
      <c r="I15" s="28">
        <f>IF($F15="Yes",IF(DATE(2026,9,13)=$C15,"◆",""),IF(AND(DATE(2026,9,13)&gt;=$C15,DATE(2026,9,13)&lt;=$D15),IF(DATE(2026,9,13)&lt;$C15+ROUND($E15*($D15-$C15+1),0),"█","░"),""))</f>
        <v/>
      </c>
      <c r="J15" s="27">
        <f>IF($F15="Yes",IF(DATE(2026,9,14)=$C15,"◆",""),IF(AND(DATE(2026,9,14)&gt;=$C15,DATE(2026,9,14)&lt;=$D15),IF(DATE(2026,9,14)&lt;$C15+ROUND($E15*($D15-$C15+1),0),"█","░"),""))</f>
        <v/>
      </c>
      <c r="K15" s="27">
        <f>IF($F15="Yes",IF(DATE(2026,9,15)=$C15,"◆",""),IF(AND(DATE(2026,9,15)&gt;=$C15,DATE(2026,9,15)&lt;=$D15),IF(DATE(2026,9,15)&lt;$C15+ROUND($E15*($D15-$C15+1),0),"█","░"),""))</f>
        <v/>
      </c>
      <c r="L15" s="27">
        <f>IF($F15="Yes",IF(DATE(2026,9,16)=$C15,"◆",""),IF(AND(DATE(2026,9,16)&gt;=$C15,DATE(2026,9,16)&lt;=$D15),IF(DATE(2026,9,16)&lt;$C15+ROUND($E15*($D15-$C15+1),0),"█","░"),""))</f>
        <v/>
      </c>
      <c r="M15" s="27">
        <f>IF($F15="Yes",IF(DATE(2026,9,17)=$C15,"◆",""),IF(AND(DATE(2026,9,17)&gt;=$C15,DATE(2026,9,17)&lt;=$D15),IF(DATE(2026,9,17)&lt;$C15+ROUND($E15*($D15-$C15+1),0),"█","░"),""))</f>
        <v/>
      </c>
      <c r="N15" s="27">
        <f>IF($F15="Yes",IF(DATE(2026,9,18)=$C15,"◆",""),IF(AND(DATE(2026,9,18)&gt;=$C15,DATE(2026,9,18)&lt;=$D15),IF(DATE(2026,9,18)&lt;$C15+ROUND($E15*($D15-$C15+1),0),"█","░"),""))</f>
        <v/>
      </c>
      <c r="O15" s="28">
        <f>IF($F15="Yes",IF(DATE(2026,9,19)=$C15,"◆",""),IF(AND(DATE(2026,9,19)&gt;=$C15,DATE(2026,9,19)&lt;=$D15),IF(DATE(2026,9,19)&lt;$C15+ROUND($E15*($D15-$C15+1),0),"█","░"),""))</f>
        <v/>
      </c>
      <c r="P15" s="28">
        <f>IF($F15="Yes",IF(DATE(2026,9,20)=$C15,"◆",""),IF(AND(DATE(2026,9,20)&gt;=$C15,DATE(2026,9,20)&lt;=$D15),IF(DATE(2026,9,20)&lt;$C15+ROUND($E15*($D15-$C15+1),0),"█","░"),""))</f>
        <v/>
      </c>
      <c r="Q15" s="27">
        <f>IF($F15="Yes",IF(DATE(2026,9,21)=$C15,"◆",""),IF(AND(DATE(2026,9,21)&gt;=$C15,DATE(2026,9,21)&lt;=$D15),IF(DATE(2026,9,21)&lt;$C15+ROUND($E15*($D15-$C15+1),0),"█","░"),""))</f>
        <v/>
      </c>
      <c r="R15" s="27">
        <f>IF($F15="Yes",IF(DATE(2026,9,22)=$C15,"◆",""),IF(AND(DATE(2026,9,22)&gt;=$C15,DATE(2026,9,22)&lt;=$D15),IF(DATE(2026,9,22)&lt;$C15+ROUND($E15*($D15-$C15+1),0),"█","░"),""))</f>
        <v/>
      </c>
      <c r="S15" s="27">
        <f>IF($F15="Yes",IF(DATE(2026,9,23)=$C15,"◆",""),IF(AND(DATE(2026,9,23)&gt;=$C15,DATE(2026,9,23)&lt;=$D15),IF(DATE(2026,9,23)&lt;$C15+ROUND($E15*($D15-$C15+1),0),"█","░"),""))</f>
        <v/>
      </c>
      <c r="T15" s="27">
        <f>IF($F15="Yes",IF(DATE(2026,9,24)=$C15,"◆",""),IF(AND(DATE(2026,9,24)&gt;=$C15,DATE(2026,9,24)&lt;=$D15),IF(DATE(2026,9,24)&lt;$C15+ROUND($E15*($D15-$C15+1),0),"█","░"),""))</f>
        <v/>
      </c>
      <c r="U15" s="27">
        <f>IF($F15="Yes",IF(DATE(2026,9,25)=$C15,"◆",""),IF(AND(DATE(2026,9,25)&gt;=$C15,DATE(2026,9,25)&lt;=$D15),IF(DATE(2026,9,25)&lt;$C15+ROUND($E15*($D15-$C15+1),0),"█","░"),""))</f>
        <v/>
      </c>
      <c r="V15" s="28">
        <f>IF($F15="Yes",IF(DATE(2026,9,26)=$C15,"◆",""),IF(AND(DATE(2026,9,26)&gt;=$C15,DATE(2026,9,26)&lt;=$D15),IF(DATE(2026,9,26)&lt;$C15+ROUND($E15*($D15-$C15+1),0),"█","░"),""))</f>
        <v/>
      </c>
      <c r="W15" s="28">
        <f>IF($F15="Yes",IF(DATE(2026,9,27)=$C15,"◆",""),IF(AND(DATE(2026,9,27)&gt;=$C15,DATE(2026,9,27)&lt;=$D15),IF(DATE(2026,9,27)&lt;$C15+ROUND($E15*($D15-$C15+1),0),"█","░"),""))</f>
        <v/>
      </c>
      <c r="X15" s="27">
        <f>IF($F15="Yes",IF(DATE(2026,9,28)=$C15,"◆",""),IF(AND(DATE(2026,9,28)&gt;=$C15,DATE(2026,9,28)&lt;=$D15),IF(DATE(2026,9,28)&lt;$C15+ROUND($E15*($D15-$C15+1),0),"█","░"),""))</f>
        <v/>
      </c>
      <c r="Y15" s="27">
        <f>IF($F15="Yes",IF(DATE(2026,9,29)=$C15,"◆",""),IF(AND(DATE(2026,9,29)&gt;=$C15,DATE(2026,9,29)&lt;=$D15),IF(DATE(2026,9,29)&lt;$C15+ROUND($E15*($D15-$C15+1),0),"█","░"),""))</f>
        <v/>
      </c>
      <c r="Z15" s="27">
        <f>IF($F15="Yes",IF(DATE(2026,9,30)=$C15,"◆",""),IF(AND(DATE(2026,9,30)&gt;=$C15,DATE(2026,9,30)&lt;=$D15),IF(DATE(2026,9,30)&lt;$C15+ROUND($E15*($D15-$C15+1),0),"█","░"),""))</f>
        <v/>
      </c>
      <c r="AA15" s="27">
        <f>IF($F15="Yes",IF(DATE(2026,10,1)=$C15,"◆",""),IF(AND(DATE(2026,10,1)&gt;=$C15,DATE(2026,10,1)&lt;=$D15),IF(DATE(2026,10,1)&lt;$C15+ROUND($E15*($D15-$C15+1),0),"█","░"),""))</f>
        <v/>
      </c>
      <c r="AB15" s="27">
        <f>IF($F15="Yes",IF(DATE(2026,10,2)=$C15,"◆",""),IF(AND(DATE(2026,10,2)&gt;=$C15,DATE(2026,10,2)&lt;=$D15),IF(DATE(2026,10,2)&lt;$C15+ROUND($E15*($D15-$C15+1),0),"█","░"),""))</f>
        <v/>
      </c>
      <c r="AC15" s="28">
        <f>IF($F15="Yes",IF(DATE(2026,10,3)=$C15,"◆",""),IF(AND(DATE(2026,10,3)&gt;=$C15,DATE(2026,10,3)&lt;=$D15),IF(DATE(2026,10,3)&lt;$C15+ROUND($E15*($D15-$C15+1),0),"█","░"),""))</f>
        <v/>
      </c>
      <c r="AD15" s="28">
        <f>IF($F15="Yes",IF(DATE(2026,10,4)=$C15,"◆",""),IF(AND(DATE(2026,10,4)&gt;=$C15,DATE(2026,10,4)&lt;=$D15),IF(DATE(2026,10,4)&lt;$C15+ROUND($E15*($D15-$C15+1),0),"█","░"),""))</f>
        <v/>
      </c>
      <c r="AE15" s="27">
        <f>IF($F15="Yes",IF(DATE(2026,10,5)=$C15,"◆",""),IF(AND(DATE(2026,10,5)&gt;=$C15,DATE(2026,10,5)&lt;=$D15),IF(DATE(2026,10,5)&lt;$C15+ROUND($E15*($D15-$C15+1),0),"█","░"),""))</f>
        <v/>
      </c>
      <c r="AF15" s="27">
        <f>IF($F15="Yes",IF(DATE(2026,10,6)=$C15,"◆",""),IF(AND(DATE(2026,10,6)&gt;=$C15,DATE(2026,10,6)&lt;=$D15),IF(DATE(2026,10,6)&lt;$C15+ROUND($E15*($D15-$C15+1),0),"█","░"),""))</f>
        <v/>
      </c>
      <c r="AG15" s="27">
        <f>IF($F15="Yes",IF(DATE(2026,10,7)=$C15,"◆",""),IF(AND(DATE(2026,10,7)&gt;=$C15,DATE(2026,10,7)&lt;=$D15),IF(DATE(2026,10,7)&lt;$C15+ROUND($E15*($D15-$C15+1),0),"█","░"),""))</f>
        <v/>
      </c>
      <c r="AH15" s="27">
        <f>IF($F15="Yes",IF(DATE(2026,10,8)=$C15,"◆",""),IF(AND(DATE(2026,10,8)&gt;=$C15,DATE(2026,10,8)&lt;=$D15),IF(DATE(2026,10,8)&lt;$C15+ROUND($E15*($D15-$C15+1),0),"█","░"),""))</f>
        <v/>
      </c>
      <c r="AI15" s="27">
        <f>IF($F15="Yes",IF(DATE(2026,10,9)=$C15,"◆",""),IF(AND(DATE(2026,10,9)&gt;=$C15,DATE(2026,10,9)&lt;=$D15),IF(DATE(2026,10,9)&lt;$C15+ROUND($E15*($D15-$C15+1),0),"█","░"),""))</f>
        <v/>
      </c>
      <c r="AJ15" s="28">
        <f>IF($F15="Yes",IF(DATE(2026,10,10)=$C15,"◆",""),IF(AND(DATE(2026,10,10)&gt;=$C15,DATE(2026,10,10)&lt;=$D15),IF(DATE(2026,10,10)&lt;$C15+ROUND($E15*($D15-$C15+1),0),"█","░"),""))</f>
        <v/>
      </c>
      <c r="AK15" s="28">
        <f>IF($F15="Yes",IF(DATE(2026,10,11)=$C15,"◆",""),IF(AND(DATE(2026,10,11)&gt;=$C15,DATE(2026,10,11)&lt;=$D15),IF(DATE(2026,10,11)&lt;$C15+ROUND($E15*($D15-$C15+1),0),"█","░"),""))</f>
        <v/>
      </c>
      <c r="AL15" s="27">
        <f>IF($F15="Yes",IF(DATE(2026,10,12)=$C15,"◆",""),IF(AND(DATE(2026,10,12)&gt;=$C15,DATE(2026,10,12)&lt;=$D15),IF(DATE(2026,10,12)&lt;$C15+ROUND($E15*($D15-$C15+1),0),"█","░"),""))</f>
        <v/>
      </c>
      <c r="AM15" s="27">
        <f>IF($F15="Yes",IF(DATE(2026,10,13)=$C15,"◆",""),IF(AND(DATE(2026,10,13)&gt;=$C15,DATE(2026,10,13)&lt;=$D15),IF(DATE(2026,10,13)&lt;$C15+ROUND($E15*($D15-$C15+1),0),"█","░"),""))</f>
        <v/>
      </c>
      <c r="AN15" s="27">
        <f>IF($F15="Yes",IF(DATE(2026,10,14)=$C15,"◆",""),IF(AND(DATE(2026,10,14)&gt;=$C15,DATE(2026,10,14)&lt;=$D15),IF(DATE(2026,10,14)&lt;$C15+ROUND($E15*($D15-$C15+1),0),"█","░"),""))</f>
        <v/>
      </c>
    </row>
    <row r="16">
      <c r="A16" s="4">
        <f>'Project Tracker'!A15</f>
        <v/>
      </c>
      <c r="B16" s="5">
        <f>'Project Tracker'!C15</f>
        <v/>
      </c>
      <c r="C16" s="7">
        <f>'Project Tracker'!E15</f>
        <v/>
      </c>
      <c r="D16" s="7">
        <f>'Project Tracker'!F15</f>
        <v/>
      </c>
      <c r="E16" s="9">
        <f>'Project Tracker'!N15</f>
        <v/>
      </c>
      <c r="F16" s="4">
        <f>'Project Tracker'!J15</f>
        <v/>
      </c>
      <c r="G16" s="27">
        <f>IF($F16="Yes",IF(DATE(2026,9,11)=$C16,"◆",""),IF(AND(DATE(2026,9,11)&gt;=$C16,DATE(2026,9,11)&lt;=$D16),IF(DATE(2026,9,11)&lt;$C16+ROUND($E16*($D16-$C16+1),0),"█","░"),""))</f>
        <v/>
      </c>
      <c r="H16" s="28">
        <f>IF($F16="Yes",IF(DATE(2026,9,12)=$C16,"◆",""),IF(AND(DATE(2026,9,12)&gt;=$C16,DATE(2026,9,12)&lt;=$D16),IF(DATE(2026,9,12)&lt;$C16+ROUND($E16*($D16-$C16+1),0),"█","░"),""))</f>
        <v/>
      </c>
      <c r="I16" s="28">
        <f>IF($F16="Yes",IF(DATE(2026,9,13)=$C16,"◆",""),IF(AND(DATE(2026,9,13)&gt;=$C16,DATE(2026,9,13)&lt;=$D16),IF(DATE(2026,9,13)&lt;$C16+ROUND($E16*($D16-$C16+1),0),"█","░"),""))</f>
        <v/>
      </c>
      <c r="J16" s="27">
        <f>IF($F16="Yes",IF(DATE(2026,9,14)=$C16,"◆",""),IF(AND(DATE(2026,9,14)&gt;=$C16,DATE(2026,9,14)&lt;=$D16),IF(DATE(2026,9,14)&lt;$C16+ROUND($E16*($D16-$C16+1),0),"█","░"),""))</f>
        <v/>
      </c>
      <c r="K16" s="27">
        <f>IF($F16="Yes",IF(DATE(2026,9,15)=$C16,"◆",""),IF(AND(DATE(2026,9,15)&gt;=$C16,DATE(2026,9,15)&lt;=$D16),IF(DATE(2026,9,15)&lt;$C16+ROUND($E16*($D16-$C16+1),0),"█","░"),""))</f>
        <v/>
      </c>
      <c r="L16" s="27">
        <f>IF($F16="Yes",IF(DATE(2026,9,16)=$C16,"◆",""),IF(AND(DATE(2026,9,16)&gt;=$C16,DATE(2026,9,16)&lt;=$D16),IF(DATE(2026,9,16)&lt;$C16+ROUND($E16*($D16-$C16+1),0),"█","░"),""))</f>
        <v/>
      </c>
      <c r="M16" s="27">
        <f>IF($F16="Yes",IF(DATE(2026,9,17)=$C16,"◆",""),IF(AND(DATE(2026,9,17)&gt;=$C16,DATE(2026,9,17)&lt;=$D16),IF(DATE(2026,9,17)&lt;$C16+ROUND($E16*($D16-$C16+1),0),"█","░"),""))</f>
        <v/>
      </c>
      <c r="N16" s="27">
        <f>IF($F16="Yes",IF(DATE(2026,9,18)=$C16,"◆",""),IF(AND(DATE(2026,9,18)&gt;=$C16,DATE(2026,9,18)&lt;=$D16),IF(DATE(2026,9,18)&lt;$C16+ROUND($E16*($D16-$C16+1),0),"█","░"),""))</f>
        <v/>
      </c>
      <c r="O16" s="28">
        <f>IF($F16="Yes",IF(DATE(2026,9,19)=$C16,"◆",""),IF(AND(DATE(2026,9,19)&gt;=$C16,DATE(2026,9,19)&lt;=$D16),IF(DATE(2026,9,19)&lt;$C16+ROUND($E16*($D16-$C16+1),0),"█","░"),""))</f>
        <v/>
      </c>
      <c r="P16" s="28">
        <f>IF($F16="Yes",IF(DATE(2026,9,20)=$C16,"◆",""),IF(AND(DATE(2026,9,20)&gt;=$C16,DATE(2026,9,20)&lt;=$D16),IF(DATE(2026,9,20)&lt;$C16+ROUND($E16*($D16-$C16+1),0),"█","░"),""))</f>
        <v/>
      </c>
      <c r="Q16" s="27">
        <f>IF($F16="Yes",IF(DATE(2026,9,21)=$C16,"◆",""),IF(AND(DATE(2026,9,21)&gt;=$C16,DATE(2026,9,21)&lt;=$D16),IF(DATE(2026,9,21)&lt;$C16+ROUND($E16*($D16-$C16+1),0),"█","░"),""))</f>
        <v/>
      </c>
      <c r="R16" s="27">
        <f>IF($F16="Yes",IF(DATE(2026,9,22)=$C16,"◆",""),IF(AND(DATE(2026,9,22)&gt;=$C16,DATE(2026,9,22)&lt;=$D16),IF(DATE(2026,9,22)&lt;$C16+ROUND($E16*($D16-$C16+1),0),"█","░"),""))</f>
        <v/>
      </c>
      <c r="S16" s="27">
        <f>IF($F16="Yes",IF(DATE(2026,9,23)=$C16,"◆",""),IF(AND(DATE(2026,9,23)&gt;=$C16,DATE(2026,9,23)&lt;=$D16),IF(DATE(2026,9,23)&lt;$C16+ROUND($E16*($D16-$C16+1),0),"█","░"),""))</f>
        <v/>
      </c>
      <c r="T16" s="27">
        <f>IF($F16="Yes",IF(DATE(2026,9,24)=$C16,"◆",""),IF(AND(DATE(2026,9,24)&gt;=$C16,DATE(2026,9,24)&lt;=$D16),IF(DATE(2026,9,24)&lt;$C16+ROUND($E16*($D16-$C16+1),0),"█","░"),""))</f>
        <v/>
      </c>
      <c r="U16" s="27">
        <f>IF($F16="Yes",IF(DATE(2026,9,25)=$C16,"◆",""),IF(AND(DATE(2026,9,25)&gt;=$C16,DATE(2026,9,25)&lt;=$D16),IF(DATE(2026,9,25)&lt;$C16+ROUND($E16*($D16-$C16+1),0),"█","░"),""))</f>
        <v/>
      </c>
      <c r="V16" s="28">
        <f>IF($F16="Yes",IF(DATE(2026,9,26)=$C16,"◆",""),IF(AND(DATE(2026,9,26)&gt;=$C16,DATE(2026,9,26)&lt;=$D16),IF(DATE(2026,9,26)&lt;$C16+ROUND($E16*($D16-$C16+1),0),"█","░"),""))</f>
        <v/>
      </c>
      <c r="W16" s="28">
        <f>IF($F16="Yes",IF(DATE(2026,9,27)=$C16,"◆",""),IF(AND(DATE(2026,9,27)&gt;=$C16,DATE(2026,9,27)&lt;=$D16),IF(DATE(2026,9,27)&lt;$C16+ROUND($E16*($D16-$C16+1),0),"█","░"),""))</f>
        <v/>
      </c>
      <c r="X16" s="27">
        <f>IF($F16="Yes",IF(DATE(2026,9,28)=$C16,"◆",""),IF(AND(DATE(2026,9,28)&gt;=$C16,DATE(2026,9,28)&lt;=$D16),IF(DATE(2026,9,28)&lt;$C16+ROUND($E16*($D16-$C16+1),0),"█","░"),""))</f>
        <v/>
      </c>
      <c r="Y16" s="27">
        <f>IF($F16="Yes",IF(DATE(2026,9,29)=$C16,"◆",""),IF(AND(DATE(2026,9,29)&gt;=$C16,DATE(2026,9,29)&lt;=$D16),IF(DATE(2026,9,29)&lt;$C16+ROUND($E16*($D16-$C16+1),0),"█","░"),""))</f>
        <v/>
      </c>
      <c r="Z16" s="27">
        <f>IF($F16="Yes",IF(DATE(2026,9,30)=$C16,"◆",""),IF(AND(DATE(2026,9,30)&gt;=$C16,DATE(2026,9,30)&lt;=$D16),IF(DATE(2026,9,30)&lt;$C16+ROUND($E16*($D16-$C16+1),0),"█","░"),""))</f>
        <v/>
      </c>
      <c r="AA16" s="27">
        <f>IF($F16="Yes",IF(DATE(2026,10,1)=$C16,"◆",""),IF(AND(DATE(2026,10,1)&gt;=$C16,DATE(2026,10,1)&lt;=$D16),IF(DATE(2026,10,1)&lt;$C16+ROUND($E16*($D16-$C16+1),0),"█","░"),""))</f>
        <v/>
      </c>
      <c r="AB16" s="27">
        <f>IF($F16="Yes",IF(DATE(2026,10,2)=$C16,"◆",""),IF(AND(DATE(2026,10,2)&gt;=$C16,DATE(2026,10,2)&lt;=$D16),IF(DATE(2026,10,2)&lt;$C16+ROUND($E16*($D16-$C16+1),0),"█","░"),""))</f>
        <v/>
      </c>
      <c r="AC16" s="28">
        <f>IF($F16="Yes",IF(DATE(2026,10,3)=$C16,"◆",""),IF(AND(DATE(2026,10,3)&gt;=$C16,DATE(2026,10,3)&lt;=$D16),IF(DATE(2026,10,3)&lt;$C16+ROUND($E16*($D16-$C16+1),0),"█","░"),""))</f>
        <v/>
      </c>
      <c r="AD16" s="28">
        <f>IF($F16="Yes",IF(DATE(2026,10,4)=$C16,"◆",""),IF(AND(DATE(2026,10,4)&gt;=$C16,DATE(2026,10,4)&lt;=$D16),IF(DATE(2026,10,4)&lt;$C16+ROUND($E16*($D16-$C16+1),0),"█","░"),""))</f>
        <v/>
      </c>
      <c r="AE16" s="27">
        <f>IF($F16="Yes",IF(DATE(2026,10,5)=$C16,"◆",""),IF(AND(DATE(2026,10,5)&gt;=$C16,DATE(2026,10,5)&lt;=$D16),IF(DATE(2026,10,5)&lt;$C16+ROUND($E16*($D16-$C16+1),0),"█","░"),""))</f>
        <v/>
      </c>
      <c r="AF16" s="27">
        <f>IF($F16="Yes",IF(DATE(2026,10,6)=$C16,"◆",""),IF(AND(DATE(2026,10,6)&gt;=$C16,DATE(2026,10,6)&lt;=$D16),IF(DATE(2026,10,6)&lt;$C16+ROUND($E16*($D16-$C16+1),0),"█","░"),""))</f>
        <v/>
      </c>
      <c r="AG16" s="27">
        <f>IF($F16="Yes",IF(DATE(2026,10,7)=$C16,"◆",""),IF(AND(DATE(2026,10,7)&gt;=$C16,DATE(2026,10,7)&lt;=$D16),IF(DATE(2026,10,7)&lt;$C16+ROUND($E16*($D16-$C16+1),0),"█","░"),""))</f>
        <v/>
      </c>
      <c r="AH16" s="27">
        <f>IF($F16="Yes",IF(DATE(2026,10,8)=$C16,"◆",""),IF(AND(DATE(2026,10,8)&gt;=$C16,DATE(2026,10,8)&lt;=$D16),IF(DATE(2026,10,8)&lt;$C16+ROUND($E16*($D16-$C16+1),0),"█","░"),""))</f>
        <v/>
      </c>
      <c r="AI16" s="27">
        <f>IF($F16="Yes",IF(DATE(2026,10,9)=$C16,"◆",""),IF(AND(DATE(2026,10,9)&gt;=$C16,DATE(2026,10,9)&lt;=$D16),IF(DATE(2026,10,9)&lt;$C16+ROUND($E16*($D16-$C16+1),0),"█","░"),""))</f>
        <v/>
      </c>
      <c r="AJ16" s="28">
        <f>IF($F16="Yes",IF(DATE(2026,10,10)=$C16,"◆",""),IF(AND(DATE(2026,10,10)&gt;=$C16,DATE(2026,10,10)&lt;=$D16),IF(DATE(2026,10,10)&lt;$C16+ROUND($E16*($D16-$C16+1),0),"█","░"),""))</f>
        <v/>
      </c>
      <c r="AK16" s="28">
        <f>IF($F16="Yes",IF(DATE(2026,10,11)=$C16,"◆",""),IF(AND(DATE(2026,10,11)&gt;=$C16,DATE(2026,10,11)&lt;=$D16),IF(DATE(2026,10,11)&lt;$C16+ROUND($E16*($D16-$C16+1),0),"█","░"),""))</f>
        <v/>
      </c>
      <c r="AL16" s="27">
        <f>IF($F16="Yes",IF(DATE(2026,10,12)=$C16,"◆",""),IF(AND(DATE(2026,10,12)&gt;=$C16,DATE(2026,10,12)&lt;=$D16),IF(DATE(2026,10,12)&lt;$C16+ROUND($E16*($D16-$C16+1),0),"█","░"),""))</f>
        <v/>
      </c>
      <c r="AM16" s="27">
        <f>IF($F16="Yes",IF(DATE(2026,10,13)=$C16,"◆",""),IF(AND(DATE(2026,10,13)&gt;=$C16,DATE(2026,10,13)&lt;=$D16),IF(DATE(2026,10,13)&lt;$C16+ROUND($E16*($D16-$C16+1),0),"█","░"),""))</f>
        <v/>
      </c>
      <c r="AN16" s="27">
        <f>IF($F16="Yes",IF(DATE(2026,10,14)=$C16,"◆",""),IF(AND(DATE(2026,10,14)&gt;=$C16,DATE(2026,10,14)&lt;=$D16),IF(DATE(2026,10,14)&lt;$C16+ROUND($E16*($D16-$C16+1),0),"█","░"),""))</f>
        <v/>
      </c>
    </row>
    <row r="17">
      <c r="A17" s="4">
        <f>'Project Tracker'!A16</f>
        <v/>
      </c>
      <c r="B17" s="5">
        <f>'Project Tracker'!C16</f>
        <v/>
      </c>
      <c r="C17" s="7">
        <f>'Project Tracker'!E16</f>
        <v/>
      </c>
      <c r="D17" s="7">
        <f>'Project Tracker'!F16</f>
        <v/>
      </c>
      <c r="E17" s="9">
        <f>'Project Tracker'!N16</f>
        <v/>
      </c>
      <c r="F17" s="4">
        <f>'Project Tracker'!J16</f>
        <v/>
      </c>
      <c r="G17" s="27">
        <f>IF($F17="Yes",IF(DATE(2026,9,11)=$C17,"◆",""),IF(AND(DATE(2026,9,11)&gt;=$C17,DATE(2026,9,11)&lt;=$D17),IF(DATE(2026,9,11)&lt;$C17+ROUND($E17*($D17-$C17+1),0),"█","░"),""))</f>
        <v/>
      </c>
      <c r="H17" s="28">
        <f>IF($F17="Yes",IF(DATE(2026,9,12)=$C17,"◆",""),IF(AND(DATE(2026,9,12)&gt;=$C17,DATE(2026,9,12)&lt;=$D17),IF(DATE(2026,9,12)&lt;$C17+ROUND($E17*($D17-$C17+1),0),"█","░"),""))</f>
        <v/>
      </c>
      <c r="I17" s="28">
        <f>IF($F17="Yes",IF(DATE(2026,9,13)=$C17,"◆",""),IF(AND(DATE(2026,9,13)&gt;=$C17,DATE(2026,9,13)&lt;=$D17),IF(DATE(2026,9,13)&lt;$C17+ROUND($E17*($D17-$C17+1),0),"█","░"),""))</f>
        <v/>
      </c>
      <c r="J17" s="27">
        <f>IF($F17="Yes",IF(DATE(2026,9,14)=$C17,"◆",""),IF(AND(DATE(2026,9,14)&gt;=$C17,DATE(2026,9,14)&lt;=$D17),IF(DATE(2026,9,14)&lt;$C17+ROUND($E17*($D17-$C17+1),0),"█","░"),""))</f>
        <v/>
      </c>
      <c r="K17" s="27">
        <f>IF($F17="Yes",IF(DATE(2026,9,15)=$C17,"◆",""),IF(AND(DATE(2026,9,15)&gt;=$C17,DATE(2026,9,15)&lt;=$D17),IF(DATE(2026,9,15)&lt;$C17+ROUND($E17*($D17-$C17+1),0),"█","░"),""))</f>
        <v/>
      </c>
      <c r="L17" s="27">
        <f>IF($F17="Yes",IF(DATE(2026,9,16)=$C17,"◆",""),IF(AND(DATE(2026,9,16)&gt;=$C17,DATE(2026,9,16)&lt;=$D17),IF(DATE(2026,9,16)&lt;$C17+ROUND($E17*($D17-$C17+1),0),"█","░"),""))</f>
        <v/>
      </c>
      <c r="M17" s="27">
        <f>IF($F17="Yes",IF(DATE(2026,9,17)=$C17,"◆",""),IF(AND(DATE(2026,9,17)&gt;=$C17,DATE(2026,9,17)&lt;=$D17),IF(DATE(2026,9,17)&lt;$C17+ROUND($E17*($D17-$C17+1),0),"█","░"),""))</f>
        <v/>
      </c>
      <c r="N17" s="27">
        <f>IF($F17="Yes",IF(DATE(2026,9,18)=$C17,"◆",""),IF(AND(DATE(2026,9,18)&gt;=$C17,DATE(2026,9,18)&lt;=$D17),IF(DATE(2026,9,18)&lt;$C17+ROUND($E17*($D17-$C17+1),0),"█","░"),""))</f>
        <v/>
      </c>
      <c r="O17" s="28">
        <f>IF($F17="Yes",IF(DATE(2026,9,19)=$C17,"◆",""),IF(AND(DATE(2026,9,19)&gt;=$C17,DATE(2026,9,19)&lt;=$D17),IF(DATE(2026,9,19)&lt;$C17+ROUND($E17*($D17-$C17+1),0),"█","░"),""))</f>
        <v/>
      </c>
      <c r="P17" s="28">
        <f>IF($F17="Yes",IF(DATE(2026,9,20)=$C17,"◆",""),IF(AND(DATE(2026,9,20)&gt;=$C17,DATE(2026,9,20)&lt;=$D17),IF(DATE(2026,9,20)&lt;$C17+ROUND($E17*($D17-$C17+1),0),"█","░"),""))</f>
        <v/>
      </c>
      <c r="Q17" s="27">
        <f>IF($F17="Yes",IF(DATE(2026,9,21)=$C17,"◆",""),IF(AND(DATE(2026,9,21)&gt;=$C17,DATE(2026,9,21)&lt;=$D17),IF(DATE(2026,9,21)&lt;$C17+ROUND($E17*($D17-$C17+1),0),"█","░"),""))</f>
        <v/>
      </c>
      <c r="R17" s="27">
        <f>IF($F17="Yes",IF(DATE(2026,9,22)=$C17,"◆",""),IF(AND(DATE(2026,9,22)&gt;=$C17,DATE(2026,9,22)&lt;=$D17),IF(DATE(2026,9,22)&lt;$C17+ROUND($E17*($D17-$C17+1),0),"█","░"),""))</f>
        <v/>
      </c>
      <c r="S17" s="27">
        <f>IF($F17="Yes",IF(DATE(2026,9,23)=$C17,"◆",""),IF(AND(DATE(2026,9,23)&gt;=$C17,DATE(2026,9,23)&lt;=$D17),IF(DATE(2026,9,23)&lt;$C17+ROUND($E17*($D17-$C17+1),0),"█","░"),""))</f>
        <v/>
      </c>
      <c r="T17" s="27">
        <f>IF($F17="Yes",IF(DATE(2026,9,24)=$C17,"◆",""),IF(AND(DATE(2026,9,24)&gt;=$C17,DATE(2026,9,24)&lt;=$D17),IF(DATE(2026,9,24)&lt;$C17+ROUND($E17*($D17-$C17+1),0),"█","░"),""))</f>
        <v/>
      </c>
      <c r="U17" s="27">
        <f>IF($F17="Yes",IF(DATE(2026,9,25)=$C17,"◆",""),IF(AND(DATE(2026,9,25)&gt;=$C17,DATE(2026,9,25)&lt;=$D17),IF(DATE(2026,9,25)&lt;$C17+ROUND($E17*($D17-$C17+1),0),"█","░"),""))</f>
        <v/>
      </c>
      <c r="V17" s="28">
        <f>IF($F17="Yes",IF(DATE(2026,9,26)=$C17,"◆",""),IF(AND(DATE(2026,9,26)&gt;=$C17,DATE(2026,9,26)&lt;=$D17),IF(DATE(2026,9,26)&lt;$C17+ROUND($E17*($D17-$C17+1),0),"█","░"),""))</f>
        <v/>
      </c>
      <c r="W17" s="28">
        <f>IF($F17="Yes",IF(DATE(2026,9,27)=$C17,"◆",""),IF(AND(DATE(2026,9,27)&gt;=$C17,DATE(2026,9,27)&lt;=$D17),IF(DATE(2026,9,27)&lt;$C17+ROUND($E17*($D17-$C17+1),0),"█","░"),""))</f>
        <v/>
      </c>
      <c r="X17" s="27">
        <f>IF($F17="Yes",IF(DATE(2026,9,28)=$C17,"◆",""),IF(AND(DATE(2026,9,28)&gt;=$C17,DATE(2026,9,28)&lt;=$D17),IF(DATE(2026,9,28)&lt;$C17+ROUND($E17*($D17-$C17+1),0),"█","░"),""))</f>
        <v/>
      </c>
      <c r="Y17" s="27">
        <f>IF($F17="Yes",IF(DATE(2026,9,29)=$C17,"◆",""),IF(AND(DATE(2026,9,29)&gt;=$C17,DATE(2026,9,29)&lt;=$D17),IF(DATE(2026,9,29)&lt;$C17+ROUND($E17*($D17-$C17+1),0),"█","░"),""))</f>
        <v/>
      </c>
      <c r="Z17" s="27">
        <f>IF($F17="Yes",IF(DATE(2026,9,30)=$C17,"◆",""),IF(AND(DATE(2026,9,30)&gt;=$C17,DATE(2026,9,30)&lt;=$D17),IF(DATE(2026,9,30)&lt;$C17+ROUND($E17*($D17-$C17+1),0),"█","░"),""))</f>
        <v/>
      </c>
      <c r="AA17" s="27">
        <f>IF($F17="Yes",IF(DATE(2026,10,1)=$C17,"◆",""),IF(AND(DATE(2026,10,1)&gt;=$C17,DATE(2026,10,1)&lt;=$D17),IF(DATE(2026,10,1)&lt;$C17+ROUND($E17*($D17-$C17+1),0),"█","░"),""))</f>
        <v/>
      </c>
      <c r="AB17" s="27">
        <f>IF($F17="Yes",IF(DATE(2026,10,2)=$C17,"◆",""),IF(AND(DATE(2026,10,2)&gt;=$C17,DATE(2026,10,2)&lt;=$D17),IF(DATE(2026,10,2)&lt;$C17+ROUND($E17*($D17-$C17+1),0),"█","░"),""))</f>
        <v/>
      </c>
      <c r="AC17" s="28">
        <f>IF($F17="Yes",IF(DATE(2026,10,3)=$C17,"◆",""),IF(AND(DATE(2026,10,3)&gt;=$C17,DATE(2026,10,3)&lt;=$D17),IF(DATE(2026,10,3)&lt;$C17+ROUND($E17*($D17-$C17+1),0),"█","░"),""))</f>
        <v/>
      </c>
      <c r="AD17" s="28">
        <f>IF($F17="Yes",IF(DATE(2026,10,4)=$C17,"◆",""),IF(AND(DATE(2026,10,4)&gt;=$C17,DATE(2026,10,4)&lt;=$D17),IF(DATE(2026,10,4)&lt;$C17+ROUND($E17*($D17-$C17+1),0),"█","░"),""))</f>
        <v/>
      </c>
      <c r="AE17" s="27">
        <f>IF($F17="Yes",IF(DATE(2026,10,5)=$C17,"◆",""),IF(AND(DATE(2026,10,5)&gt;=$C17,DATE(2026,10,5)&lt;=$D17),IF(DATE(2026,10,5)&lt;$C17+ROUND($E17*($D17-$C17+1),0),"█","░"),""))</f>
        <v/>
      </c>
      <c r="AF17" s="27">
        <f>IF($F17="Yes",IF(DATE(2026,10,6)=$C17,"◆",""),IF(AND(DATE(2026,10,6)&gt;=$C17,DATE(2026,10,6)&lt;=$D17),IF(DATE(2026,10,6)&lt;$C17+ROUND($E17*($D17-$C17+1),0),"█","░"),""))</f>
        <v/>
      </c>
      <c r="AG17" s="27">
        <f>IF($F17="Yes",IF(DATE(2026,10,7)=$C17,"◆",""),IF(AND(DATE(2026,10,7)&gt;=$C17,DATE(2026,10,7)&lt;=$D17),IF(DATE(2026,10,7)&lt;$C17+ROUND($E17*($D17-$C17+1),0),"█","░"),""))</f>
        <v/>
      </c>
      <c r="AH17" s="27">
        <f>IF($F17="Yes",IF(DATE(2026,10,8)=$C17,"◆",""),IF(AND(DATE(2026,10,8)&gt;=$C17,DATE(2026,10,8)&lt;=$D17),IF(DATE(2026,10,8)&lt;$C17+ROUND($E17*($D17-$C17+1),0),"█","░"),""))</f>
        <v/>
      </c>
      <c r="AI17" s="27">
        <f>IF($F17="Yes",IF(DATE(2026,10,9)=$C17,"◆",""),IF(AND(DATE(2026,10,9)&gt;=$C17,DATE(2026,10,9)&lt;=$D17),IF(DATE(2026,10,9)&lt;$C17+ROUND($E17*($D17-$C17+1),0),"█","░"),""))</f>
        <v/>
      </c>
      <c r="AJ17" s="28">
        <f>IF($F17="Yes",IF(DATE(2026,10,10)=$C17,"◆",""),IF(AND(DATE(2026,10,10)&gt;=$C17,DATE(2026,10,10)&lt;=$D17),IF(DATE(2026,10,10)&lt;$C17+ROUND($E17*($D17-$C17+1),0),"█","░"),""))</f>
        <v/>
      </c>
      <c r="AK17" s="28">
        <f>IF($F17="Yes",IF(DATE(2026,10,11)=$C17,"◆",""),IF(AND(DATE(2026,10,11)&gt;=$C17,DATE(2026,10,11)&lt;=$D17),IF(DATE(2026,10,11)&lt;$C17+ROUND($E17*($D17-$C17+1),0),"█","░"),""))</f>
        <v/>
      </c>
      <c r="AL17" s="27">
        <f>IF($F17="Yes",IF(DATE(2026,10,12)=$C17,"◆",""),IF(AND(DATE(2026,10,12)&gt;=$C17,DATE(2026,10,12)&lt;=$D17),IF(DATE(2026,10,12)&lt;$C17+ROUND($E17*($D17-$C17+1),0),"█","░"),""))</f>
        <v/>
      </c>
      <c r="AM17" s="27">
        <f>IF($F17="Yes",IF(DATE(2026,10,13)=$C17,"◆",""),IF(AND(DATE(2026,10,13)&gt;=$C17,DATE(2026,10,13)&lt;=$D17),IF(DATE(2026,10,13)&lt;$C17+ROUND($E17*($D17-$C17+1),0),"█","░"),""))</f>
        <v/>
      </c>
      <c r="AN17" s="27">
        <f>IF($F17="Yes",IF(DATE(2026,10,14)=$C17,"◆",""),IF(AND(DATE(2026,10,14)&gt;=$C17,DATE(2026,10,14)&lt;=$D17),IF(DATE(2026,10,14)&lt;$C17+ROUND($E17*($D17-$C17+1),0),"█","░"),""))</f>
        <v/>
      </c>
    </row>
    <row r="18">
      <c r="A18" s="4">
        <f>'Project Tracker'!A17</f>
        <v/>
      </c>
      <c r="B18" s="5">
        <f>'Project Tracker'!C17</f>
        <v/>
      </c>
      <c r="C18" s="7">
        <f>'Project Tracker'!E17</f>
        <v/>
      </c>
      <c r="D18" s="7">
        <f>'Project Tracker'!F17</f>
        <v/>
      </c>
      <c r="E18" s="9">
        <f>'Project Tracker'!N17</f>
        <v/>
      </c>
      <c r="F18" s="4">
        <f>'Project Tracker'!J17</f>
        <v/>
      </c>
      <c r="G18" s="27">
        <f>IF($F18="Yes",IF(DATE(2026,9,11)=$C18,"◆",""),IF(AND(DATE(2026,9,11)&gt;=$C18,DATE(2026,9,11)&lt;=$D18),IF(DATE(2026,9,11)&lt;$C18+ROUND($E18*($D18-$C18+1),0),"█","░"),""))</f>
        <v/>
      </c>
      <c r="H18" s="28">
        <f>IF($F18="Yes",IF(DATE(2026,9,12)=$C18,"◆",""),IF(AND(DATE(2026,9,12)&gt;=$C18,DATE(2026,9,12)&lt;=$D18),IF(DATE(2026,9,12)&lt;$C18+ROUND($E18*($D18-$C18+1),0),"█","░"),""))</f>
        <v/>
      </c>
      <c r="I18" s="28">
        <f>IF($F18="Yes",IF(DATE(2026,9,13)=$C18,"◆",""),IF(AND(DATE(2026,9,13)&gt;=$C18,DATE(2026,9,13)&lt;=$D18),IF(DATE(2026,9,13)&lt;$C18+ROUND($E18*($D18-$C18+1),0),"█","░"),""))</f>
        <v/>
      </c>
      <c r="J18" s="27">
        <f>IF($F18="Yes",IF(DATE(2026,9,14)=$C18,"◆",""),IF(AND(DATE(2026,9,14)&gt;=$C18,DATE(2026,9,14)&lt;=$D18),IF(DATE(2026,9,14)&lt;$C18+ROUND($E18*($D18-$C18+1),0),"█","░"),""))</f>
        <v/>
      </c>
      <c r="K18" s="27">
        <f>IF($F18="Yes",IF(DATE(2026,9,15)=$C18,"◆",""),IF(AND(DATE(2026,9,15)&gt;=$C18,DATE(2026,9,15)&lt;=$D18),IF(DATE(2026,9,15)&lt;$C18+ROUND($E18*($D18-$C18+1),0),"█","░"),""))</f>
        <v/>
      </c>
      <c r="L18" s="27">
        <f>IF($F18="Yes",IF(DATE(2026,9,16)=$C18,"◆",""),IF(AND(DATE(2026,9,16)&gt;=$C18,DATE(2026,9,16)&lt;=$D18),IF(DATE(2026,9,16)&lt;$C18+ROUND($E18*($D18-$C18+1),0),"█","░"),""))</f>
        <v/>
      </c>
      <c r="M18" s="27">
        <f>IF($F18="Yes",IF(DATE(2026,9,17)=$C18,"◆",""),IF(AND(DATE(2026,9,17)&gt;=$C18,DATE(2026,9,17)&lt;=$D18),IF(DATE(2026,9,17)&lt;$C18+ROUND($E18*($D18-$C18+1),0),"█","░"),""))</f>
        <v/>
      </c>
      <c r="N18" s="27">
        <f>IF($F18="Yes",IF(DATE(2026,9,18)=$C18,"◆",""),IF(AND(DATE(2026,9,18)&gt;=$C18,DATE(2026,9,18)&lt;=$D18),IF(DATE(2026,9,18)&lt;$C18+ROUND($E18*($D18-$C18+1),0),"█","░"),""))</f>
        <v/>
      </c>
      <c r="O18" s="28">
        <f>IF($F18="Yes",IF(DATE(2026,9,19)=$C18,"◆",""),IF(AND(DATE(2026,9,19)&gt;=$C18,DATE(2026,9,19)&lt;=$D18),IF(DATE(2026,9,19)&lt;$C18+ROUND($E18*($D18-$C18+1),0),"█","░"),""))</f>
        <v/>
      </c>
      <c r="P18" s="28">
        <f>IF($F18="Yes",IF(DATE(2026,9,20)=$C18,"◆",""),IF(AND(DATE(2026,9,20)&gt;=$C18,DATE(2026,9,20)&lt;=$D18),IF(DATE(2026,9,20)&lt;$C18+ROUND($E18*($D18-$C18+1),0),"█","░"),""))</f>
        <v/>
      </c>
      <c r="Q18" s="27">
        <f>IF($F18="Yes",IF(DATE(2026,9,21)=$C18,"◆",""),IF(AND(DATE(2026,9,21)&gt;=$C18,DATE(2026,9,21)&lt;=$D18),IF(DATE(2026,9,21)&lt;$C18+ROUND($E18*($D18-$C18+1),0),"█","░"),""))</f>
        <v/>
      </c>
      <c r="R18" s="27">
        <f>IF($F18="Yes",IF(DATE(2026,9,22)=$C18,"◆",""),IF(AND(DATE(2026,9,22)&gt;=$C18,DATE(2026,9,22)&lt;=$D18),IF(DATE(2026,9,22)&lt;$C18+ROUND($E18*($D18-$C18+1),0),"█","░"),""))</f>
        <v/>
      </c>
      <c r="S18" s="27">
        <f>IF($F18="Yes",IF(DATE(2026,9,23)=$C18,"◆",""),IF(AND(DATE(2026,9,23)&gt;=$C18,DATE(2026,9,23)&lt;=$D18),IF(DATE(2026,9,23)&lt;$C18+ROUND($E18*($D18-$C18+1),0),"█","░"),""))</f>
        <v/>
      </c>
      <c r="T18" s="27">
        <f>IF($F18="Yes",IF(DATE(2026,9,24)=$C18,"◆",""),IF(AND(DATE(2026,9,24)&gt;=$C18,DATE(2026,9,24)&lt;=$D18),IF(DATE(2026,9,24)&lt;$C18+ROUND($E18*($D18-$C18+1),0),"█","░"),""))</f>
        <v/>
      </c>
      <c r="U18" s="27">
        <f>IF($F18="Yes",IF(DATE(2026,9,25)=$C18,"◆",""),IF(AND(DATE(2026,9,25)&gt;=$C18,DATE(2026,9,25)&lt;=$D18),IF(DATE(2026,9,25)&lt;$C18+ROUND($E18*($D18-$C18+1),0),"█","░"),""))</f>
        <v/>
      </c>
      <c r="V18" s="28">
        <f>IF($F18="Yes",IF(DATE(2026,9,26)=$C18,"◆",""),IF(AND(DATE(2026,9,26)&gt;=$C18,DATE(2026,9,26)&lt;=$D18),IF(DATE(2026,9,26)&lt;$C18+ROUND($E18*($D18-$C18+1),0),"█","░"),""))</f>
        <v/>
      </c>
      <c r="W18" s="28">
        <f>IF($F18="Yes",IF(DATE(2026,9,27)=$C18,"◆",""),IF(AND(DATE(2026,9,27)&gt;=$C18,DATE(2026,9,27)&lt;=$D18),IF(DATE(2026,9,27)&lt;$C18+ROUND($E18*($D18-$C18+1),0),"█","░"),""))</f>
        <v/>
      </c>
      <c r="X18" s="27">
        <f>IF($F18="Yes",IF(DATE(2026,9,28)=$C18,"◆",""),IF(AND(DATE(2026,9,28)&gt;=$C18,DATE(2026,9,28)&lt;=$D18),IF(DATE(2026,9,28)&lt;$C18+ROUND($E18*($D18-$C18+1),0),"█","░"),""))</f>
        <v/>
      </c>
      <c r="Y18" s="27">
        <f>IF($F18="Yes",IF(DATE(2026,9,29)=$C18,"◆",""),IF(AND(DATE(2026,9,29)&gt;=$C18,DATE(2026,9,29)&lt;=$D18),IF(DATE(2026,9,29)&lt;$C18+ROUND($E18*($D18-$C18+1),0),"█","░"),""))</f>
        <v/>
      </c>
      <c r="Z18" s="27">
        <f>IF($F18="Yes",IF(DATE(2026,9,30)=$C18,"◆",""),IF(AND(DATE(2026,9,30)&gt;=$C18,DATE(2026,9,30)&lt;=$D18),IF(DATE(2026,9,30)&lt;$C18+ROUND($E18*($D18-$C18+1),0),"█","░"),""))</f>
        <v/>
      </c>
      <c r="AA18" s="27">
        <f>IF($F18="Yes",IF(DATE(2026,10,1)=$C18,"◆",""),IF(AND(DATE(2026,10,1)&gt;=$C18,DATE(2026,10,1)&lt;=$D18),IF(DATE(2026,10,1)&lt;$C18+ROUND($E18*($D18-$C18+1),0),"█","░"),""))</f>
        <v/>
      </c>
      <c r="AB18" s="27">
        <f>IF($F18="Yes",IF(DATE(2026,10,2)=$C18,"◆",""),IF(AND(DATE(2026,10,2)&gt;=$C18,DATE(2026,10,2)&lt;=$D18),IF(DATE(2026,10,2)&lt;$C18+ROUND($E18*($D18-$C18+1),0),"█","░"),""))</f>
        <v/>
      </c>
      <c r="AC18" s="28">
        <f>IF($F18="Yes",IF(DATE(2026,10,3)=$C18,"◆",""),IF(AND(DATE(2026,10,3)&gt;=$C18,DATE(2026,10,3)&lt;=$D18),IF(DATE(2026,10,3)&lt;$C18+ROUND($E18*($D18-$C18+1),0),"█","░"),""))</f>
        <v/>
      </c>
      <c r="AD18" s="28">
        <f>IF($F18="Yes",IF(DATE(2026,10,4)=$C18,"◆",""),IF(AND(DATE(2026,10,4)&gt;=$C18,DATE(2026,10,4)&lt;=$D18),IF(DATE(2026,10,4)&lt;$C18+ROUND($E18*($D18-$C18+1),0),"█","░"),""))</f>
        <v/>
      </c>
      <c r="AE18" s="27">
        <f>IF($F18="Yes",IF(DATE(2026,10,5)=$C18,"◆",""),IF(AND(DATE(2026,10,5)&gt;=$C18,DATE(2026,10,5)&lt;=$D18),IF(DATE(2026,10,5)&lt;$C18+ROUND($E18*($D18-$C18+1),0),"█","░"),""))</f>
        <v/>
      </c>
      <c r="AF18" s="27">
        <f>IF($F18="Yes",IF(DATE(2026,10,6)=$C18,"◆",""),IF(AND(DATE(2026,10,6)&gt;=$C18,DATE(2026,10,6)&lt;=$D18),IF(DATE(2026,10,6)&lt;$C18+ROUND($E18*($D18-$C18+1),0),"█","░"),""))</f>
        <v/>
      </c>
      <c r="AG18" s="27">
        <f>IF($F18="Yes",IF(DATE(2026,10,7)=$C18,"◆",""),IF(AND(DATE(2026,10,7)&gt;=$C18,DATE(2026,10,7)&lt;=$D18),IF(DATE(2026,10,7)&lt;$C18+ROUND($E18*($D18-$C18+1),0),"█","░"),""))</f>
        <v/>
      </c>
      <c r="AH18" s="27">
        <f>IF($F18="Yes",IF(DATE(2026,10,8)=$C18,"◆",""),IF(AND(DATE(2026,10,8)&gt;=$C18,DATE(2026,10,8)&lt;=$D18),IF(DATE(2026,10,8)&lt;$C18+ROUND($E18*($D18-$C18+1),0),"█","░"),""))</f>
        <v/>
      </c>
      <c r="AI18" s="27">
        <f>IF($F18="Yes",IF(DATE(2026,10,9)=$C18,"◆",""),IF(AND(DATE(2026,10,9)&gt;=$C18,DATE(2026,10,9)&lt;=$D18),IF(DATE(2026,10,9)&lt;$C18+ROUND($E18*($D18-$C18+1),0),"█","░"),""))</f>
        <v/>
      </c>
      <c r="AJ18" s="28">
        <f>IF($F18="Yes",IF(DATE(2026,10,10)=$C18,"◆",""),IF(AND(DATE(2026,10,10)&gt;=$C18,DATE(2026,10,10)&lt;=$D18),IF(DATE(2026,10,10)&lt;$C18+ROUND($E18*($D18-$C18+1),0),"█","░"),""))</f>
        <v/>
      </c>
      <c r="AK18" s="28">
        <f>IF($F18="Yes",IF(DATE(2026,10,11)=$C18,"◆",""),IF(AND(DATE(2026,10,11)&gt;=$C18,DATE(2026,10,11)&lt;=$D18),IF(DATE(2026,10,11)&lt;$C18+ROUND($E18*($D18-$C18+1),0),"█","░"),""))</f>
        <v/>
      </c>
      <c r="AL18" s="27">
        <f>IF($F18="Yes",IF(DATE(2026,10,12)=$C18,"◆",""),IF(AND(DATE(2026,10,12)&gt;=$C18,DATE(2026,10,12)&lt;=$D18),IF(DATE(2026,10,12)&lt;$C18+ROUND($E18*($D18-$C18+1),0),"█","░"),""))</f>
        <v/>
      </c>
      <c r="AM18" s="27">
        <f>IF($F18="Yes",IF(DATE(2026,10,13)=$C18,"◆",""),IF(AND(DATE(2026,10,13)&gt;=$C18,DATE(2026,10,13)&lt;=$D18),IF(DATE(2026,10,13)&lt;$C18+ROUND($E18*($D18-$C18+1),0),"█","░"),""))</f>
        <v/>
      </c>
      <c r="AN18" s="27">
        <f>IF($F18="Yes",IF(DATE(2026,10,14)=$C18,"◆",""),IF(AND(DATE(2026,10,14)&gt;=$C18,DATE(2026,10,14)&lt;=$D18),IF(DATE(2026,10,14)&lt;$C18+ROUND($E18*($D18-$C18+1),0),"█","░"),""))</f>
        <v/>
      </c>
    </row>
    <row r="19">
      <c r="A19" s="4">
        <f>'Project Tracker'!A18</f>
        <v/>
      </c>
      <c r="B19" s="5">
        <f>'Project Tracker'!C18</f>
        <v/>
      </c>
      <c r="C19" s="7">
        <f>'Project Tracker'!E18</f>
        <v/>
      </c>
      <c r="D19" s="7">
        <f>'Project Tracker'!F18</f>
        <v/>
      </c>
      <c r="E19" s="9">
        <f>'Project Tracker'!N18</f>
        <v/>
      </c>
      <c r="F19" s="4">
        <f>'Project Tracker'!J18</f>
        <v/>
      </c>
      <c r="G19" s="27">
        <f>IF($F19="Yes",IF(DATE(2026,9,11)=$C19,"◆",""),IF(AND(DATE(2026,9,11)&gt;=$C19,DATE(2026,9,11)&lt;=$D19),IF(DATE(2026,9,11)&lt;$C19+ROUND($E19*($D19-$C19+1),0),"█","░"),""))</f>
        <v/>
      </c>
      <c r="H19" s="28">
        <f>IF($F19="Yes",IF(DATE(2026,9,12)=$C19,"◆",""),IF(AND(DATE(2026,9,12)&gt;=$C19,DATE(2026,9,12)&lt;=$D19),IF(DATE(2026,9,12)&lt;$C19+ROUND($E19*($D19-$C19+1),0),"█","░"),""))</f>
        <v/>
      </c>
      <c r="I19" s="28">
        <f>IF($F19="Yes",IF(DATE(2026,9,13)=$C19,"◆",""),IF(AND(DATE(2026,9,13)&gt;=$C19,DATE(2026,9,13)&lt;=$D19),IF(DATE(2026,9,13)&lt;$C19+ROUND($E19*($D19-$C19+1),0),"█","░"),""))</f>
        <v/>
      </c>
      <c r="J19" s="27">
        <f>IF($F19="Yes",IF(DATE(2026,9,14)=$C19,"◆",""),IF(AND(DATE(2026,9,14)&gt;=$C19,DATE(2026,9,14)&lt;=$D19),IF(DATE(2026,9,14)&lt;$C19+ROUND($E19*($D19-$C19+1),0),"█","░"),""))</f>
        <v/>
      </c>
      <c r="K19" s="27">
        <f>IF($F19="Yes",IF(DATE(2026,9,15)=$C19,"◆",""),IF(AND(DATE(2026,9,15)&gt;=$C19,DATE(2026,9,15)&lt;=$D19),IF(DATE(2026,9,15)&lt;$C19+ROUND($E19*($D19-$C19+1),0),"█","░"),""))</f>
        <v/>
      </c>
      <c r="L19" s="27">
        <f>IF($F19="Yes",IF(DATE(2026,9,16)=$C19,"◆",""),IF(AND(DATE(2026,9,16)&gt;=$C19,DATE(2026,9,16)&lt;=$D19),IF(DATE(2026,9,16)&lt;$C19+ROUND($E19*($D19-$C19+1),0),"█","░"),""))</f>
        <v/>
      </c>
      <c r="M19" s="27">
        <f>IF($F19="Yes",IF(DATE(2026,9,17)=$C19,"◆",""),IF(AND(DATE(2026,9,17)&gt;=$C19,DATE(2026,9,17)&lt;=$D19),IF(DATE(2026,9,17)&lt;$C19+ROUND($E19*($D19-$C19+1),0),"█","░"),""))</f>
        <v/>
      </c>
      <c r="N19" s="27">
        <f>IF($F19="Yes",IF(DATE(2026,9,18)=$C19,"◆",""),IF(AND(DATE(2026,9,18)&gt;=$C19,DATE(2026,9,18)&lt;=$D19),IF(DATE(2026,9,18)&lt;$C19+ROUND($E19*($D19-$C19+1),0),"█","░"),""))</f>
        <v/>
      </c>
      <c r="O19" s="28">
        <f>IF($F19="Yes",IF(DATE(2026,9,19)=$C19,"◆",""),IF(AND(DATE(2026,9,19)&gt;=$C19,DATE(2026,9,19)&lt;=$D19),IF(DATE(2026,9,19)&lt;$C19+ROUND($E19*($D19-$C19+1),0),"█","░"),""))</f>
        <v/>
      </c>
      <c r="P19" s="28">
        <f>IF($F19="Yes",IF(DATE(2026,9,20)=$C19,"◆",""),IF(AND(DATE(2026,9,20)&gt;=$C19,DATE(2026,9,20)&lt;=$D19),IF(DATE(2026,9,20)&lt;$C19+ROUND($E19*($D19-$C19+1),0),"█","░"),""))</f>
        <v/>
      </c>
      <c r="Q19" s="27">
        <f>IF($F19="Yes",IF(DATE(2026,9,21)=$C19,"◆",""),IF(AND(DATE(2026,9,21)&gt;=$C19,DATE(2026,9,21)&lt;=$D19),IF(DATE(2026,9,21)&lt;$C19+ROUND($E19*($D19-$C19+1),0),"█","░"),""))</f>
        <v/>
      </c>
      <c r="R19" s="27">
        <f>IF($F19="Yes",IF(DATE(2026,9,22)=$C19,"◆",""),IF(AND(DATE(2026,9,22)&gt;=$C19,DATE(2026,9,22)&lt;=$D19),IF(DATE(2026,9,22)&lt;$C19+ROUND($E19*($D19-$C19+1),0),"█","░"),""))</f>
        <v/>
      </c>
      <c r="S19" s="27">
        <f>IF($F19="Yes",IF(DATE(2026,9,23)=$C19,"◆",""),IF(AND(DATE(2026,9,23)&gt;=$C19,DATE(2026,9,23)&lt;=$D19),IF(DATE(2026,9,23)&lt;$C19+ROUND($E19*($D19-$C19+1),0),"█","░"),""))</f>
        <v/>
      </c>
      <c r="T19" s="27">
        <f>IF($F19="Yes",IF(DATE(2026,9,24)=$C19,"◆",""),IF(AND(DATE(2026,9,24)&gt;=$C19,DATE(2026,9,24)&lt;=$D19),IF(DATE(2026,9,24)&lt;$C19+ROUND($E19*($D19-$C19+1),0),"█","░"),""))</f>
        <v/>
      </c>
      <c r="U19" s="27">
        <f>IF($F19="Yes",IF(DATE(2026,9,25)=$C19,"◆",""),IF(AND(DATE(2026,9,25)&gt;=$C19,DATE(2026,9,25)&lt;=$D19),IF(DATE(2026,9,25)&lt;$C19+ROUND($E19*($D19-$C19+1),0),"█","░"),""))</f>
        <v/>
      </c>
      <c r="V19" s="28">
        <f>IF($F19="Yes",IF(DATE(2026,9,26)=$C19,"◆",""),IF(AND(DATE(2026,9,26)&gt;=$C19,DATE(2026,9,26)&lt;=$D19),IF(DATE(2026,9,26)&lt;$C19+ROUND($E19*($D19-$C19+1),0),"█","░"),""))</f>
        <v/>
      </c>
      <c r="W19" s="28">
        <f>IF($F19="Yes",IF(DATE(2026,9,27)=$C19,"◆",""),IF(AND(DATE(2026,9,27)&gt;=$C19,DATE(2026,9,27)&lt;=$D19),IF(DATE(2026,9,27)&lt;$C19+ROUND($E19*($D19-$C19+1),0),"█","░"),""))</f>
        <v/>
      </c>
      <c r="X19" s="27">
        <f>IF($F19="Yes",IF(DATE(2026,9,28)=$C19,"◆",""),IF(AND(DATE(2026,9,28)&gt;=$C19,DATE(2026,9,28)&lt;=$D19),IF(DATE(2026,9,28)&lt;$C19+ROUND($E19*($D19-$C19+1),0),"█","░"),""))</f>
        <v/>
      </c>
      <c r="Y19" s="27">
        <f>IF($F19="Yes",IF(DATE(2026,9,29)=$C19,"◆",""),IF(AND(DATE(2026,9,29)&gt;=$C19,DATE(2026,9,29)&lt;=$D19),IF(DATE(2026,9,29)&lt;$C19+ROUND($E19*($D19-$C19+1),0),"█","░"),""))</f>
        <v/>
      </c>
      <c r="Z19" s="27">
        <f>IF($F19="Yes",IF(DATE(2026,9,30)=$C19,"◆",""),IF(AND(DATE(2026,9,30)&gt;=$C19,DATE(2026,9,30)&lt;=$D19),IF(DATE(2026,9,30)&lt;$C19+ROUND($E19*($D19-$C19+1),0),"█","░"),""))</f>
        <v/>
      </c>
      <c r="AA19" s="27">
        <f>IF($F19="Yes",IF(DATE(2026,10,1)=$C19,"◆",""),IF(AND(DATE(2026,10,1)&gt;=$C19,DATE(2026,10,1)&lt;=$D19),IF(DATE(2026,10,1)&lt;$C19+ROUND($E19*($D19-$C19+1),0),"█","░"),""))</f>
        <v/>
      </c>
      <c r="AB19" s="27">
        <f>IF($F19="Yes",IF(DATE(2026,10,2)=$C19,"◆",""),IF(AND(DATE(2026,10,2)&gt;=$C19,DATE(2026,10,2)&lt;=$D19),IF(DATE(2026,10,2)&lt;$C19+ROUND($E19*($D19-$C19+1),0),"█","░"),""))</f>
        <v/>
      </c>
      <c r="AC19" s="28">
        <f>IF($F19="Yes",IF(DATE(2026,10,3)=$C19,"◆",""),IF(AND(DATE(2026,10,3)&gt;=$C19,DATE(2026,10,3)&lt;=$D19),IF(DATE(2026,10,3)&lt;$C19+ROUND($E19*($D19-$C19+1),0),"█","░"),""))</f>
        <v/>
      </c>
      <c r="AD19" s="28">
        <f>IF($F19="Yes",IF(DATE(2026,10,4)=$C19,"◆",""),IF(AND(DATE(2026,10,4)&gt;=$C19,DATE(2026,10,4)&lt;=$D19),IF(DATE(2026,10,4)&lt;$C19+ROUND($E19*($D19-$C19+1),0),"█","░"),""))</f>
        <v/>
      </c>
      <c r="AE19" s="27">
        <f>IF($F19="Yes",IF(DATE(2026,10,5)=$C19,"◆",""),IF(AND(DATE(2026,10,5)&gt;=$C19,DATE(2026,10,5)&lt;=$D19),IF(DATE(2026,10,5)&lt;$C19+ROUND($E19*($D19-$C19+1),0),"█","░"),""))</f>
        <v/>
      </c>
      <c r="AF19" s="27">
        <f>IF($F19="Yes",IF(DATE(2026,10,6)=$C19,"◆",""),IF(AND(DATE(2026,10,6)&gt;=$C19,DATE(2026,10,6)&lt;=$D19),IF(DATE(2026,10,6)&lt;$C19+ROUND($E19*($D19-$C19+1),0),"█","░"),""))</f>
        <v/>
      </c>
      <c r="AG19" s="27">
        <f>IF($F19="Yes",IF(DATE(2026,10,7)=$C19,"◆",""),IF(AND(DATE(2026,10,7)&gt;=$C19,DATE(2026,10,7)&lt;=$D19),IF(DATE(2026,10,7)&lt;$C19+ROUND($E19*($D19-$C19+1),0),"█","░"),""))</f>
        <v/>
      </c>
      <c r="AH19" s="27">
        <f>IF($F19="Yes",IF(DATE(2026,10,8)=$C19,"◆",""),IF(AND(DATE(2026,10,8)&gt;=$C19,DATE(2026,10,8)&lt;=$D19),IF(DATE(2026,10,8)&lt;$C19+ROUND($E19*($D19-$C19+1),0),"█","░"),""))</f>
        <v/>
      </c>
      <c r="AI19" s="27">
        <f>IF($F19="Yes",IF(DATE(2026,10,9)=$C19,"◆",""),IF(AND(DATE(2026,10,9)&gt;=$C19,DATE(2026,10,9)&lt;=$D19),IF(DATE(2026,10,9)&lt;$C19+ROUND($E19*($D19-$C19+1),0),"█","░"),""))</f>
        <v/>
      </c>
      <c r="AJ19" s="28">
        <f>IF($F19="Yes",IF(DATE(2026,10,10)=$C19,"◆",""),IF(AND(DATE(2026,10,10)&gt;=$C19,DATE(2026,10,10)&lt;=$D19),IF(DATE(2026,10,10)&lt;$C19+ROUND($E19*($D19-$C19+1),0),"█","░"),""))</f>
        <v/>
      </c>
      <c r="AK19" s="28">
        <f>IF($F19="Yes",IF(DATE(2026,10,11)=$C19,"◆",""),IF(AND(DATE(2026,10,11)&gt;=$C19,DATE(2026,10,11)&lt;=$D19),IF(DATE(2026,10,11)&lt;$C19+ROUND($E19*($D19-$C19+1),0),"█","░"),""))</f>
        <v/>
      </c>
      <c r="AL19" s="27">
        <f>IF($F19="Yes",IF(DATE(2026,10,12)=$C19,"◆",""),IF(AND(DATE(2026,10,12)&gt;=$C19,DATE(2026,10,12)&lt;=$D19),IF(DATE(2026,10,12)&lt;$C19+ROUND($E19*($D19-$C19+1),0),"█","░"),""))</f>
        <v/>
      </c>
      <c r="AM19" s="27">
        <f>IF($F19="Yes",IF(DATE(2026,10,13)=$C19,"◆",""),IF(AND(DATE(2026,10,13)&gt;=$C19,DATE(2026,10,13)&lt;=$D19),IF(DATE(2026,10,13)&lt;$C19+ROUND($E19*($D19-$C19+1),0),"█","░"),""))</f>
        <v/>
      </c>
      <c r="AN19" s="27">
        <f>IF($F19="Yes",IF(DATE(2026,10,14)=$C19,"◆",""),IF(AND(DATE(2026,10,14)&gt;=$C19,DATE(2026,10,14)&lt;=$D19),IF(DATE(2026,10,14)&lt;$C19+ROUND($E19*($D19-$C19+1),0),"█","░"),""))</f>
        <v/>
      </c>
    </row>
    <row r="20">
      <c r="A20" s="4">
        <f>'Project Tracker'!A19</f>
        <v/>
      </c>
      <c r="B20" s="5">
        <f>'Project Tracker'!C19</f>
        <v/>
      </c>
      <c r="C20" s="7">
        <f>'Project Tracker'!E19</f>
        <v/>
      </c>
      <c r="D20" s="7">
        <f>'Project Tracker'!F19</f>
        <v/>
      </c>
      <c r="E20" s="9">
        <f>'Project Tracker'!N19</f>
        <v/>
      </c>
      <c r="F20" s="4">
        <f>'Project Tracker'!J19</f>
        <v/>
      </c>
      <c r="G20" s="27">
        <f>IF($F20="Yes",IF(DATE(2026,9,11)=$C20,"◆",""),IF(AND(DATE(2026,9,11)&gt;=$C20,DATE(2026,9,11)&lt;=$D20),IF(DATE(2026,9,11)&lt;$C20+ROUND($E20*($D20-$C20+1),0),"█","░"),""))</f>
        <v/>
      </c>
      <c r="H20" s="28">
        <f>IF($F20="Yes",IF(DATE(2026,9,12)=$C20,"◆",""),IF(AND(DATE(2026,9,12)&gt;=$C20,DATE(2026,9,12)&lt;=$D20),IF(DATE(2026,9,12)&lt;$C20+ROUND($E20*($D20-$C20+1),0),"█","░"),""))</f>
        <v/>
      </c>
      <c r="I20" s="28">
        <f>IF($F20="Yes",IF(DATE(2026,9,13)=$C20,"◆",""),IF(AND(DATE(2026,9,13)&gt;=$C20,DATE(2026,9,13)&lt;=$D20),IF(DATE(2026,9,13)&lt;$C20+ROUND($E20*($D20-$C20+1),0),"█","░"),""))</f>
        <v/>
      </c>
      <c r="J20" s="27">
        <f>IF($F20="Yes",IF(DATE(2026,9,14)=$C20,"◆",""),IF(AND(DATE(2026,9,14)&gt;=$C20,DATE(2026,9,14)&lt;=$D20),IF(DATE(2026,9,14)&lt;$C20+ROUND($E20*($D20-$C20+1),0),"█","░"),""))</f>
        <v/>
      </c>
      <c r="K20" s="27">
        <f>IF($F20="Yes",IF(DATE(2026,9,15)=$C20,"◆",""),IF(AND(DATE(2026,9,15)&gt;=$C20,DATE(2026,9,15)&lt;=$D20),IF(DATE(2026,9,15)&lt;$C20+ROUND($E20*($D20-$C20+1),0),"█","░"),""))</f>
        <v/>
      </c>
      <c r="L20" s="27">
        <f>IF($F20="Yes",IF(DATE(2026,9,16)=$C20,"◆",""),IF(AND(DATE(2026,9,16)&gt;=$C20,DATE(2026,9,16)&lt;=$D20),IF(DATE(2026,9,16)&lt;$C20+ROUND($E20*($D20-$C20+1),0),"█","░"),""))</f>
        <v/>
      </c>
      <c r="M20" s="27">
        <f>IF($F20="Yes",IF(DATE(2026,9,17)=$C20,"◆",""),IF(AND(DATE(2026,9,17)&gt;=$C20,DATE(2026,9,17)&lt;=$D20),IF(DATE(2026,9,17)&lt;$C20+ROUND($E20*($D20-$C20+1),0),"█","░"),""))</f>
        <v/>
      </c>
      <c r="N20" s="27">
        <f>IF($F20="Yes",IF(DATE(2026,9,18)=$C20,"◆",""),IF(AND(DATE(2026,9,18)&gt;=$C20,DATE(2026,9,18)&lt;=$D20),IF(DATE(2026,9,18)&lt;$C20+ROUND($E20*($D20-$C20+1),0),"█","░"),""))</f>
        <v/>
      </c>
      <c r="O20" s="28">
        <f>IF($F20="Yes",IF(DATE(2026,9,19)=$C20,"◆",""),IF(AND(DATE(2026,9,19)&gt;=$C20,DATE(2026,9,19)&lt;=$D20),IF(DATE(2026,9,19)&lt;$C20+ROUND($E20*($D20-$C20+1),0),"█","░"),""))</f>
        <v/>
      </c>
      <c r="P20" s="28">
        <f>IF($F20="Yes",IF(DATE(2026,9,20)=$C20,"◆",""),IF(AND(DATE(2026,9,20)&gt;=$C20,DATE(2026,9,20)&lt;=$D20),IF(DATE(2026,9,20)&lt;$C20+ROUND($E20*($D20-$C20+1),0),"█","░"),""))</f>
        <v/>
      </c>
      <c r="Q20" s="27">
        <f>IF($F20="Yes",IF(DATE(2026,9,21)=$C20,"◆",""),IF(AND(DATE(2026,9,21)&gt;=$C20,DATE(2026,9,21)&lt;=$D20),IF(DATE(2026,9,21)&lt;$C20+ROUND($E20*($D20-$C20+1),0),"█","░"),""))</f>
        <v/>
      </c>
      <c r="R20" s="27">
        <f>IF($F20="Yes",IF(DATE(2026,9,22)=$C20,"◆",""),IF(AND(DATE(2026,9,22)&gt;=$C20,DATE(2026,9,22)&lt;=$D20),IF(DATE(2026,9,22)&lt;$C20+ROUND($E20*($D20-$C20+1),0),"█","░"),""))</f>
        <v/>
      </c>
      <c r="S20" s="27">
        <f>IF($F20="Yes",IF(DATE(2026,9,23)=$C20,"◆",""),IF(AND(DATE(2026,9,23)&gt;=$C20,DATE(2026,9,23)&lt;=$D20),IF(DATE(2026,9,23)&lt;$C20+ROUND($E20*($D20-$C20+1),0),"█","░"),""))</f>
        <v/>
      </c>
      <c r="T20" s="27">
        <f>IF($F20="Yes",IF(DATE(2026,9,24)=$C20,"◆",""),IF(AND(DATE(2026,9,24)&gt;=$C20,DATE(2026,9,24)&lt;=$D20),IF(DATE(2026,9,24)&lt;$C20+ROUND($E20*($D20-$C20+1),0),"█","░"),""))</f>
        <v/>
      </c>
      <c r="U20" s="27">
        <f>IF($F20="Yes",IF(DATE(2026,9,25)=$C20,"◆",""),IF(AND(DATE(2026,9,25)&gt;=$C20,DATE(2026,9,25)&lt;=$D20),IF(DATE(2026,9,25)&lt;$C20+ROUND($E20*($D20-$C20+1),0),"█","░"),""))</f>
        <v/>
      </c>
      <c r="V20" s="28">
        <f>IF($F20="Yes",IF(DATE(2026,9,26)=$C20,"◆",""),IF(AND(DATE(2026,9,26)&gt;=$C20,DATE(2026,9,26)&lt;=$D20),IF(DATE(2026,9,26)&lt;$C20+ROUND($E20*($D20-$C20+1),0),"█","░"),""))</f>
        <v/>
      </c>
      <c r="W20" s="28">
        <f>IF($F20="Yes",IF(DATE(2026,9,27)=$C20,"◆",""),IF(AND(DATE(2026,9,27)&gt;=$C20,DATE(2026,9,27)&lt;=$D20),IF(DATE(2026,9,27)&lt;$C20+ROUND($E20*($D20-$C20+1),0),"█","░"),""))</f>
        <v/>
      </c>
      <c r="X20" s="27">
        <f>IF($F20="Yes",IF(DATE(2026,9,28)=$C20,"◆",""),IF(AND(DATE(2026,9,28)&gt;=$C20,DATE(2026,9,28)&lt;=$D20),IF(DATE(2026,9,28)&lt;$C20+ROUND($E20*($D20-$C20+1),0),"█","░"),""))</f>
        <v/>
      </c>
      <c r="Y20" s="27">
        <f>IF($F20="Yes",IF(DATE(2026,9,29)=$C20,"◆",""),IF(AND(DATE(2026,9,29)&gt;=$C20,DATE(2026,9,29)&lt;=$D20),IF(DATE(2026,9,29)&lt;$C20+ROUND($E20*($D20-$C20+1),0),"█","░"),""))</f>
        <v/>
      </c>
      <c r="Z20" s="27">
        <f>IF($F20="Yes",IF(DATE(2026,9,30)=$C20,"◆",""),IF(AND(DATE(2026,9,30)&gt;=$C20,DATE(2026,9,30)&lt;=$D20),IF(DATE(2026,9,30)&lt;$C20+ROUND($E20*($D20-$C20+1),0),"█","░"),""))</f>
        <v/>
      </c>
      <c r="AA20" s="27">
        <f>IF($F20="Yes",IF(DATE(2026,10,1)=$C20,"◆",""),IF(AND(DATE(2026,10,1)&gt;=$C20,DATE(2026,10,1)&lt;=$D20),IF(DATE(2026,10,1)&lt;$C20+ROUND($E20*($D20-$C20+1),0),"█","░"),""))</f>
        <v/>
      </c>
      <c r="AB20" s="27">
        <f>IF($F20="Yes",IF(DATE(2026,10,2)=$C20,"◆",""),IF(AND(DATE(2026,10,2)&gt;=$C20,DATE(2026,10,2)&lt;=$D20),IF(DATE(2026,10,2)&lt;$C20+ROUND($E20*($D20-$C20+1),0),"█","░"),""))</f>
        <v/>
      </c>
      <c r="AC20" s="28">
        <f>IF($F20="Yes",IF(DATE(2026,10,3)=$C20,"◆",""),IF(AND(DATE(2026,10,3)&gt;=$C20,DATE(2026,10,3)&lt;=$D20),IF(DATE(2026,10,3)&lt;$C20+ROUND($E20*($D20-$C20+1),0),"█","░"),""))</f>
        <v/>
      </c>
      <c r="AD20" s="28">
        <f>IF($F20="Yes",IF(DATE(2026,10,4)=$C20,"◆",""),IF(AND(DATE(2026,10,4)&gt;=$C20,DATE(2026,10,4)&lt;=$D20),IF(DATE(2026,10,4)&lt;$C20+ROUND($E20*($D20-$C20+1),0),"█","░"),""))</f>
        <v/>
      </c>
      <c r="AE20" s="27">
        <f>IF($F20="Yes",IF(DATE(2026,10,5)=$C20,"◆",""),IF(AND(DATE(2026,10,5)&gt;=$C20,DATE(2026,10,5)&lt;=$D20),IF(DATE(2026,10,5)&lt;$C20+ROUND($E20*($D20-$C20+1),0),"█","░"),""))</f>
        <v/>
      </c>
      <c r="AF20" s="27">
        <f>IF($F20="Yes",IF(DATE(2026,10,6)=$C20,"◆",""),IF(AND(DATE(2026,10,6)&gt;=$C20,DATE(2026,10,6)&lt;=$D20),IF(DATE(2026,10,6)&lt;$C20+ROUND($E20*($D20-$C20+1),0),"█","░"),""))</f>
        <v/>
      </c>
      <c r="AG20" s="27">
        <f>IF($F20="Yes",IF(DATE(2026,10,7)=$C20,"◆",""),IF(AND(DATE(2026,10,7)&gt;=$C20,DATE(2026,10,7)&lt;=$D20),IF(DATE(2026,10,7)&lt;$C20+ROUND($E20*($D20-$C20+1),0),"█","░"),""))</f>
        <v/>
      </c>
      <c r="AH20" s="27">
        <f>IF($F20="Yes",IF(DATE(2026,10,8)=$C20,"◆",""),IF(AND(DATE(2026,10,8)&gt;=$C20,DATE(2026,10,8)&lt;=$D20),IF(DATE(2026,10,8)&lt;$C20+ROUND($E20*($D20-$C20+1),0),"█","░"),""))</f>
        <v/>
      </c>
      <c r="AI20" s="27">
        <f>IF($F20="Yes",IF(DATE(2026,10,9)=$C20,"◆",""),IF(AND(DATE(2026,10,9)&gt;=$C20,DATE(2026,10,9)&lt;=$D20),IF(DATE(2026,10,9)&lt;$C20+ROUND($E20*($D20-$C20+1),0),"█","░"),""))</f>
        <v/>
      </c>
      <c r="AJ20" s="28">
        <f>IF($F20="Yes",IF(DATE(2026,10,10)=$C20,"◆",""),IF(AND(DATE(2026,10,10)&gt;=$C20,DATE(2026,10,10)&lt;=$D20),IF(DATE(2026,10,10)&lt;$C20+ROUND($E20*($D20-$C20+1),0),"█","░"),""))</f>
        <v/>
      </c>
      <c r="AK20" s="28">
        <f>IF($F20="Yes",IF(DATE(2026,10,11)=$C20,"◆",""),IF(AND(DATE(2026,10,11)&gt;=$C20,DATE(2026,10,11)&lt;=$D20),IF(DATE(2026,10,11)&lt;$C20+ROUND($E20*($D20-$C20+1),0),"█","░"),""))</f>
        <v/>
      </c>
      <c r="AL20" s="27">
        <f>IF($F20="Yes",IF(DATE(2026,10,12)=$C20,"◆",""),IF(AND(DATE(2026,10,12)&gt;=$C20,DATE(2026,10,12)&lt;=$D20),IF(DATE(2026,10,12)&lt;$C20+ROUND($E20*($D20-$C20+1),0),"█","░"),""))</f>
        <v/>
      </c>
      <c r="AM20" s="27">
        <f>IF($F20="Yes",IF(DATE(2026,10,13)=$C20,"◆",""),IF(AND(DATE(2026,10,13)&gt;=$C20,DATE(2026,10,13)&lt;=$D20),IF(DATE(2026,10,13)&lt;$C20+ROUND($E20*($D20-$C20+1),0),"█","░"),""))</f>
        <v/>
      </c>
      <c r="AN20" s="27">
        <f>IF($F20="Yes",IF(DATE(2026,10,14)=$C20,"◆",""),IF(AND(DATE(2026,10,14)&gt;=$C20,DATE(2026,10,14)&lt;=$D20),IF(DATE(2026,10,14)&lt;$C20+ROUND($E20*($D20-$C20+1),0),"█","░"),""))</f>
        <v/>
      </c>
    </row>
    <row r="21">
      <c r="A21" s="4">
        <f>'Project Tracker'!A20</f>
        <v/>
      </c>
      <c r="B21" s="5">
        <f>'Project Tracker'!C20</f>
        <v/>
      </c>
      <c r="C21" s="7">
        <f>'Project Tracker'!E20</f>
        <v/>
      </c>
      <c r="D21" s="7">
        <f>'Project Tracker'!F20</f>
        <v/>
      </c>
      <c r="E21" s="9">
        <f>'Project Tracker'!N20</f>
        <v/>
      </c>
      <c r="F21" s="4">
        <f>'Project Tracker'!J20</f>
        <v/>
      </c>
      <c r="G21" s="27">
        <f>IF($F21="Yes",IF(DATE(2026,9,11)=$C21,"◆",""),IF(AND(DATE(2026,9,11)&gt;=$C21,DATE(2026,9,11)&lt;=$D21),IF(DATE(2026,9,11)&lt;$C21+ROUND($E21*($D21-$C21+1),0),"█","░"),""))</f>
        <v/>
      </c>
      <c r="H21" s="28">
        <f>IF($F21="Yes",IF(DATE(2026,9,12)=$C21,"◆",""),IF(AND(DATE(2026,9,12)&gt;=$C21,DATE(2026,9,12)&lt;=$D21),IF(DATE(2026,9,12)&lt;$C21+ROUND($E21*($D21-$C21+1),0),"█","░"),""))</f>
        <v/>
      </c>
      <c r="I21" s="28">
        <f>IF($F21="Yes",IF(DATE(2026,9,13)=$C21,"◆",""),IF(AND(DATE(2026,9,13)&gt;=$C21,DATE(2026,9,13)&lt;=$D21),IF(DATE(2026,9,13)&lt;$C21+ROUND($E21*($D21-$C21+1),0),"█","░"),""))</f>
        <v/>
      </c>
      <c r="J21" s="27">
        <f>IF($F21="Yes",IF(DATE(2026,9,14)=$C21,"◆",""),IF(AND(DATE(2026,9,14)&gt;=$C21,DATE(2026,9,14)&lt;=$D21),IF(DATE(2026,9,14)&lt;$C21+ROUND($E21*($D21-$C21+1),0),"█","░"),""))</f>
        <v/>
      </c>
      <c r="K21" s="27">
        <f>IF($F21="Yes",IF(DATE(2026,9,15)=$C21,"◆",""),IF(AND(DATE(2026,9,15)&gt;=$C21,DATE(2026,9,15)&lt;=$D21),IF(DATE(2026,9,15)&lt;$C21+ROUND($E21*($D21-$C21+1),0),"█","░"),""))</f>
        <v/>
      </c>
      <c r="L21" s="27">
        <f>IF($F21="Yes",IF(DATE(2026,9,16)=$C21,"◆",""),IF(AND(DATE(2026,9,16)&gt;=$C21,DATE(2026,9,16)&lt;=$D21),IF(DATE(2026,9,16)&lt;$C21+ROUND($E21*($D21-$C21+1),0),"█","░"),""))</f>
        <v/>
      </c>
      <c r="M21" s="27">
        <f>IF($F21="Yes",IF(DATE(2026,9,17)=$C21,"◆",""),IF(AND(DATE(2026,9,17)&gt;=$C21,DATE(2026,9,17)&lt;=$D21),IF(DATE(2026,9,17)&lt;$C21+ROUND($E21*($D21-$C21+1),0),"█","░"),""))</f>
        <v/>
      </c>
      <c r="N21" s="27">
        <f>IF($F21="Yes",IF(DATE(2026,9,18)=$C21,"◆",""),IF(AND(DATE(2026,9,18)&gt;=$C21,DATE(2026,9,18)&lt;=$D21),IF(DATE(2026,9,18)&lt;$C21+ROUND($E21*($D21-$C21+1),0),"█","░"),""))</f>
        <v/>
      </c>
      <c r="O21" s="28">
        <f>IF($F21="Yes",IF(DATE(2026,9,19)=$C21,"◆",""),IF(AND(DATE(2026,9,19)&gt;=$C21,DATE(2026,9,19)&lt;=$D21),IF(DATE(2026,9,19)&lt;$C21+ROUND($E21*($D21-$C21+1),0),"█","░"),""))</f>
        <v/>
      </c>
      <c r="P21" s="28">
        <f>IF($F21="Yes",IF(DATE(2026,9,20)=$C21,"◆",""),IF(AND(DATE(2026,9,20)&gt;=$C21,DATE(2026,9,20)&lt;=$D21),IF(DATE(2026,9,20)&lt;$C21+ROUND($E21*($D21-$C21+1),0),"█","░"),""))</f>
        <v/>
      </c>
      <c r="Q21" s="27">
        <f>IF($F21="Yes",IF(DATE(2026,9,21)=$C21,"◆",""),IF(AND(DATE(2026,9,21)&gt;=$C21,DATE(2026,9,21)&lt;=$D21),IF(DATE(2026,9,21)&lt;$C21+ROUND($E21*($D21-$C21+1),0),"█","░"),""))</f>
        <v/>
      </c>
      <c r="R21" s="27">
        <f>IF($F21="Yes",IF(DATE(2026,9,22)=$C21,"◆",""),IF(AND(DATE(2026,9,22)&gt;=$C21,DATE(2026,9,22)&lt;=$D21),IF(DATE(2026,9,22)&lt;$C21+ROUND($E21*($D21-$C21+1),0),"█","░"),""))</f>
        <v/>
      </c>
      <c r="S21" s="27">
        <f>IF($F21="Yes",IF(DATE(2026,9,23)=$C21,"◆",""),IF(AND(DATE(2026,9,23)&gt;=$C21,DATE(2026,9,23)&lt;=$D21),IF(DATE(2026,9,23)&lt;$C21+ROUND($E21*($D21-$C21+1),0),"█","░"),""))</f>
        <v/>
      </c>
      <c r="T21" s="27">
        <f>IF($F21="Yes",IF(DATE(2026,9,24)=$C21,"◆",""),IF(AND(DATE(2026,9,24)&gt;=$C21,DATE(2026,9,24)&lt;=$D21),IF(DATE(2026,9,24)&lt;$C21+ROUND($E21*($D21-$C21+1),0),"█","░"),""))</f>
        <v/>
      </c>
      <c r="U21" s="27">
        <f>IF($F21="Yes",IF(DATE(2026,9,25)=$C21,"◆",""),IF(AND(DATE(2026,9,25)&gt;=$C21,DATE(2026,9,25)&lt;=$D21),IF(DATE(2026,9,25)&lt;$C21+ROUND($E21*($D21-$C21+1),0),"█","░"),""))</f>
        <v/>
      </c>
      <c r="V21" s="28">
        <f>IF($F21="Yes",IF(DATE(2026,9,26)=$C21,"◆",""),IF(AND(DATE(2026,9,26)&gt;=$C21,DATE(2026,9,26)&lt;=$D21),IF(DATE(2026,9,26)&lt;$C21+ROUND($E21*($D21-$C21+1),0),"█","░"),""))</f>
        <v/>
      </c>
      <c r="W21" s="28">
        <f>IF($F21="Yes",IF(DATE(2026,9,27)=$C21,"◆",""),IF(AND(DATE(2026,9,27)&gt;=$C21,DATE(2026,9,27)&lt;=$D21),IF(DATE(2026,9,27)&lt;$C21+ROUND($E21*($D21-$C21+1),0),"█","░"),""))</f>
        <v/>
      </c>
      <c r="X21" s="27">
        <f>IF($F21="Yes",IF(DATE(2026,9,28)=$C21,"◆",""),IF(AND(DATE(2026,9,28)&gt;=$C21,DATE(2026,9,28)&lt;=$D21),IF(DATE(2026,9,28)&lt;$C21+ROUND($E21*($D21-$C21+1),0),"█","░"),""))</f>
        <v/>
      </c>
      <c r="Y21" s="27">
        <f>IF($F21="Yes",IF(DATE(2026,9,29)=$C21,"◆",""),IF(AND(DATE(2026,9,29)&gt;=$C21,DATE(2026,9,29)&lt;=$D21),IF(DATE(2026,9,29)&lt;$C21+ROUND($E21*($D21-$C21+1),0),"█","░"),""))</f>
        <v/>
      </c>
      <c r="Z21" s="27">
        <f>IF($F21="Yes",IF(DATE(2026,9,30)=$C21,"◆",""),IF(AND(DATE(2026,9,30)&gt;=$C21,DATE(2026,9,30)&lt;=$D21),IF(DATE(2026,9,30)&lt;$C21+ROUND($E21*($D21-$C21+1),0),"█","░"),""))</f>
        <v/>
      </c>
      <c r="AA21" s="27">
        <f>IF($F21="Yes",IF(DATE(2026,10,1)=$C21,"◆",""),IF(AND(DATE(2026,10,1)&gt;=$C21,DATE(2026,10,1)&lt;=$D21),IF(DATE(2026,10,1)&lt;$C21+ROUND($E21*($D21-$C21+1),0),"█","░"),""))</f>
        <v/>
      </c>
      <c r="AB21" s="27">
        <f>IF($F21="Yes",IF(DATE(2026,10,2)=$C21,"◆",""),IF(AND(DATE(2026,10,2)&gt;=$C21,DATE(2026,10,2)&lt;=$D21),IF(DATE(2026,10,2)&lt;$C21+ROUND($E21*($D21-$C21+1),0),"█","░"),""))</f>
        <v/>
      </c>
      <c r="AC21" s="28">
        <f>IF($F21="Yes",IF(DATE(2026,10,3)=$C21,"◆",""),IF(AND(DATE(2026,10,3)&gt;=$C21,DATE(2026,10,3)&lt;=$D21),IF(DATE(2026,10,3)&lt;$C21+ROUND($E21*($D21-$C21+1),0),"█","░"),""))</f>
        <v/>
      </c>
      <c r="AD21" s="28">
        <f>IF($F21="Yes",IF(DATE(2026,10,4)=$C21,"◆",""),IF(AND(DATE(2026,10,4)&gt;=$C21,DATE(2026,10,4)&lt;=$D21),IF(DATE(2026,10,4)&lt;$C21+ROUND($E21*($D21-$C21+1),0),"█","░"),""))</f>
        <v/>
      </c>
      <c r="AE21" s="27">
        <f>IF($F21="Yes",IF(DATE(2026,10,5)=$C21,"◆",""),IF(AND(DATE(2026,10,5)&gt;=$C21,DATE(2026,10,5)&lt;=$D21),IF(DATE(2026,10,5)&lt;$C21+ROUND($E21*($D21-$C21+1),0),"█","░"),""))</f>
        <v/>
      </c>
      <c r="AF21" s="27">
        <f>IF($F21="Yes",IF(DATE(2026,10,6)=$C21,"◆",""),IF(AND(DATE(2026,10,6)&gt;=$C21,DATE(2026,10,6)&lt;=$D21),IF(DATE(2026,10,6)&lt;$C21+ROUND($E21*($D21-$C21+1),0),"█","░"),""))</f>
        <v/>
      </c>
      <c r="AG21" s="27">
        <f>IF($F21="Yes",IF(DATE(2026,10,7)=$C21,"◆",""),IF(AND(DATE(2026,10,7)&gt;=$C21,DATE(2026,10,7)&lt;=$D21),IF(DATE(2026,10,7)&lt;$C21+ROUND($E21*($D21-$C21+1),0),"█","░"),""))</f>
        <v/>
      </c>
      <c r="AH21" s="27">
        <f>IF($F21="Yes",IF(DATE(2026,10,8)=$C21,"◆",""),IF(AND(DATE(2026,10,8)&gt;=$C21,DATE(2026,10,8)&lt;=$D21),IF(DATE(2026,10,8)&lt;$C21+ROUND($E21*($D21-$C21+1),0),"█","░"),""))</f>
        <v/>
      </c>
      <c r="AI21" s="27">
        <f>IF($F21="Yes",IF(DATE(2026,10,9)=$C21,"◆",""),IF(AND(DATE(2026,10,9)&gt;=$C21,DATE(2026,10,9)&lt;=$D21),IF(DATE(2026,10,9)&lt;$C21+ROUND($E21*($D21-$C21+1),0),"█","░"),""))</f>
        <v/>
      </c>
      <c r="AJ21" s="28">
        <f>IF($F21="Yes",IF(DATE(2026,10,10)=$C21,"◆",""),IF(AND(DATE(2026,10,10)&gt;=$C21,DATE(2026,10,10)&lt;=$D21),IF(DATE(2026,10,10)&lt;$C21+ROUND($E21*($D21-$C21+1),0),"█","░"),""))</f>
        <v/>
      </c>
      <c r="AK21" s="28">
        <f>IF($F21="Yes",IF(DATE(2026,10,11)=$C21,"◆",""),IF(AND(DATE(2026,10,11)&gt;=$C21,DATE(2026,10,11)&lt;=$D21),IF(DATE(2026,10,11)&lt;$C21+ROUND($E21*($D21-$C21+1),0),"█","░"),""))</f>
        <v/>
      </c>
      <c r="AL21" s="27">
        <f>IF($F21="Yes",IF(DATE(2026,10,12)=$C21,"◆",""),IF(AND(DATE(2026,10,12)&gt;=$C21,DATE(2026,10,12)&lt;=$D21),IF(DATE(2026,10,12)&lt;$C21+ROUND($E21*($D21-$C21+1),0),"█","░"),""))</f>
        <v/>
      </c>
      <c r="AM21" s="27">
        <f>IF($F21="Yes",IF(DATE(2026,10,13)=$C21,"◆",""),IF(AND(DATE(2026,10,13)&gt;=$C21,DATE(2026,10,13)&lt;=$D21),IF(DATE(2026,10,13)&lt;$C21+ROUND($E21*($D21-$C21+1),0),"█","░"),""))</f>
        <v/>
      </c>
      <c r="AN21" s="27">
        <f>IF($F21="Yes",IF(DATE(2026,10,14)=$C21,"◆",""),IF(AND(DATE(2026,10,14)&gt;=$C21,DATE(2026,10,14)&lt;=$D21),IF(DATE(2026,10,14)&lt;$C21+ROUND($E21*($D21-$C21+1),0),"█","░"),""))</f>
        <v/>
      </c>
    </row>
    <row r="22">
      <c r="A22" s="4">
        <f>'Project Tracker'!A21</f>
        <v/>
      </c>
      <c r="B22" s="5">
        <f>'Project Tracker'!C21</f>
        <v/>
      </c>
      <c r="C22" s="7">
        <f>'Project Tracker'!E21</f>
        <v/>
      </c>
      <c r="D22" s="7">
        <f>'Project Tracker'!F21</f>
        <v/>
      </c>
      <c r="E22" s="9">
        <f>'Project Tracker'!N21</f>
        <v/>
      </c>
      <c r="F22" s="4">
        <f>'Project Tracker'!J21</f>
        <v/>
      </c>
      <c r="G22" s="27">
        <f>IF($F22="Yes",IF(DATE(2026,9,11)=$C22,"◆",""),IF(AND(DATE(2026,9,11)&gt;=$C22,DATE(2026,9,11)&lt;=$D22),IF(DATE(2026,9,11)&lt;$C22+ROUND($E22*($D22-$C22+1),0),"█","░"),""))</f>
        <v/>
      </c>
      <c r="H22" s="28">
        <f>IF($F22="Yes",IF(DATE(2026,9,12)=$C22,"◆",""),IF(AND(DATE(2026,9,12)&gt;=$C22,DATE(2026,9,12)&lt;=$D22),IF(DATE(2026,9,12)&lt;$C22+ROUND($E22*($D22-$C22+1),0),"█","░"),""))</f>
        <v/>
      </c>
      <c r="I22" s="28">
        <f>IF($F22="Yes",IF(DATE(2026,9,13)=$C22,"◆",""),IF(AND(DATE(2026,9,13)&gt;=$C22,DATE(2026,9,13)&lt;=$D22),IF(DATE(2026,9,13)&lt;$C22+ROUND($E22*($D22-$C22+1),0),"█","░"),""))</f>
        <v/>
      </c>
      <c r="J22" s="27">
        <f>IF($F22="Yes",IF(DATE(2026,9,14)=$C22,"◆",""),IF(AND(DATE(2026,9,14)&gt;=$C22,DATE(2026,9,14)&lt;=$D22),IF(DATE(2026,9,14)&lt;$C22+ROUND($E22*($D22-$C22+1),0),"█","░"),""))</f>
        <v/>
      </c>
      <c r="K22" s="27">
        <f>IF($F22="Yes",IF(DATE(2026,9,15)=$C22,"◆",""),IF(AND(DATE(2026,9,15)&gt;=$C22,DATE(2026,9,15)&lt;=$D22),IF(DATE(2026,9,15)&lt;$C22+ROUND($E22*($D22-$C22+1),0),"█","░"),""))</f>
        <v/>
      </c>
      <c r="L22" s="27">
        <f>IF($F22="Yes",IF(DATE(2026,9,16)=$C22,"◆",""),IF(AND(DATE(2026,9,16)&gt;=$C22,DATE(2026,9,16)&lt;=$D22),IF(DATE(2026,9,16)&lt;$C22+ROUND($E22*($D22-$C22+1),0),"█","░"),""))</f>
        <v/>
      </c>
      <c r="M22" s="27">
        <f>IF($F22="Yes",IF(DATE(2026,9,17)=$C22,"◆",""),IF(AND(DATE(2026,9,17)&gt;=$C22,DATE(2026,9,17)&lt;=$D22),IF(DATE(2026,9,17)&lt;$C22+ROUND($E22*($D22-$C22+1),0),"█","░"),""))</f>
        <v/>
      </c>
      <c r="N22" s="27">
        <f>IF($F22="Yes",IF(DATE(2026,9,18)=$C22,"◆",""),IF(AND(DATE(2026,9,18)&gt;=$C22,DATE(2026,9,18)&lt;=$D22),IF(DATE(2026,9,18)&lt;$C22+ROUND($E22*($D22-$C22+1),0),"█","░"),""))</f>
        <v/>
      </c>
      <c r="O22" s="28">
        <f>IF($F22="Yes",IF(DATE(2026,9,19)=$C22,"◆",""),IF(AND(DATE(2026,9,19)&gt;=$C22,DATE(2026,9,19)&lt;=$D22),IF(DATE(2026,9,19)&lt;$C22+ROUND($E22*($D22-$C22+1),0),"█","░"),""))</f>
        <v/>
      </c>
      <c r="P22" s="28">
        <f>IF($F22="Yes",IF(DATE(2026,9,20)=$C22,"◆",""),IF(AND(DATE(2026,9,20)&gt;=$C22,DATE(2026,9,20)&lt;=$D22),IF(DATE(2026,9,20)&lt;$C22+ROUND($E22*($D22-$C22+1),0),"█","░"),""))</f>
        <v/>
      </c>
      <c r="Q22" s="27">
        <f>IF($F22="Yes",IF(DATE(2026,9,21)=$C22,"◆",""),IF(AND(DATE(2026,9,21)&gt;=$C22,DATE(2026,9,21)&lt;=$D22),IF(DATE(2026,9,21)&lt;$C22+ROUND($E22*($D22-$C22+1),0),"█","░"),""))</f>
        <v/>
      </c>
      <c r="R22" s="27">
        <f>IF($F22="Yes",IF(DATE(2026,9,22)=$C22,"◆",""),IF(AND(DATE(2026,9,22)&gt;=$C22,DATE(2026,9,22)&lt;=$D22),IF(DATE(2026,9,22)&lt;$C22+ROUND($E22*($D22-$C22+1),0),"█","░"),""))</f>
        <v/>
      </c>
      <c r="S22" s="27">
        <f>IF($F22="Yes",IF(DATE(2026,9,23)=$C22,"◆",""),IF(AND(DATE(2026,9,23)&gt;=$C22,DATE(2026,9,23)&lt;=$D22),IF(DATE(2026,9,23)&lt;$C22+ROUND($E22*($D22-$C22+1),0),"█","░"),""))</f>
        <v/>
      </c>
      <c r="T22" s="27">
        <f>IF($F22="Yes",IF(DATE(2026,9,24)=$C22,"◆",""),IF(AND(DATE(2026,9,24)&gt;=$C22,DATE(2026,9,24)&lt;=$D22),IF(DATE(2026,9,24)&lt;$C22+ROUND($E22*($D22-$C22+1),0),"█","░"),""))</f>
        <v/>
      </c>
      <c r="U22" s="27">
        <f>IF($F22="Yes",IF(DATE(2026,9,25)=$C22,"◆",""),IF(AND(DATE(2026,9,25)&gt;=$C22,DATE(2026,9,25)&lt;=$D22),IF(DATE(2026,9,25)&lt;$C22+ROUND($E22*($D22-$C22+1),0),"█","░"),""))</f>
        <v/>
      </c>
      <c r="V22" s="28">
        <f>IF($F22="Yes",IF(DATE(2026,9,26)=$C22,"◆",""),IF(AND(DATE(2026,9,26)&gt;=$C22,DATE(2026,9,26)&lt;=$D22),IF(DATE(2026,9,26)&lt;$C22+ROUND($E22*($D22-$C22+1),0),"█","░"),""))</f>
        <v/>
      </c>
      <c r="W22" s="28">
        <f>IF($F22="Yes",IF(DATE(2026,9,27)=$C22,"◆",""),IF(AND(DATE(2026,9,27)&gt;=$C22,DATE(2026,9,27)&lt;=$D22),IF(DATE(2026,9,27)&lt;$C22+ROUND($E22*($D22-$C22+1),0),"█","░"),""))</f>
        <v/>
      </c>
      <c r="X22" s="27">
        <f>IF($F22="Yes",IF(DATE(2026,9,28)=$C22,"◆",""),IF(AND(DATE(2026,9,28)&gt;=$C22,DATE(2026,9,28)&lt;=$D22),IF(DATE(2026,9,28)&lt;$C22+ROUND($E22*($D22-$C22+1),0),"█","░"),""))</f>
        <v/>
      </c>
      <c r="Y22" s="27">
        <f>IF($F22="Yes",IF(DATE(2026,9,29)=$C22,"◆",""),IF(AND(DATE(2026,9,29)&gt;=$C22,DATE(2026,9,29)&lt;=$D22),IF(DATE(2026,9,29)&lt;$C22+ROUND($E22*($D22-$C22+1),0),"█","░"),""))</f>
        <v/>
      </c>
      <c r="Z22" s="27">
        <f>IF($F22="Yes",IF(DATE(2026,9,30)=$C22,"◆",""),IF(AND(DATE(2026,9,30)&gt;=$C22,DATE(2026,9,30)&lt;=$D22),IF(DATE(2026,9,30)&lt;$C22+ROUND($E22*($D22-$C22+1),0),"█","░"),""))</f>
        <v/>
      </c>
      <c r="AA22" s="27">
        <f>IF($F22="Yes",IF(DATE(2026,10,1)=$C22,"◆",""),IF(AND(DATE(2026,10,1)&gt;=$C22,DATE(2026,10,1)&lt;=$D22),IF(DATE(2026,10,1)&lt;$C22+ROUND($E22*($D22-$C22+1),0),"█","░"),""))</f>
        <v/>
      </c>
      <c r="AB22" s="27">
        <f>IF($F22="Yes",IF(DATE(2026,10,2)=$C22,"◆",""),IF(AND(DATE(2026,10,2)&gt;=$C22,DATE(2026,10,2)&lt;=$D22),IF(DATE(2026,10,2)&lt;$C22+ROUND($E22*($D22-$C22+1),0),"█","░"),""))</f>
        <v/>
      </c>
      <c r="AC22" s="28">
        <f>IF($F22="Yes",IF(DATE(2026,10,3)=$C22,"◆",""),IF(AND(DATE(2026,10,3)&gt;=$C22,DATE(2026,10,3)&lt;=$D22),IF(DATE(2026,10,3)&lt;$C22+ROUND($E22*($D22-$C22+1),0),"█","░"),""))</f>
        <v/>
      </c>
      <c r="AD22" s="28">
        <f>IF($F22="Yes",IF(DATE(2026,10,4)=$C22,"◆",""),IF(AND(DATE(2026,10,4)&gt;=$C22,DATE(2026,10,4)&lt;=$D22),IF(DATE(2026,10,4)&lt;$C22+ROUND($E22*($D22-$C22+1),0),"█","░"),""))</f>
        <v/>
      </c>
      <c r="AE22" s="27">
        <f>IF($F22="Yes",IF(DATE(2026,10,5)=$C22,"◆",""),IF(AND(DATE(2026,10,5)&gt;=$C22,DATE(2026,10,5)&lt;=$D22),IF(DATE(2026,10,5)&lt;$C22+ROUND($E22*($D22-$C22+1),0),"█","░"),""))</f>
        <v/>
      </c>
      <c r="AF22" s="27">
        <f>IF($F22="Yes",IF(DATE(2026,10,6)=$C22,"◆",""),IF(AND(DATE(2026,10,6)&gt;=$C22,DATE(2026,10,6)&lt;=$D22),IF(DATE(2026,10,6)&lt;$C22+ROUND($E22*($D22-$C22+1),0),"█","░"),""))</f>
        <v/>
      </c>
      <c r="AG22" s="27">
        <f>IF($F22="Yes",IF(DATE(2026,10,7)=$C22,"◆",""),IF(AND(DATE(2026,10,7)&gt;=$C22,DATE(2026,10,7)&lt;=$D22),IF(DATE(2026,10,7)&lt;$C22+ROUND($E22*($D22-$C22+1),0),"█","░"),""))</f>
        <v/>
      </c>
      <c r="AH22" s="27">
        <f>IF($F22="Yes",IF(DATE(2026,10,8)=$C22,"◆",""),IF(AND(DATE(2026,10,8)&gt;=$C22,DATE(2026,10,8)&lt;=$D22),IF(DATE(2026,10,8)&lt;$C22+ROUND($E22*($D22-$C22+1),0),"█","░"),""))</f>
        <v/>
      </c>
      <c r="AI22" s="27">
        <f>IF($F22="Yes",IF(DATE(2026,10,9)=$C22,"◆",""),IF(AND(DATE(2026,10,9)&gt;=$C22,DATE(2026,10,9)&lt;=$D22),IF(DATE(2026,10,9)&lt;$C22+ROUND($E22*($D22-$C22+1),0),"█","░"),""))</f>
        <v/>
      </c>
      <c r="AJ22" s="28">
        <f>IF($F22="Yes",IF(DATE(2026,10,10)=$C22,"◆",""),IF(AND(DATE(2026,10,10)&gt;=$C22,DATE(2026,10,10)&lt;=$D22),IF(DATE(2026,10,10)&lt;$C22+ROUND($E22*($D22-$C22+1),0),"█","░"),""))</f>
        <v/>
      </c>
      <c r="AK22" s="28">
        <f>IF($F22="Yes",IF(DATE(2026,10,11)=$C22,"◆",""),IF(AND(DATE(2026,10,11)&gt;=$C22,DATE(2026,10,11)&lt;=$D22),IF(DATE(2026,10,11)&lt;$C22+ROUND($E22*($D22-$C22+1),0),"█","░"),""))</f>
        <v/>
      </c>
      <c r="AL22" s="27">
        <f>IF($F22="Yes",IF(DATE(2026,10,12)=$C22,"◆",""),IF(AND(DATE(2026,10,12)&gt;=$C22,DATE(2026,10,12)&lt;=$D22),IF(DATE(2026,10,12)&lt;$C22+ROUND($E22*($D22-$C22+1),0),"█","░"),""))</f>
        <v/>
      </c>
      <c r="AM22" s="27">
        <f>IF($F22="Yes",IF(DATE(2026,10,13)=$C22,"◆",""),IF(AND(DATE(2026,10,13)&gt;=$C22,DATE(2026,10,13)&lt;=$D22),IF(DATE(2026,10,13)&lt;$C22+ROUND($E22*($D22-$C22+1),0),"█","░"),""))</f>
        <v/>
      </c>
      <c r="AN22" s="27">
        <f>IF($F22="Yes",IF(DATE(2026,10,14)=$C22,"◆",""),IF(AND(DATE(2026,10,14)&gt;=$C22,DATE(2026,10,14)&lt;=$D22),IF(DATE(2026,10,14)&lt;$C22+ROUND($E22*($D22-$C22+1),0),"█","░"),""))</f>
        <v/>
      </c>
    </row>
    <row r="23">
      <c r="A23" s="4">
        <f>'Project Tracker'!A22</f>
        <v/>
      </c>
      <c r="B23" s="5">
        <f>'Project Tracker'!C22</f>
        <v/>
      </c>
      <c r="C23" s="7">
        <f>'Project Tracker'!E22</f>
        <v/>
      </c>
      <c r="D23" s="7">
        <f>'Project Tracker'!F22</f>
        <v/>
      </c>
      <c r="E23" s="9">
        <f>'Project Tracker'!N22</f>
        <v/>
      </c>
      <c r="F23" s="4">
        <f>'Project Tracker'!J22</f>
        <v/>
      </c>
      <c r="G23" s="27">
        <f>IF($F23="Yes",IF(DATE(2026,9,11)=$C23,"◆",""),IF(AND(DATE(2026,9,11)&gt;=$C23,DATE(2026,9,11)&lt;=$D23),IF(DATE(2026,9,11)&lt;$C23+ROUND($E23*($D23-$C23+1),0),"█","░"),""))</f>
        <v/>
      </c>
      <c r="H23" s="28">
        <f>IF($F23="Yes",IF(DATE(2026,9,12)=$C23,"◆",""),IF(AND(DATE(2026,9,12)&gt;=$C23,DATE(2026,9,12)&lt;=$D23),IF(DATE(2026,9,12)&lt;$C23+ROUND($E23*($D23-$C23+1),0),"█","░"),""))</f>
        <v/>
      </c>
      <c r="I23" s="28">
        <f>IF($F23="Yes",IF(DATE(2026,9,13)=$C23,"◆",""),IF(AND(DATE(2026,9,13)&gt;=$C23,DATE(2026,9,13)&lt;=$D23),IF(DATE(2026,9,13)&lt;$C23+ROUND($E23*($D23-$C23+1),0),"█","░"),""))</f>
        <v/>
      </c>
      <c r="J23" s="27">
        <f>IF($F23="Yes",IF(DATE(2026,9,14)=$C23,"◆",""),IF(AND(DATE(2026,9,14)&gt;=$C23,DATE(2026,9,14)&lt;=$D23),IF(DATE(2026,9,14)&lt;$C23+ROUND($E23*($D23-$C23+1),0),"█","░"),""))</f>
        <v/>
      </c>
      <c r="K23" s="27">
        <f>IF($F23="Yes",IF(DATE(2026,9,15)=$C23,"◆",""),IF(AND(DATE(2026,9,15)&gt;=$C23,DATE(2026,9,15)&lt;=$D23),IF(DATE(2026,9,15)&lt;$C23+ROUND($E23*($D23-$C23+1),0),"█","░"),""))</f>
        <v/>
      </c>
      <c r="L23" s="27">
        <f>IF($F23="Yes",IF(DATE(2026,9,16)=$C23,"◆",""),IF(AND(DATE(2026,9,16)&gt;=$C23,DATE(2026,9,16)&lt;=$D23),IF(DATE(2026,9,16)&lt;$C23+ROUND($E23*($D23-$C23+1),0),"█","░"),""))</f>
        <v/>
      </c>
      <c r="M23" s="27">
        <f>IF($F23="Yes",IF(DATE(2026,9,17)=$C23,"◆",""),IF(AND(DATE(2026,9,17)&gt;=$C23,DATE(2026,9,17)&lt;=$D23),IF(DATE(2026,9,17)&lt;$C23+ROUND($E23*($D23-$C23+1),0),"█","░"),""))</f>
        <v/>
      </c>
      <c r="N23" s="27">
        <f>IF($F23="Yes",IF(DATE(2026,9,18)=$C23,"◆",""),IF(AND(DATE(2026,9,18)&gt;=$C23,DATE(2026,9,18)&lt;=$D23),IF(DATE(2026,9,18)&lt;$C23+ROUND($E23*($D23-$C23+1),0),"█","░"),""))</f>
        <v/>
      </c>
      <c r="O23" s="28">
        <f>IF($F23="Yes",IF(DATE(2026,9,19)=$C23,"◆",""),IF(AND(DATE(2026,9,19)&gt;=$C23,DATE(2026,9,19)&lt;=$D23),IF(DATE(2026,9,19)&lt;$C23+ROUND($E23*($D23-$C23+1),0),"█","░"),""))</f>
        <v/>
      </c>
      <c r="P23" s="28">
        <f>IF($F23="Yes",IF(DATE(2026,9,20)=$C23,"◆",""),IF(AND(DATE(2026,9,20)&gt;=$C23,DATE(2026,9,20)&lt;=$D23),IF(DATE(2026,9,20)&lt;$C23+ROUND($E23*($D23-$C23+1),0),"█","░"),""))</f>
        <v/>
      </c>
      <c r="Q23" s="27">
        <f>IF($F23="Yes",IF(DATE(2026,9,21)=$C23,"◆",""),IF(AND(DATE(2026,9,21)&gt;=$C23,DATE(2026,9,21)&lt;=$D23),IF(DATE(2026,9,21)&lt;$C23+ROUND($E23*($D23-$C23+1),0),"█","░"),""))</f>
        <v/>
      </c>
      <c r="R23" s="27">
        <f>IF($F23="Yes",IF(DATE(2026,9,22)=$C23,"◆",""),IF(AND(DATE(2026,9,22)&gt;=$C23,DATE(2026,9,22)&lt;=$D23),IF(DATE(2026,9,22)&lt;$C23+ROUND($E23*($D23-$C23+1),0),"█","░"),""))</f>
        <v/>
      </c>
      <c r="S23" s="27">
        <f>IF($F23="Yes",IF(DATE(2026,9,23)=$C23,"◆",""),IF(AND(DATE(2026,9,23)&gt;=$C23,DATE(2026,9,23)&lt;=$D23),IF(DATE(2026,9,23)&lt;$C23+ROUND($E23*($D23-$C23+1),0),"█","░"),""))</f>
        <v/>
      </c>
      <c r="T23" s="27">
        <f>IF($F23="Yes",IF(DATE(2026,9,24)=$C23,"◆",""),IF(AND(DATE(2026,9,24)&gt;=$C23,DATE(2026,9,24)&lt;=$D23),IF(DATE(2026,9,24)&lt;$C23+ROUND($E23*($D23-$C23+1),0),"█","░"),""))</f>
        <v/>
      </c>
      <c r="U23" s="27">
        <f>IF($F23="Yes",IF(DATE(2026,9,25)=$C23,"◆",""),IF(AND(DATE(2026,9,25)&gt;=$C23,DATE(2026,9,25)&lt;=$D23),IF(DATE(2026,9,25)&lt;$C23+ROUND($E23*($D23-$C23+1),0),"█","░"),""))</f>
        <v/>
      </c>
      <c r="V23" s="28">
        <f>IF($F23="Yes",IF(DATE(2026,9,26)=$C23,"◆",""),IF(AND(DATE(2026,9,26)&gt;=$C23,DATE(2026,9,26)&lt;=$D23),IF(DATE(2026,9,26)&lt;$C23+ROUND($E23*($D23-$C23+1),0),"█","░"),""))</f>
        <v/>
      </c>
      <c r="W23" s="28">
        <f>IF($F23="Yes",IF(DATE(2026,9,27)=$C23,"◆",""),IF(AND(DATE(2026,9,27)&gt;=$C23,DATE(2026,9,27)&lt;=$D23),IF(DATE(2026,9,27)&lt;$C23+ROUND($E23*($D23-$C23+1),0),"█","░"),""))</f>
        <v/>
      </c>
      <c r="X23" s="27">
        <f>IF($F23="Yes",IF(DATE(2026,9,28)=$C23,"◆",""),IF(AND(DATE(2026,9,28)&gt;=$C23,DATE(2026,9,28)&lt;=$D23),IF(DATE(2026,9,28)&lt;$C23+ROUND($E23*($D23-$C23+1),0),"█","░"),""))</f>
        <v/>
      </c>
      <c r="Y23" s="27">
        <f>IF($F23="Yes",IF(DATE(2026,9,29)=$C23,"◆",""),IF(AND(DATE(2026,9,29)&gt;=$C23,DATE(2026,9,29)&lt;=$D23),IF(DATE(2026,9,29)&lt;$C23+ROUND($E23*($D23-$C23+1),0),"█","░"),""))</f>
        <v/>
      </c>
      <c r="Z23" s="27">
        <f>IF($F23="Yes",IF(DATE(2026,9,30)=$C23,"◆",""),IF(AND(DATE(2026,9,30)&gt;=$C23,DATE(2026,9,30)&lt;=$D23),IF(DATE(2026,9,30)&lt;$C23+ROUND($E23*($D23-$C23+1),0),"█","░"),""))</f>
        <v/>
      </c>
      <c r="AA23" s="27">
        <f>IF($F23="Yes",IF(DATE(2026,10,1)=$C23,"◆",""),IF(AND(DATE(2026,10,1)&gt;=$C23,DATE(2026,10,1)&lt;=$D23),IF(DATE(2026,10,1)&lt;$C23+ROUND($E23*($D23-$C23+1),0),"█","░"),""))</f>
        <v/>
      </c>
      <c r="AB23" s="27">
        <f>IF($F23="Yes",IF(DATE(2026,10,2)=$C23,"◆",""),IF(AND(DATE(2026,10,2)&gt;=$C23,DATE(2026,10,2)&lt;=$D23),IF(DATE(2026,10,2)&lt;$C23+ROUND($E23*($D23-$C23+1),0),"█","░"),""))</f>
        <v/>
      </c>
      <c r="AC23" s="28">
        <f>IF($F23="Yes",IF(DATE(2026,10,3)=$C23,"◆",""),IF(AND(DATE(2026,10,3)&gt;=$C23,DATE(2026,10,3)&lt;=$D23),IF(DATE(2026,10,3)&lt;$C23+ROUND($E23*($D23-$C23+1),0),"█","░"),""))</f>
        <v/>
      </c>
      <c r="AD23" s="28">
        <f>IF($F23="Yes",IF(DATE(2026,10,4)=$C23,"◆",""),IF(AND(DATE(2026,10,4)&gt;=$C23,DATE(2026,10,4)&lt;=$D23),IF(DATE(2026,10,4)&lt;$C23+ROUND($E23*($D23-$C23+1),0),"█","░"),""))</f>
        <v/>
      </c>
      <c r="AE23" s="27">
        <f>IF($F23="Yes",IF(DATE(2026,10,5)=$C23,"◆",""),IF(AND(DATE(2026,10,5)&gt;=$C23,DATE(2026,10,5)&lt;=$D23),IF(DATE(2026,10,5)&lt;$C23+ROUND($E23*($D23-$C23+1),0),"█","░"),""))</f>
        <v/>
      </c>
      <c r="AF23" s="27">
        <f>IF($F23="Yes",IF(DATE(2026,10,6)=$C23,"◆",""),IF(AND(DATE(2026,10,6)&gt;=$C23,DATE(2026,10,6)&lt;=$D23),IF(DATE(2026,10,6)&lt;$C23+ROUND($E23*($D23-$C23+1),0),"█","░"),""))</f>
        <v/>
      </c>
      <c r="AG23" s="27">
        <f>IF($F23="Yes",IF(DATE(2026,10,7)=$C23,"◆",""),IF(AND(DATE(2026,10,7)&gt;=$C23,DATE(2026,10,7)&lt;=$D23),IF(DATE(2026,10,7)&lt;$C23+ROUND($E23*($D23-$C23+1),0),"█","░"),""))</f>
        <v/>
      </c>
      <c r="AH23" s="27">
        <f>IF($F23="Yes",IF(DATE(2026,10,8)=$C23,"◆",""),IF(AND(DATE(2026,10,8)&gt;=$C23,DATE(2026,10,8)&lt;=$D23),IF(DATE(2026,10,8)&lt;$C23+ROUND($E23*($D23-$C23+1),0),"█","░"),""))</f>
        <v/>
      </c>
      <c r="AI23" s="27">
        <f>IF($F23="Yes",IF(DATE(2026,10,9)=$C23,"◆",""),IF(AND(DATE(2026,10,9)&gt;=$C23,DATE(2026,10,9)&lt;=$D23),IF(DATE(2026,10,9)&lt;$C23+ROUND($E23*($D23-$C23+1),0),"█","░"),""))</f>
        <v/>
      </c>
      <c r="AJ23" s="28">
        <f>IF($F23="Yes",IF(DATE(2026,10,10)=$C23,"◆",""),IF(AND(DATE(2026,10,10)&gt;=$C23,DATE(2026,10,10)&lt;=$D23),IF(DATE(2026,10,10)&lt;$C23+ROUND($E23*($D23-$C23+1),0),"█","░"),""))</f>
        <v/>
      </c>
      <c r="AK23" s="28">
        <f>IF($F23="Yes",IF(DATE(2026,10,11)=$C23,"◆",""),IF(AND(DATE(2026,10,11)&gt;=$C23,DATE(2026,10,11)&lt;=$D23),IF(DATE(2026,10,11)&lt;$C23+ROUND($E23*($D23-$C23+1),0),"█","░"),""))</f>
        <v/>
      </c>
      <c r="AL23" s="27">
        <f>IF($F23="Yes",IF(DATE(2026,10,12)=$C23,"◆",""),IF(AND(DATE(2026,10,12)&gt;=$C23,DATE(2026,10,12)&lt;=$D23),IF(DATE(2026,10,12)&lt;$C23+ROUND($E23*($D23-$C23+1),0),"█","░"),""))</f>
        <v/>
      </c>
      <c r="AM23" s="27">
        <f>IF($F23="Yes",IF(DATE(2026,10,13)=$C23,"◆",""),IF(AND(DATE(2026,10,13)&gt;=$C23,DATE(2026,10,13)&lt;=$D23),IF(DATE(2026,10,13)&lt;$C23+ROUND($E23*($D23-$C23+1),0),"█","░"),""))</f>
        <v/>
      </c>
      <c r="AN23" s="27">
        <f>IF($F23="Yes",IF(DATE(2026,10,14)=$C23,"◆",""),IF(AND(DATE(2026,10,14)&gt;=$C23,DATE(2026,10,14)&lt;=$D23),IF(DATE(2026,10,14)&lt;$C23+ROUND($E23*($D23-$C23+1),0),"█","░"),""))</f>
        <v/>
      </c>
    </row>
    <row r="24">
      <c r="A24" s="4">
        <f>'Project Tracker'!A23</f>
        <v/>
      </c>
      <c r="B24" s="5">
        <f>'Project Tracker'!C23</f>
        <v/>
      </c>
      <c r="C24" s="7">
        <f>'Project Tracker'!E23</f>
        <v/>
      </c>
      <c r="D24" s="7">
        <f>'Project Tracker'!F23</f>
        <v/>
      </c>
      <c r="E24" s="9">
        <f>'Project Tracker'!N23</f>
        <v/>
      </c>
      <c r="F24" s="4">
        <f>'Project Tracker'!J23</f>
        <v/>
      </c>
      <c r="G24" s="27">
        <f>IF($F24="Yes",IF(DATE(2026,9,11)=$C24,"◆",""),IF(AND(DATE(2026,9,11)&gt;=$C24,DATE(2026,9,11)&lt;=$D24),IF(DATE(2026,9,11)&lt;$C24+ROUND($E24*($D24-$C24+1),0),"█","░"),""))</f>
        <v/>
      </c>
      <c r="H24" s="28">
        <f>IF($F24="Yes",IF(DATE(2026,9,12)=$C24,"◆",""),IF(AND(DATE(2026,9,12)&gt;=$C24,DATE(2026,9,12)&lt;=$D24),IF(DATE(2026,9,12)&lt;$C24+ROUND($E24*($D24-$C24+1),0),"█","░"),""))</f>
        <v/>
      </c>
      <c r="I24" s="28">
        <f>IF($F24="Yes",IF(DATE(2026,9,13)=$C24,"◆",""),IF(AND(DATE(2026,9,13)&gt;=$C24,DATE(2026,9,13)&lt;=$D24),IF(DATE(2026,9,13)&lt;$C24+ROUND($E24*($D24-$C24+1),0),"█","░"),""))</f>
        <v/>
      </c>
      <c r="J24" s="27">
        <f>IF($F24="Yes",IF(DATE(2026,9,14)=$C24,"◆",""),IF(AND(DATE(2026,9,14)&gt;=$C24,DATE(2026,9,14)&lt;=$D24),IF(DATE(2026,9,14)&lt;$C24+ROUND($E24*($D24-$C24+1),0),"█","░"),""))</f>
        <v/>
      </c>
      <c r="K24" s="27">
        <f>IF($F24="Yes",IF(DATE(2026,9,15)=$C24,"◆",""),IF(AND(DATE(2026,9,15)&gt;=$C24,DATE(2026,9,15)&lt;=$D24),IF(DATE(2026,9,15)&lt;$C24+ROUND($E24*($D24-$C24+1),0),"█","░"),""))</f>
        <v/>
      </c>
      <c r="L24" s="27">
        <f>IF($F24="Yes",IF(DATE(2026,9,16)=$C24,"◆",""),IF(AND(DATE(2026,9,16)&gt;=$C24,DATE(2026,9,16)&lt;=$D24),IF(DATE(2026,9,16)&lt;$C24+ROUND($E24*($D24-$C24+1),0),"█","░"),""))</f>
        <v/>
      </c>
      <c r="M24" s="27">
        <f>IF($F24="Yes",IF(DATE(2026,9,17)=$C24,"◆",""),IF(AND(DATE(2026,9,17)&gt;=$C24,DATE(2026,9,17)&lt;=$D24),IF(DATE(2026,9,17)&lt;$C24+ROUND($E24*($D24-$C24+1),0),"█","░"),""))</f>
        <v/>
      </c>
      <c r="N24" s="27">
        <f>IF($F24="Yes",IF(DATE(2026,9,18)=$C24,"◆",""),IF(AND(DATE(2026,9,18)&gt;=$C24,DATE(2026,9,18)&lt;=$D24),IF(DATE(2026,9,18)&lt;$C24+ROUND($E24*($D24-$C24+1),0),"█","░"),""))</f>
        <v/>
      </c>
      <c r="O24" s="28">
        <f>IF($F24="Yes",IF(DATE(2026,9,19)=$C24,"◆",""),IF(AND(DATE(2026,9,19)&gt;=$C24,DATE(2026,9,19)&lt;=$D24),IF(DATE(2026,9,19)&lt;$C24+ROUND($E24*($D24-$C24+1),0),"█","░"),""))</f>
        <v/>
      </c>
      <c r="P24" s="28">
        <f>IF($F24="Yes",IF(DATE(2026,9,20)=$C24,"◆",""),IF(AND(DATE(2026,9,20)&gt;=$C24,DATE(2026,9,20)&lt;=$D24),IF(DATE(2026,9,20)&lt;$C24+ROUND($E24*($D24-$C24+1),0),"█","░"),""))</f>
        <v/>
      </c>
      <c r="Q24" s="27">
        <f>IF($F24="Yes",IF(DATE(2026,9,21)=$C24,"◆",""),IF(AND(DATE(2026,9,21)&gt;=$C24,DATE(2026,9,21)&lt;=$D24),IF(DATE(2026,9,21)&lt;$C24+ROUND($E24*($D24-$C24+1),0),"█","░"),""))</f>
        <v/>
      </c>
      <c r="R24" s="27">
        <f>IF($F24="Yes",IF(DATE(2026,9,22)=$C24,"◆",""),IF(AND(DATE(2026,9,22)&gt;=$C24,DATE(2026,9,22)&lt;=$D24),IF(DATE(2026,9,22)&lt;$C24+ROUND($E24*($D24-$C24+1),0),"█","░"),""))</f>
        <v/>
      </c>
      <c r="S24" s="27">
        <f>IF($F24="Yes",IF(DATE(2026,9,23)=$C24,"◆",""),IF(AND(DATE(2026,9,23)&gt;=$C24,DATE(2026,9,23)&lt;=$D24),IF(DATE(2026,9,23)&lt;$C24+ROUND($E24*($D24-$C24+1),0),"█","░"),""))</f>
        <v/>
      </c>
      <c r="T24" s="27">
        <f>IF($F24="Yes",IF(DATE(2026,9,24)=$C24,"◆",""),IF(AND(DATE(2026,9,24)&gt;=$C24,DATE(2026,9,24)&lt;=$D24),IF(DATE(2026,9,24)&lt;$C24+ROUND($E24*($D24-$C24+1),0),"█","░"),""))</f>
        <v/>
      </c>
      <c r="U24" s="27">
        <f>IF($F24="Yes",IF(DATE(2026,9,25)=$C24,"◆",""),IF(AND(DATE(2026,9,25)&gt;=$C24,DATE(2026,9,25)&lt;=$D24),IF(DATE(2026,9,25)&lt;$C24+ROUND($E24*($D24-$C24+1),0),"█","░"),""))</f>
        <v/>
      </c>
      <c r="V24" s="28">
        <f>IF($F24="Yes",IF(DATE(2026,9,26)=$C24,"◆",""),IF(AND(DATE(2026,9,26)&gt;=$C24,DATE(2026,9,26)&lt;=$D24),IF(DATE(2026,9,26)&lt;$C24+ROUND($E24*($D24-$C24+1),0),"█","░"),""))</f>
        <v/>
      </c>
      <c r="W24" s="28">
        <f>IF($F24="Yes",IF(DATE(2026,9,27)=$C24,"◆",""),IF(AND(DATE(2026,9,27)&gt;=$C24,DATE(2026,9,27)&lt;=$D24),IF(DATE(2026,9,27)&lt;$C24+ROUND($E24*($D24-$C24+1),0),"█","░"),""))</f>
        <v/>
      </c>
      <c r="X24" s="27">
        <f>IF($F24="Yes",IF(DATE(2026,9,28)=$C24,"◆",""),IF(AND(DATE(2026,9,28)&gt;=$C24,DATE(2026,9,28)&lt;=$D24),IF(DATE(2026,9,28)&lt;$C24+ROUND($E24*($D24-$C24+1),0),"█","░"),""))</f>
        <v/>
      </c>
      <c r="Y24" s="27">
        <f>IF($F24="Yes",IF(DATE(2026,9,29)=$C24,"◆",""),IF(AND(DATE(2026,9,29)&gt;=$C24,DATE(2026,9,29)&lt;=$D24),IF(DATE(2026,9,29)&lt;$C24+ROUND($E24*($D24-$C24+1),0),"█","░"),""))</f>
        <v/>
      </c>
      <c r="Z24" s="27">
        <f>IF($F24="Yes",IF(DATE(2026,9,30)=$C24,"◆",""),IF(AND(DATE(2026,9,30)&gt;=$C24,DATE(2026,9,30)&lt;=$D24),IF(DATE(2026,9,30)&lt;$C24+ROUND($E24*($D24-$C24+1),0),"█","░"),""))</f>
        <v/>
      </c>
      <c r="AA24" s="27">
        <f>IF($F24="Yes",IF(DATE(2026,10,1)=$C24,"◆",""),IF(AND(DATE(2026,10,1)&gt;=$C24,DATE(2026,10,1)&lt;=$D24),IF(DATE(2026,10,1)&lt;$C24+ROUND($E24*($D24-$C24+1),0),"█","░"),""))</f>
        <v/>
      </c>
      <c r="AB24" s="27">
        <f>IF($F24="Yes",IF(DATE(2026,10,2)=$C24,"◆",""),IF(AND(DATE(2026,10,2)&gt;=$C24,DATE(2026,10,2)&lt;=$D24),IF(DATE(2026,10,2)&lt;$C24+ROUND($E24*($D24-$C24+1),0),"█","░"),""))</f>
        <v/>
      </c>
      <c r="AC24" s="28">
        <f>IF($F24="Yes",IF(DATE(2026,10,3)=$C24,"◆",""),IF(AND(DATE(2026,10,3)&gt;=$C24,DATE(2026,10,3)&lt;=$D24),IF(DATE(2026,10,3)&lt;$C24+ROUND($E24*($D24-$C24+1),0),"█","░"),""))</f>
        <v/>
      </c>
      <c r="AD24" s="28">
        <f>IF($F24="Yes",IF(DATE(2026,10,4)=$C24,"◆",""),IF(AND(DATE(2026,10,4)&gt;=$C24,DATE(2026,10,4)&lt;=$D24),IF(DATE(2026,10,4)&lt;$C24+ROUND($E24*($D24-$C24+1),0),"█","░"),""))</f>
        <v/>
      </c>
      <c r="AE24" s="27">
        <f>IF($F24="Yes",IF(DATE(2026,10,5)=$C24,"◆",""),IF(AND(DATE(2026,10,5)&gt;=$C24,DATE(2026,10,5)&lt;=$D24),IF(DATE(2026,10,5)&lt;$C24+ROUND($E24*($D24-$C24+1),0),"█","░"),""))</f>
        <v/>
      </c>
      <c r="AF24" s="27">
        <f>IF($F24="Yes",IF(DATE(2026,10,6)=$C24,"◆",""),IF(AND(DATE(2026,10,6)&gt;=$C24,DATE(2026,10,6)&lt;=$D24),IF(DATE(2026,10,6)&lt;$C24+ROUND($E24*($D24-$C24+1),0),"█","░"),""))</f>
        <v/>
      </c>
      <c r="AG24" s="27">
        <f>IF($F24="Yes",IF(DATE(2026,10,7)=$C24,"◆",""),IF(AND(DATE(2026,10,7)&gt;=$C24,DATE(2026,10,7)&lt;=$D24),IF(DATE(2026,10,7)&lt;$C24+ROUND($E24*($D24-$C24+1),0),"█","░"),""))</f>
        <v/>
      </c>
      <c r="AH24" s="27">
        <f>IF($F24="Yes",IF(DATE(2026,10,8)=$C24,"◆",""),IF(AND(DATE(2026,10,8)&gt;=$C24,DATE(2026,10,8)&lt;=$D24),IF(DATE(2026,10,8)&lt;$C24+ROUND($E24*($D24-$C24+1),0),"█","░"),""))</f>
        <v/>
      </c>
      <c r="AI24" s="27">
        <f>IF($F24="Yes",IF(DATE(2026,10,9)=$C24,"◆",""),IF(AND(DATE(2026,10,9)&gt;=$C24,DATE(2026,10,9)&lt;=$D24),IF(DATE(2026,10,9)&lt;$C24+ROUND($E24*($D24-$C24+1),0),"█","░"),""))</f>
        <v/>
      </c>
      <c r="AJ24" s="28">
        <f>IF($F24="Yes",IF(DATE(2026,10,10)=$C24,"◆",""),IF(AND(DATE(2026,10,10)&gt;=$C24,DATE(2026,10,10)&lt;=$D24),IF(DATE(2026,10,10)&lt;$C24+ROUND($E24*($D24-$C24+1),0),"█","░"),""))</f>
        <v/>
      </c>
      <c r="AK24" s="28">
        <f>IF($F24="Yes",IF(DATE(2026,10,11)=$C24,"◆",""),IF(AND(DATE(2026,10,11)&gt;=$C24,DATE(2026,10,11)&lt;=$D24),IF(DATE(2026,10,11)&lt;$C24+ROUND($E24*($D24-$C24+1),0),"█","░"),""))</f>
        <v/>
      </c>
      <c r="AL24" s="27">
        <f>IF($F24="Yes",IF(DATE(2026,10,12)=$C24,"◆",""),IF(AND(DATE(2026,10,12)&gt;=$C24,DATE(2026,10,12)&lt;=$D24),IF(DATE(2026,10,12)&lt;$C24+ROUND($E24*($D24-$C24+1),0),"█","░"),""))</f>
        <v/>
      </c>
      <c r="AM24" s="27">
        <f>IF($F24="Yes",IF(DATE(2026,10,13)=$C24,"◆",""),IF(AND(DATE(2026,10,13)&gt;=$C24,DATE(2026,10,13)&lt;=$D24),IF(DATE(2026,10,13)&lt;$C24+ROUND($E24*($D24-$C24+1),0),"█","░"),""))</f>
        <v/>
      </c>
      <c r="AN24" s="27">
        <f>IF($F24="Yes",IF(DATE(2026,10,14)=$C24,"◆",""),IF(AND(DATE(2026,10,14)&gt;=$C24,DATE(2026,10,14)&lt;=$D24),IF(DATE(2026,10,14)&lt;$C24+ROUND($E24*($D24-$C24+1),0),"█","░"),""))</f>
        <v/>
      </c>
    </row>
    <row r="25">
      <c r="A25" s="4">
        <f>'Project Tracker'!A24</f>
        <v/>
      </c>
      <c r="B25" s="5">
        <f>'Project Tracker'!C24</f>
        <v/>
      </c>
      <c r="C25" s="7">
        <f>'Project Tracker'!E24</f>
        <v/>
      </c>
      <c r="D25" s="7">
        <f>'Project Tracker'!F24</f>
        <v/>
      </c>
      <c r="E25" s="9">
        <f>'Project Tracker'!N24</f>
        <v/>
      </c>
      <c r="F25" s="4">
        <f>'Project Tracker'!J24</f>
        <v/>
      </c>
      <c r="G25" s="27">
        <f>IF($F25="Yes",IF(DATE(2026,9,11)=$C25,"◆",""),IF(AND(DATE(2026,9,11)&gt;=$C25,DATE(2026,9,11)&lt;=$D25),IF(DATE(2026,9,11)&lt;$C25+ROUND($E25*($D25-$C25+1),0),"█","░"),""))</f>
        <v/>
      </c>
      <c r="H25" s="28">
        <f>IF($F25="Yes",IF(DATE(2026,9,12)=$C25,"◆",""),IF(AND(DATE(2026,9,12)&gt;=$C25,DATE(2026,9,12)&lt;=$D25),IF(DATE(2026,9,12)&lt;$C25+ROUND($E25*($D25-$C25+1),0),"█","░"),""))</f>
        <v/>
      </c>
      <c r="I25" s="28">
        <f>IF($F25="Yes",IF(DATE(2026,9,13)=$C25,"◆",""),IF(AND(DATE(2026,9,13)&gt;=$C25,DATE(2026,9,13)&lt;=$D25),IF(DATE(2026,9,13)&lt;$C25+ROUND($E25*($D25-$C25+1),0),"█","░"),""))</f>
        <v/>
      </c>
      <c r="J25" s="27">
        <f>IF($F25="Yes",IF(DATE(2026,9,14)=$C25,"◆",""),IF(AND(DATE(2026,9,14)&gt;=$C25,DATE(2026,9,14)&lt;=$D25),IF(DATE(2026,9,14)&lt;$C25+ROUND($E25*($D25-$C25+1),0),"█","░"),""))</f>
        <v/>
      </c>
      <c r="K25" s="27">
        <f>IF($F25="Yes",IF(DATE(2026,9,15)=$C25,"◆",""),IF(AND(DATE(2026,9,15)&gt;=$C25,DATE(2026,9,15)&lt;=$D25),IF(DATE(2026,9,15)&lt;$C25+ROUND($E25*($D25-$C25+1),0),"█","░"),""))</f>
        <v/>
      </c>
      <c r="L25" s="27">
        <f>IF($F25="Yes",IF(DATE(2026,9,16)=$C25,"◆",""),IF(AND(DATE(2026,9,16)&gt;=$C25,DATE(2026,9,16)&lt;=$D25),IF(DATE(2026,9,16)&lt;$C25+ROUND($E25*($D25-$C25+1),0),"█","░"),""))</f>
        <v/>
      </c>
      <c r="M25" s="27">
        <f>IF($F25="Yes",IF(DATE(2026,9,17)=$C25,"◆",""),IF(AND(DATE(2026,9,17)&gt;=$C25,DATE(2026,9,17)&lt;=$D25),IF(DATE(2026,9,17)&lt;$C25+ROUND($E25*($D25-$C25+1),0),"█","░"),""))</f>
        <v/>
      </c>
      <c r="N25" s="27">
        <f>IF($F25="Yes",IF(DATE(2026,9,18)=$C25,"◆",""),IF(AND(DATE(2026,9,18)&gt;=$C25,DATE(2026,9,18)&lt;=$D25),IF(DATE(2026,9,18)&lt;$C25+ROUND($E25*($D25-$C25+1),0),"█","░"),""))</f>
        <v/>
      </c>
      <c r="O25" s="28">
        <f>IF($F25="Yes",IF(DATE(2026,9,19)=$C25,"◆",""),IF(AND(DATE(2026,9,19)&gt;=$C25,DATE(2026,9,19)&lt;=$D25),IF(DATE(2026,9,19)&lt;$C25+ROUND($E25*($D25-$C25+1),0),"█","░"),""))</f>
        <v/>
      </c>
      <c r="P25" s="28">
        <f>IF($F25="Yes",IF(DATE(2026,9,20)=$C25,"◆",""),IF(AND(DATE(2026,9,20)&gt;=$C25,DATE(2026,9,20)&lt;=$D25),IF(DATE(2026,9,20)&lt;$C25+ROUND($E25*($D25-$C25+1),0),"█","░"),""))</f>
        <v/>
      </c>
      <c r="Q25" s="27">
        <f>IF($F25="Yes",IF(DATE(2026,9,21)=$C25,"◆",""),IF(AND(DATE(2026,9,21)&gt;=$C25,DATE(2026,9,21)&lt;=$D25),IF(DATE(2026,9,21)&lt;$C25+ROUND($E25*($D25-$C25+1),0),"█","░"),""))</f>
        <v/>
      </c>
      <c r="R25" s="27">
        <f>IF($F25="Yes",IF(DATE(2026,9,22)=$C25,"◆",""),IF(AND(DATE(2026,9,22)&gt;=$C25,DATE(2026,9,22)&lt;=$D25),IF(DATE(2026,9,22)&lt;$C25+ROUND($E25*($D25-$C25+1),0),"█","░"),""))</f>
        <v/>
      </c>
      <c r="S25" s="27">
        <f>IF($F25="Yes",IF(DATE(2026,9,23)=$C25,"◆",""),IF(AND(DATE(2026,9,23)&gt;=$C25,DATE(2026,9,23)&lt;=$D25),IF(DATE(2026,9,23)&lt;$C25+ROUND($E25*($D25-$C25+1),0),"█","░"),""))</f>
        <v/>
      </c>
      <c r="T25" s="27">
        <f>IF($F25="Yes",IF(DATE(2026,9,24)=$C25,"◆",""),IF(AND(DATE(2026,9,24)&gt;=$C25,DATE(2026,9,24)&lt;=$D25),IF(DATE(2026,9,24)&lt;$C25+ROUND($E25*($D25-$C25+1),0),"█","░"),""))</f>
        <v/>
      </c>
      <c r="U25" s="27">
        <f>IF($F25="Yes",IF(DATE(2026,9,25)=$C25,"◆",""),IF(AND(DATE(2026,9,25)&gt;=$C25,DATE(2026,9,25)&lt;=$D25),IF(DATE(2026,9,25)&lt;$C25+ROUND($E25*($D25-$C25+1),0),"█","░"),""))</f>
        <v/>
      </c>
      <c r="V25" s="28">
        <f>IF($F25="Yes",IF(DATE(2026,9,26)=$C25,"◆",""),IF(AND(DATE(2026,9,26)&gt;=$C25,DATE(2026,9,26)&lt;=$D25),IF(DATE(2026,9,26)&lt;$C25+ROUND($E25*($D25-$C25+1),0),"█","░"),""))</f>
        <v/>
      </c>
      <c r="W25" s="28">
        <f>IF($F25="Yes",IF(DATE(2026,9,27)=$C25,"◆",""),IF(AND(DATE(2026,9,27)&gt;=$C25,DATE(2026,9,27)&lt;=$D25),IF(DATE(2026,9,27)&lt;$C25+ROUND($E25*($D25-$C25+1),0),"█","░"),""))</f>
        <v/>
      </c>
      <c r="X25" s="27">
        <f>IF($F25="Yes",IF(DATE(2026,9,28)=$C25,"◆",""),IF(AND(DATE(2026,9,28)&gt;=$C25,DATE(2026,9,28)&lt;=$D25),IF(DATE(2026,9,28)&lt;$C25+ROUND($E25*($D25-$C25+1),0),"█","░"),""))</f>
        <v/>
      </c>
      <c r="Y25" s="27">
        <f>IF($F25="Yes",IF(DATE(2026,9,29)=$C25,"◆",""),IF(AND(DATE(2026,9,29)&gt;=$C25,DATE(2026,9,29)&lt;=$D25),IF(DATE(2026,9,29)&lt;$C25+ROUND($E25*($D25-$C25+1),0),"█","░"),""))</f>
        <v/>
      </c>
      <c r="Z25" s="27">
        <f>IF($F25="Yes",IF(DATE(2026,9,30)=$C25,"◆",""),IF(AND(DATE(2026,9,30)&gt;=$C25,DATE(2026,9,30)&lt;=$D25),IF(DATE(2026,9,30)&lt;$C25+ROUND($E25*($D25-$C25+1),0),"█","░"),""))</f>
        <v/>
      </c>
      <c r="AA25" s="27">
        <f>IF($F25="Yes",IF(DATE(2026,10,1)=$C25,"◆",""),IF(AND(DATE(2026,10,1)&gt;=$C25,DATE(2026,10,1)&lt;=$D25),IF(DATE(2026,10,1)&lt;$C25+ROUND($E25*($D25-$C25+1),0),"█","░"),""))</f>
        <v/>
      </c>
      <c r="AB25" s="27">
        <f>IF($F25="Yes",IF(DATE(2026,10,2)=$C25,"◆",""),IF(AND(DATE(2026,10,2)&gt;=$C25,DATE(2026,10,2)&lt;=$D25),IF(DATE(2026,10,2)&lt;$C25+ROUND($E25*($D25-$C25+1),0),"█","░"),""))</f>
        <v/>
      </c>
      <c r="AC25" s="28">
        <f>IF($F25="Yes",IF(DATE(2026,10,3)=$C25,"◆",""),IF(AND(DATE(2026,10,3)&gt;=$C25,DATE(2026,10,3)&lt;=$D25),IF(DATE(2026,10,3)&lt;$C25+ROUND($E25*($D25-$C25+1),0),"█","░"),""))</f>
        <v/>
      </c>
      <c r="AD25" s="28">
        <f>IF($F25="Yes",IF(DATE(2026,10,4)=$C25,"◆",""),IF(AND(DATE(2026,10,4)&gt;=$C25,DATE(2026,10,4)&lt;=$D25),IF(DATE(2026,10,4)&lt;$C25+ROUND($E25*($D25-$C25+1),0),"█","░"),""))</f>
        <v/>
      </c>
      <c r="AE25" s="27">
        <f>IF($F25="Yes",IF(DATE(2026,10,5)=$C25,"◆",""),IF(AND(DATE(2026,10,5)&gt;=$C25,DATE(2026,10,5)&lt;=$D25),IF(DATE(2026,10,5)&lt;$C25+ROUND($E25*($D25-$C25+1),0),"█","░"),""))</f>
        <v/>
      </c>
      <c r="AF25" s="27">
        <f>IF($F25="Yes",IF(DATE(2026,10,6)=$C25,"◆",""),IF(AND(DATE(2026,10,6)&gt;=$C25,DATE(2026,10,6)&lt;=$D25),IF(DATE(2026,10,6)&lt;$C25+ROUND($E25*($D25-$C25+1),0),"█","░"),""))</f>
        <v/>
      </c>
      <c r="AG25" s="27">
        <f>IF($F25="Yes",IF(DATE(2026,10,7)=$C25,"◆",""),IF(AND(DATE(2026,10,7)&gt;=$C25,DATE(2026,10,7)&lt;=$D25),IF(DATE(2026,10,7)&lt;$C25+ROUND($E25*($D25-$C25+1),0),"█","░"),""))</f>
        <v/>
      </c>
      <c r="AH25" s="27">
        <f>IF($F25="Yes",IF(DATE(2026,10,8)=$C25,"◆",""),IF(AND(DATE(2026,10,8)&gt;=$C25,DATE(2026,10,8)&lt;=$D25),IF(DATE(2026,10,8)&lt;$C25+ROUND($E25*($D25-$C25+1),0),"█","░"),""))</f>
        <v/>
      </c>
      <c r="AI25" s="27">
        <f>IF($F25="Yes",IF(DATE(2026,10,9)=$C25,"◆",""),IF(AND(DATE(2026,10,9)&gt;=$C25,DATE(2026,10,9)&lt;=$D25),IF(DATE(2026,10,9)&lt;$C25+ROUND($E25*($D25-$C25+1),0),"█","░"),""))</f>
        <v/>
      </c>
      <c r="AJ25" s="28">
        <f>IF($F25="Yes",IF(DATE(2026,10,10)=$C25,"◆",""),IF(AND(DATE(2026,10,10)&gt;=$C25,DATE(2026,10,10)&lt;=$D25),IF(DATE(2026,10,10)&lt;$C25+ROUND($E25*($D25-$C25+1),0),"█","░"),""))</f>
        <v/>
      </c>
      <c r="AK25" s="28">
        <f>IF($F25="Yes",IF(DATE(2026,10,11)=$C25,"◆",""),IF(AND(DATE(2026,10,11)&gt;=$C25,DATE(2026,10,11)&lt;=$D25),IF(DATE(2026,10,11)&lt;$C25+ROUND($E25*($D25-$C25+1),0),"█","░"),""))</f>
        <v/>
      </c>
      <c r="AL25" s="27">
        <f>IF($F25="Yes",IF(DATE(2026,10,12)=$C25,"◆",""),IF(AND(DATE(2026,10,12)&gt;=$C25,DATE(2026,10,12)&lt;=$D25),IF(DATE(2026,10,12)&lt;$C25+ROUND($E25*($D25-$C25+1),0),"█","░"),""))</f>
        <v/>
      </c>
      <c r="AM25" s="27">
        <f>IF($F25="Yes",IF(DATE(2026,10,13)=$C25,"◆",""),IF(AND(DATE(2026,10,13)&gt;=$C25,DATE(2026,10,13)&lt;=$D25),IF(DATE(2026,10,13)&lt;$C25+ROUND($E25*($D25-$C25+1),0),"█","░"),""))</f>
        <v/>
      </c>
      <c r="AN25" s="27">
        <f>IF($F25="Yes",IF(DATE(2026,10,14)=$C25,"◆",""),IF(AND(DATE(2026,10,14)&gt;=$C25,DATE(2026,10,14)&lt;=$D25),IF(DATE(2026,10,14)&lt;$C25+ROUND($E25*($D25-$C25+1),0),"█","░"),""))</f>
        <v/>
      </c>
    </row>
    <row r="26">
      <c r="A26" s="4">
        <f>'Project Tracker'!A25</f>
        <v/>
      </c>
      <c r="B26" s="5">
        <f>'Project Tracker'!C25</f>
        <v/>
      </c>
      <c r="C26" s="7">
        <f>'Project Tracker'!E25</f>
        <v/>
      </c>
      <c r="D26" s="7">
        <f>'Project Tracker'!F25</f>
        <v/>
      </c>
      <c r="E26" s="9">
        <f>'Project Tracker'!N25</f>
        <v/>
      </c>
      <c r="F26" s="4">
        <f>'Project Tracker'!J25</f>
        <v/>
      </c>
      <c r="G26" s="27">
        <f>IF($F26="Yes",IF(DATE(2026,9,11)=$C26,"◆",""),IF(AND(DATE(2026,9,11)&gt;=$C26,DATE(2026,9,11)&lt;=$D26),IF(DATE(2026,9,11)&lt;$C26+ROUND($E26*($D26-$C26+1),0),"█","░"),""))</f>
        <v/>
      </c>
      <c r="H26" s="28">
        <f>IF($F26="Yes",IF(DATE(2026,9,12)=$C26,"◆",""),IF(AND(DATE(2026,9,12)&gt;=$C26,DATE(2026,9,12)&lt;=$D26),IF(DATE(2026,9,12)&lt;$C26+ROUND($E26*($D26-$C26+1),0),"█","░"),""))</f>
        <v/>
      </c>
      <c r="I26" s="28">
        <f>IF($F26="Yes",IF(DATE(2026,9,13)=$C26,"◆",""),IF(AND(DATE(2026,9,13)&gt;=$C26,DATE(2026,9,13)&lt;=$D26),IF(DATE(2026,9,13)&lt;$C26+ROUND($E26*($D26-$C26+1),0),"█","░"),""))</f>
        <v/>
      </c>
      <c r="J26" s="27">
        <f>IF($F26="Yes",IF(DATE(2026,9,14)=$C26,"◆",""),IF(AND(DATE(2026,9,14)&gt;=$C26,DATE(2026,9,14)&lt;=$D26),IF(DATE(2026,9,14)&lt;$C26+ROUND($E26*($D26-$C26+1),0),"█","░"),""))</f>
        <v/>
      </c>
      <c r="K26" s="27">
        <f>IF($F26="Yes",IF(DATE(2026,9,15)=$C26,"◆",""),IF(AND(DATE(2026,9,15)&gt;=$C26,DATE(2026,9,15)&lt;=$D26),IF(DATE(2026,9,15)&lt;$C26+ROUND($E26*($D26-$C26+1),0),"█","░"),""))</f>
        <v/>
      </c>
      <c r="L26" s="27">
        <f>IF($F26="Yes",IF(DATE(2026,9,16)=$C26,"◆",""),IF(AND(DATE(2026,9,16)&gt;=$C26,DATE(2026,9,16)&lt;=$D26),IF(DATE(2026,9,16)&lt;$C26+ROUND($E26*($D26-$C26+1),0),"█","░"),""))</f>
        <v/>
      </c>
      <c r="M26" s="27">
        <f>IF($F26="Yes",IF(DATE(2026,9,17)=$C26,"◆",""),IF(AND(DATE(2026,9,17)&gt;=$C26,DATE(2026,9,17)&lt;=$D26),IF(DATE(2026,9,17)&lt;$C26+ROUND($E26*($D26-$C26+1),0),"█","░"),""))</f>
        <v/>
      </c>
      <c r="N26" s="27">
        <f>IF($F26="Yes",IF(DATE(2026,9,18)=$C26,"◆",""),IF(AND(DATE(2026,9,18)&gt;=$C26,DATE(2026,9,18)&lt;=$D26),IF(DATE(2026,9,18)&lt;$C26+ROUND($E26*($D26-$C26+1),0),"█","░"),""))</f>
        <v/>
      </c>
      <c r="O26" s="28">
        <f>IF($F26="Yes",IF(DATE(2026,9,19)=$C26,"◆",""),IF(AND(DATE(2026,9,19)&gt;=$C26,DATE(2026,9,19)&lt;=$D26),IF(DATE(2026,9,19)&lt;$C26+ROUND($E26*($D26-$C26+1),0),"█","░"),""))</f>
        <v/>
      </c>
      <c r="P26" s="28">
        <f>IF($F26="Yes",IF(DATE(2026,9,20)=$C26,"◆",""),IF(AND(DATE(2026,9,20)&gt;=$C26,DATE(2026,9,20)&lt;=$D26),IF(DATE(2026,9,20)&lt;$C26+ROUND($E26*($D26-$C26+1),0),"█","░"),""))</f>
        <v/>
      </c>
      <c r="Q26" s="27">
        <f>IF($F26="Yes",IF(DATE(2026,9,21)=$C26,"◆",""),IF(AND(DATE(2026,9,21)&gt;=$C26,DATE(2026,9,21)&lt;=$D26),IF(DATE(2026,9,21)&lt;$C26+ROUND($E26*($D26-$C26+1),0),"█","░"),""))</f>
        <v/>
      </c>
      <c r="R26" s="27">
        <f>IF($F26="Yes",IF(DATE(2026,9,22)=$C26,"◆",""),IF(AND(DATE(2026,9,22)&gt;=$C26,DATE(2026,9,22)&lt;=$D26),IF(DATE(2026,9,22)&lt;$C26+ROUND($E26*($D26-$C26+1),0),"█","░"),""))</f>
        <v/>
      </c>
      <c r="S26" s="27">
        <f>IF($F26="Yes",IF(DATE(2026,9,23)=$C26,"◆",""),IF(AND(DATE(2026,9,23)&gt;=$C26,DATE(2026,9,23)&lt;=$D26),IF(DATE(2026,9,23)&lt;$C26+ROUND($E26*($D26-$C26+1),0),"█","░"),""))</f>
        <v/>
      </c>
      <c r="T26" s="27">
        <f>IF($F26="Yes",IF(DATE(2026,9,24)=$C26,"◆",""),IF(AND(DATE(2026,9,24)&gt;=$C26,DATE(2026,9,24)&lt;=$D26),IF(DATE(2026,9,24)&lt;$C26+ROUND($E26*($D26-$C26+1),0),"█","░"),""))</f>
        <v/>
      </c>
      <c r="U26" s="27">
        <f>IF($F26="Yes",IF(DATE(2026,9,25)=$C26,"◆",""),IF(AND(DATE(2026,9,25)&gt;=$C26,DATE(2026,9,25)&lt;=$D26),IF(DATE(2026,9,25)&lt;$C26+ROUND($E26*($D26-$C26+1),0),"█","░"),""))</f>
        <v/>
      </c>
      <c r="V26" s="28">
        <f>IF($F26="Yes",IF(DATE(2026,9,26)=$C26,"◆",""),IF(AND(DATE(2026,9,26)&gt;=$C26,DATE(2026,9,26)&lt;=$D26),IF(DATE(2026,9,26)&lt;$C26+ROUND($E26*($D26-$C26+1),0),"█","░"),""))</f>
        <v/>
      </c>
      <c r="W26" s="28">
        <f>IF($F26="Yes",IF(DATE(2026,9,27)=$C26,"◆",""),IF(AND(DATE(2026,9,27)&gt;=$C26,DATE(2026,9,27)&lt;=$D26),IF(DATE(2026,9,27)&lt;$C26+ROUND($E26*($D26-$C26+1),0),"█","░"),""))</f>
        <v/>
      </c>
      <c r="X26" s="27">
        <f>IF($F26="Yes",IF(DATE(2026,9,28)=$C26,"◆",""),IF(AND(DATE(2026,9,28)&gt;=$C26,DATE(2026,9,28)&lt;=$D26),IF(DATE(2026,9,28)&lt;$C26+ROUND($E26*($D26-$C26+1),0),"█","░"),""))</f>
        <v/>
      </c>
      <c r="Y26" s="27">
        <f>IF($F26="Yes",IF(DATE(2026,9,29)=$C26,"◆",""),IF(AND(DATE(2026,9,29)&gt;=$C26,DATE(2026,9,29)&lt;=$D26),IF(DATE(2026,9,29)&lt;$C26+ROUND($E26*($D26-$C26+1),0),"█","░"),""))</f>
        <v/>
      </c>
      <c r="Z26" s="27">
        <f>IF($F26="Yes",IF(DATE(2026,9,30)=$C26,"◆",""),IF(AND(DATE(2026,9,30)&gt;=$C26,DATE(2026,9,30)&lt;=$D26),IF(DATE(2026,9,30)&lt;$C26+ROUND($E26*($D26-$C26+1),0),"█","░"),""))</f>
        <v/>
      </c>
      <c r="AA26" s="27">
        <f>IF($F26="Yes",IF(DATE(2026,10,1)=$C26,"◆",""),IF(AND(DATE(2026,10,1)&gt;=$C26,DATE(2026,10,1)&lt;=$D26),IF(DATE(2026,10,1)&lt;$C26+ROUND($E26*($D26-$C26+1),0),"█","░"),""))</f>
        <v/>
      </c>
      <c r="AB26" s="27">
        <f>IF($F26="Yes",IF(DATE(2026,10,2)=$C26,"◆",""),IF(AND(DATE(2026,10,2)&gt;=$C26,DATE(2026,10,2)&lt;=$D26),IF(DATE(2026,10,2)&lt;$C26+ROUND($E26*($D26-$C26+1),0),"█","░"),""))</f>
        <v/>
      </c>
      <c r="AC26" s="28">
        <f>IF($F26="Yes",IF(DATE(2026,10,3)=$C26,"◆",""),IF(AND(DATE(2026,10,3)&gt;=$C26,DATE(2026,10,3)&lt;=$D26),IF(DATE(2026,10,3)&lt;$C26+ROUND($E26*($D26-$C26+1),0),"█","░"),""))</f>
        <v/>
      </c>
      <c r="AD26" s="28">
        <f>IF($F26="Yes",IF(DATE(2026,10,4)=$C26,"◆",""),IF(AND(DATE(2026,10,4)&gt;=$C26,DATE(2026,10,4)&lt;=$D26),IF(DATE(2026,10,4)&lt;$C26+ROUND($E26*($D26-$C26+1),0),"█","░"),""))</f>
        <v/>
      </c>
      <c r="AE26" s="27">
        <f>IF($F26="Yes",IF(DATE(2026,10,5)=$C26,"◆",""),IF(AND(DATE(2026,10,5)&gt;=$C26,DATE(2026,10,5)&lt;=$D26),IF(DATE(2026,10,5)&lt;$C26+ROUND($E26*($D26-$C26+1),0),"█","░"),""))</f>
        <v/>
      </c>
      <c r="AF26" s="27">
        <f>IF($F26="Yes",IF(DATE(2026,10,6)=$C26,"◆",""),IF(AND(DATE(2026,10,6)&gt;=$C26,DATE(2026,10,6)&lt;=$D26),IF(DATE(2026,10,6)&lt;$C26+ROUND($E26*($D26-$C26+1),0),"█","░"),""))</f>
        <v/>
      </c>
      <c r="AG26" s="27">
        <f>IF($F26="Yes",IF(DATE(2026,10,7)=$C26,"◆",""),IF(AND(DATE(2026,10,7)&gt;=$C26,DATE(2026,10,7)&lt;=$D26),IF(DATE(2026,10,7)&lt;$C26+ROUND($E26*($D26-$C26+1),0),"█","░"),""))</f>
        <v/>
      </c>
      <c r="AH26" s="27">
        <f>IF($F26="Yes",IF(DATE(2026,10,8)=$C26,"◆",""),IF(AND(DATE(2026,10,8)&gt;=$C26,DATE(2026,10,8)&lt;=$D26),IF(DATE(2026,10,8)&lt;$C26+ROUND($E26*($D26-$C26+1),0),"█","░"),""))</f>
        <v/>
      </c>
      <c r="AI26" s="27">
        <f>IF($F26="Yes",IF(DATE(2026,10,9)=$C26,"◆",""),IF(AND(DATE(2026,10,9)&gt;=$C26,DATE(2026,10,9)&lt;=$D26),IF(DATE(2026,10,9)&lt;$C26+ROUND($E26*($D26-$C26+1),0),"█","░"),""))</f>
        <v/>
      </c>
      <c r="AJ26" s="28">
        <f>IF($F26="Yes",IF(DATE(2026,10,10)=$C26,"◆",""),IF(AND(DATE(2026,10,10)&gt;=$C26,DATE(2026,10,10)&lt;=$D26),IF(DATE(2026,10,10)&lt;$C26+ROUND($E26*($D26-$C26+1),0),"█","░"),""))</f>
        <v/>
      </c>
      <c r="AK26" s="28">
        <f>IF($F26="Yes",IF(DATE(2026,10,11)=$C26,"◆",""),IF(AND(DATE(2026,10,11)&gt;=$C26,DATE(2026,10,11)&lt;=$D26),IF(DATE(2026,10,11)&lt;$C26+ROUND($E26*($D26-$C26+1),0),"█","░"),""))</f>
        <v/>
      </c>
      <c r="AL26" s="27">
        <f>IF($F26="Yes",IF(DATE(2026,10,12)=$C26,"◆",""),IF(AND(DATE(2026,10,12)&gt;=$C26,DATE(2026,10,12)&lt;=$D26),IF(DATE(2026,10,12)&lt;$C26+ROUND($E26*($D26-$C26+1),0),"█","░"),""))</f>
        <v/>
      </c>
      <c r="AM26" s="27">
        <f>IF($F26="Yes",IF(DATE(2026,10,13)=$C26,"◆",""),IF(AND(DATE(2026,10,13)&gt;=$C26,DATE(2026,10,13)&lt;=$D26),IF(DATE(2026,10,13)&lt;$C26+ROUND($E26*($D26-$C26+1),0),"█","░"),""))</f>
        <v/>
      </c>
      <c r="AN26" s="27">
        <f>IF($F26="Yes",IF(DATE(2026,10,14)=$C26,"◆",""),IF(AND(DATE(2026,10,14)&gt;=$C26,DATE(2026,10,14)&lt;=$D26),IF(DATE(2026,10,14)&lt;$C26+ROUND($E26*($D26-$C26+1),0),"█","░"),""))</f>
        <v/>
      </c>
    </row>
    <row r="27">
      <c r="A27" s="4">
        <f>'Project Tracker'!A26</f>
        <v/>
      </c>
      <c r="B27" s="5">
        <f>'Project Tracker'!C26</f>
        <v/>
      </c>
      <c r="C27" s="7">
        <f>'Project Tracker'!E26</f>
        <v/>
      </c>
      <c r="D27" s="7">
        <f>'Project Tracker'!F26</f>
        <v/>
      </c>
      <c r="E27" s="9">
        <f>'Project Tracker'!N26</f>
        <v/>
      </c>
      <c r="F27" s="4">
        <f>'Project Tracker'!J26</f>
        <v/>
      </c>
      <c r="G27" s="27">
        <f>IF($F27="Yes",IF(DATE(2026,9,11)=$C27,"◆",""),IF(AND(DATE(2026,9,11)&gt;=$C27,DATE(2026,9,11)&lt;=$D27),IF(DATE(2026,9,11)&lt;$C27+ROUND($E27*($D27-$C27+1),0),"█","░"),""))</f>
        <v/>
      </c>
      <c r="H27" s="28">
        <f>IF($F27="Yes",IF(DATE(2026,9,12)=$C27,"◆",""),IF(AND(DATE(2026,9,12)&gt;=$C27,DATE(2026,9,12)&lt;=$D27),IF(DATE(2026,9,12)&lt;$C27+ROUND($E27*($D27-$C27+1),0),"█","░"),""))</f>
        <v/>
      </c>
      <c r="I27" s="28">
        <f>IF($F27="Yes",IF(DATE(2026,9,13)=$C27,"◆",""),IF(AND(DATE(2026,9,13)&gt;=$C27,DATE(2026,9,13)&lt;=$D27),IF(DATE(2026,9,13)&lt;$C27+ROUND($E27*($D27-$C27+1),0),"█","░"),""))</f>
        <v/>
      </c>
      <c r="J27" s="27">
        <f>IF($F27="Yes",IF(DATE(2026,9,14)=$C27,"◆",""),IF(AND(DATE(2026,9,14)&gt;=$C27,DATE(2026,9,14)&lt;=$D27),IF(DATE(2026,9,14)&lt;$C27+ROUND($E27*($D27-$C27+1),0),"█","░"),""))</f>
        <v/>
      </c>
      <c r="K27" s="27">
        <f>IF($F27="Yes",IF(DATE(2026,9,15)=$C27,"◆",""),IF(AND(DATE(2026,9,15)&gt;=$C27,DATE(2026,9,15)&lt;=$D27),IF(DATE(2026,9,15)&lt;$C27+ROUND($E27*($D27-$C27+1),0),"█","░"),""))</f>
        <v/>
      </c>
      <c r="L27" s="27">
        <f>IF($F27="Yes",IF(DATE(2026,9,16)=$C27,"◆",""),IF(AND(DATE(2026,9,16)&gt;=$C27,DATE(2026,9,16)&lt;=$D27),IF(DATE(2026,9,16)&lt;$C27+ROUND($E27*($D27-$C27+1),0),"█","░"),""))</f>
        <v/>
      </c>
      <c r="M27" s="27">
        <f>IF($F27="Yes",IF(DATE(2026,9,17)=$C27,"◆",""),IF(AND(DATE(2026,9,17)&gt;=$C27,DATE(2026,9,17)&lt;=$D27),IF(DATE(2026,9,17)&lt;$C27+ROUND($E27*($D27-$C27+1),0),"█","░"),""))</f>
        <v/>
      </c>
      <c r="N27" s="27">
        <f>IF($F27="Yes",IF(DATE(2026,9,18)=$C27,"◆",""),IF(AND(DATE(2026,9,18)&gt;=$C27,DATE(2026,9,18)&lt;=$D27),IF(DATE(2026,9,18)&lt;$C27+ROUND($E27*($D27-$C27+1),0),"█","░"),""))</f>
        <v/>
      </c>
      <c r="O27" s="28">
        <f>IF($F27="Yes",IF(DATE(2026,9,19)=$C27,"◆",""),IF(AND(DATE(2026,9,19)&gt;=$C27,DATE(2026,9,19)&lt;=$D27),IF(DATE(2026,9,19)&lt;$C27+ROUND($E27*($D27-$C27+1),0),"█","░"),""))</f>
        <v/>
      </c>
      <c r="P27" s="28">
        <f>IF($F27="Yes",IF(DATE(2026,9,20)=$C27,"◆",""),IF(AND(DATE(2026,9,20)&gt;=$C27,DATE(2026,9,20)&lt;=$D27),IF(DATE(2026,9,20)&lt;$C27+ROUND($E27*($D27-$C27+1),0),"█","░"),""))</f>
        <v/>
      </c>
      <c r="Q27" s="27">
        <f>IF($F27="Yes",IF(DATE(2026,9,21)=$C27,"◆",""),IF(AND(DATE(2026,9,21)&gt;=$C27,DATE(2026,9,21)&lt;=$D27),IF(DATE(2026,9,21)&lt;$C27+ROUND($E27*($D27-$C27+1),0),"█","░"),""))</f>
        <v/>
      </c>
      <c r="R27" s="27">
        <f>IF($F27="Yes",IF(DATE(2026,9,22)=$C27,"◆",""),IF(AND(DATE(2026,9,22)&gt;=$C27,DATE(2026,9,22)&lt;=$D27),IF(DATE(2026,9,22)&lt;$C27+ROUND($E27*($D27-$C27+1),0),"█","░"),""))</f>
        <v/>
      </c>
      <c r="S27" s="27">
        <f>IF($F27="Yes",IF(DATE(2026,9,23)=$C27,"◆",""),IF(AND(DATE(2026,9,23)&gt;=$C27,DATE(2026,9,23)&lt;=$D27),IF(DATE(2026,9,23)&lt;$C27+ROUND($E27*($D27-$C27+1),0),"█","░"),""))</f>
        <v/>
      </c>
      <c r="T27" s="27">
        <f>IF($F27="Yes",IF(DATE(2026,9,24)=$C27,"◆",""),IF(AND(DATE(2026,9,24)&gt;=$C27,DATE(2026,9,24)&lt;=$D27),IF(DATE(2026,9,24)&lt;$C27+ROUND($E27*($D27-$C27+1),0),"█","░"),""))</f>
        <v/>
      </c>
      <c r="U27" s="27">
        <f>IF($F27="Yes",IF(DATE(2026,9,25)=$C27,"◆",""),IF(AND(DATE(2026,9,25)&gt;=$C27,DATE(2026,9,25)&lt;=$D27),IF(DATE(2026,9,25)&lt;$C27+ROUND($E27*($D27-$C27+1),0),"█","░"),""))</f>
        <v/>
      </c>
      <c r="V27" s="28">
        <f>IF($F27="Yes",IF(DATE(2026,9,26)=$C27,"◆",""),IF(AND(DATE(2026,9,26)&gt;=$C27,DATE(2026,9,26)&lt;=$D27),IF(DATE(2026,9,26)&lt;$C27+ROUND($E27*($D27-$C27+1),0),"█","░"),""))</f>
        <v/>
      </c>
      <c r="W27" s="28">
        <f>IF($F27="Yes",IF(DATE(2026,9,27)=$C27,"◆",""),IF(AND(DATE(2026,9,27)&gt;=$C27,DATE(2026,9,27)&lt;=$D27),IF(DATE(2026,9,27)&lt;$C27+ROUND($E27*($D27-$C27+1),0),"█","░"),""))</f>
        <v/>
      </c>
      <c r="X27" s="27">
        <f>IF($F27="Yes",IF(DATE(2026,9,28)=$C27,"◆",""),IF(AND(DATE(2026,9,28)&gt;=$C27,DATE(2026,9,28)&lt;=$D27),IF(DATE(2026,9,28)&lt;$C27+ROUND($E27*($D27-$C27+1),0),"█","░"),""))</f>
        <v/>
      </c>
      <c r="Y27" s="27">
        <f>IF($F27="Yes",IF(DATE(2026,9,29)=$C27,"◆",""),IF(AND(DATE(2026,9,29)&gt;=$C27,DATE(2026,9,29)&lt;=$D27),IF(DATE(2026,9,29)&lt;$C27+ROUND($E27*($D27-$C27+1),0),"█","░"),""))</f>
        <v/>
      </c>
      <c r="Z27" s="27">
        <f>IF($F27="Yes",IF(DATE(2026,9,30)=$C27,"◆",""),IF(AND(DATE(2026,9,30)&gt;=$C27,DATE(2026,9,30)&lt;=$D27),IF(DATE(2026,9,30)&lt;$C27+ROUND($E27*($D27-$C27+1),0),"█","░"),""))</f>
        <v/>
      </c>
      <c r="AA27" s="27">
        <f>IF($F27="Yes",IF(DATE(2026,10,1)=$C27,"◆",""),IF(AND(DATE(2026,10,1)&gt;=$C27,DATE(2026,10,1)&lt;=$D27),IF(DATE(2026,10,1)&lt;$C27+ROUND($E27*($D27-$C27+1),0),"█","░"),""))</f>
        <v/>
      </c>
      <c r="AB27" s="27">
        <f>IF($F27="Yes",IF(DATE(2026,10,2)=$C27,"◆",""),IF(AND(DATE(2026,10,2)&gt;=$C27,DATE(2026,10,2)&lt;=$D27),IF(DATE(2026,10,2)&lt;$C27+ROUND($E27*($D27-$C27+1),0),"█","░"),""))</f>
        <v/>
      </c>
      <c r="AC27" s="28">
        <f>IF($F27="Yes",IF(DATE(2026,10,3)=$C27,"◆",""),IF(AND(DATE(2026,10,3)&gt;=$C27,DATE(2026,10,3)&lt;=$D27),IF(DATE(2026,10,3)&lt;$C27+ROUND($E27*($D27-$C27+1),0),"█","░"),""))</f>
        <v/>
      </c>
      <c r="AD27" s="28">
        <f>IF($F27="Yes",IF(DATE(2026,10,4)=$C27,"◆",""),IF(AND(DATE(2026,10,4)&gt;=$C27,DATE(2026,10,4)&lt;=$D27),IF(DATE(2026,10,4)&lt;$C27+ROUND($E27*($D27-$C27+1),0),"█","░"),""))</f>
        <v/>
      </c>
      <c r="AE27" s="27">
        <f>IF($F27="Yes",IF(DATE(2026,10,5)=$C27,"◆",""),IF(AND(DATE(2026,10,5)&gt;=$C27,DATE(2026,10,5)&lt;=$D27),IF(DATE(2026,10,5)&lt;$C27+ROUND($E27*($D27-$C27+1),0),"█","░"),""))</f>
        <v/>
      </c>
      <c r="AF27" s="27">
        <f>IF($F27="Yes",IF(DATE(2026,10,6)=$C27,"◆",""),IF(AND(DATE(2026,10,6)&gt;=$C27,DATE(2026,10,6)&lt;=$D27),IF(DATE(2026,10,6)&lt;$C27+ROUND($E27*($D27-$C27+1),0),"█","░"),""))</f>
        <v/>
      </c>
      <c r="AG27" s="27">
        <f>IF($F27="Yes",IF(DATE(2026,10,7)=$C27,"◆",""),IF(AND(DATE(2026,10,7)&gt;=$C27,DATE(2026,10,7)&lt;=$D27),IF(DATE(2026,10,7)&lt;$C27+ROUND($E27*($D27-$C27+1),0),"█","░"),""))</f>
        <v/>
      </c>
      <c r="AH27" s="27">
        <f>IF($F27="Yes",IF(DATE(2026,10,8)=$C27,"◆",""),IF(AND(DATE(2026,10,8)&gt;=$C27,DATE(2026,10,8)&lt;=$D27),IF(DATE(2026,10,8)&lt;$C27+ROUND($E27*($D27-$C27+1),0),"█","░"),""))</f>
        <v/>
      </c>
      <c r="AI27" s="27">
        <f>IF($F27="Yes",IF(DATE(2026,10,9)=$C27,"◆",""),IF(AND(DATE(2026,10,9)&gt;=$C27,DATE(2026,10,9)&lt;=$D27),IF(DATE(2026,10,9)&lt;$C27+ROUND($E27*($D27-$C27+1),0),"█","░"),""))</f>
        <v/>
      </c>
      <c r="AJ27" s="28">
        <f>IF($F27="Yes",IF(DATE(2026,10,10)=$C27,"◆",""),IF(AND(DATE(2026,10,10)&gt;=$C27,DATE(2026,10,10)&lt;=$D27),IF(DATE(2026,10,10)&lt;$C27+ROUND($E27*($D27-$C27+1),0),"█","░"),""))</f>
        <v/>
      </c>
      <c r="AK27" s="28">
        <f>IF($F27="Yes",IF(DATE(2026,10,11)=$C27,"◆",""),IF(AND(DATE(2026,10,11)&gt;=$C27,DATE(2026,10,11)&lt;=$D27),IF(DATE(2026,10,11)&lt;$C27+ROUND($E27*($D27-$C27+1),0),"█","░"),""))</f>
        <v/>
      </c>
      <c r="AL27" s="27">
        <f>IF($F27="Yes",IF(DATE(2026,10,12)=$C27,"◆",""),IF(AND(DATE(2026,10,12)&gt;=$C27,DATE(2026,10,12)&lt;=$D27),IF(DATE(2026,10,12)&lt;$C27+ROUND($E27*($D27-$C27+1),0),"█","░"),""))</f>
        <v/>
      </c>
      <c r="AM27" s="27">
        <f>IF($F27="Yes",IF(DATE(2026,10,13)=$C27,"◆",""),IF(AND(DATE(2026,10,13)&gt;=$C27,DATE(2026,10,13)&lt;=$D27),IF(DATE(2026,10,13)&lt;$C27+ROUND($E27*($D27-$C27+1),0),"█","░"),""))</f>
        <v/>
      </c>
      <c r="AN27" s="27">
        <f>IF($F27="Yes",IF(DATE(2026,10,14)=$C27,"◆",""),IF(AND(DATE(2026,10,14)&gt;=$C27,DATE(2026,10,14)&lt;=$D27),IF(DATE(2026,10,14)&lt;$C27+ROUND($E27*($D27-$C27+1),0),"█","░"),""))</f>
        <v/>
      </c>
    </row>
    <row r="28">
      <c r="A28" s="4">
        <f>'Project Tracker'!A27</f>
        <v/>
      </c>
      <c r="B28" s="5">
        <f>'Project Tracker'!C27</f>
        <v/>
      </c>
      <c r="C28" s="7">
        <f>'Project Tracker'!E27</f>
        <v/>
      </c>
      <c r="D28" s="7">
        <f>'Project Tracker'!F27</f>
        <v/>
      </c>
      <c r="E28" s="9">
        <f>'Project Tracker'!N27</f>
        <v/>
      </c>
      <c r="F28" s="4">
        <f>'Project Tracker'!J27</f>
        <v/>
      </c>
      <c r="G28" s="27">
        <f>IF($F28="Yes",IF(DATE(2026,9,11)=$C28,"◆",""),IF(AND(DATE(2026,9,11)&gt;=$C28,DATE(2026,9,11)&lt;=$D28),IF(DATE(2026,9,11)&lt;$C28+ROUND($E28*($D28-$C28+1),0),"█","░"),""))</f>
        <v/>
      </c>
      <c r="H28" s="28">
        <f>IF($F28="Yes",IF(DATE(2026,9,12)=$C28,"◆",""),IF(AND(DATE(2026,9,12)&gt;=$C28,DATE(2026,9,12)&lt;=$D28),IF(DATE(2026,9,12)&lt;$C28+ROUND($E28*($D28-$C28+1),0),"█","░"),""))</f>
        <v/>
      </c>
      <c r="I28" s="28">
        <f>IF($F28="Yes",IF(DATE(2026,9,13)=$C28,"◆",""),IF(AND(DATE(2026,9,13)&gt;=$C28,DATE(2026,9,13)&lt;=$D28),IF(DATE(2026,9,13)&lt;$C28+ROUND($E28*($D28-$C28+1),0),"█","░"),""))</f>
        <v/>
      </c>
      <c r="J28" s="27">
        <f>IF($F28="Yes",IF(DATE(2026,9,14)=$C28,"◆",""),IF(AND(DATE(2026,9,14)&gt;=$C28,DATE(2026,9,14)&lt;=$D28),IF(DATE(2026,9,14)&lt;$C28+ROUND($E28*($D28-$C28+1),0),"█","░"),""))</f>
        <v/>
      </c>
      <c r="K28" s="27">
        <f>IF($F28="Yes",IF(DATE(2026,9,15)=$C28,"◆",""),IF(AND(DATE(2026,9,15)&gt;=$C28,DATE(2026,9,15)&lt;=$D28),IF(DATE(2026,9,15)&lt;$C28+ROUND($E28*($D28-$C28+1),0),"█","░"),""))</f>
        <v/>
      </c>
      <c r="L28" s="27">
        <f>IF($F28="Yes",IF(DATE(2026,9,16)=$C28,"◆",""),IF(AND(DATE(2026,9,16)&gt;=$C28,DATE(2026,9,16)&lt;=$D28),IF(DATE(2026,9,16)&lt;$C28+ROUND($E28*($D28-$C28+1),0),"█","░"),""))</f>
        <v/>
      </c>
      <c r="M28" s="27">
        <f>IF($F28="Yes",IF(DATE(2026,9,17)=$C28,"◆",""),IF(AND(DATE(2026,9,17)&gt;=$C28,DATE(2026,9,17)&lt;=$D28),IF(DATE(2026,9,17)&lt;$C28+ROUND($E28*($D28-$C28+1),0),"█","░"),""))</f>
        <v/>
      </c>
      <c r="N28" s="27">
        <f>IF($F28="Yes",IF(DATE(2026,9,18)=$C28,"◆",""),IF(AND(DATE(2026,9,18)&gt;=$C28,DATE(2026,9,18)&lt;=$D28),IF(DATE(2026,9,18)&lt;$C28+ROUND($E28*($D28-$C28+1),0),"█","░"),""))</f>
        <v/>
      </c>
      <c r="O28" s="28">
        <f>IF($F28="Yes",IF(DATE(2026,9,19)=$C28,"◆",""),IF(AND(DATE(2026,9,19)&gt;=$C28,DATE(2026,9,19)&lt;=$D28),IF(DATE(2026,9,19)&lt;$C28+ROUND($E28*($D28-$C28+1),0),"█","░"),""))</f>
        <v/>
      </c>
      <c r="P28" s="28">
        <f>IF($F28="Yes",IF(DATE(2026,9,20)=$C28,"◆",""),IF(AND(DATE(2026,9,20)&gt;=$C28,DATE(2026,9,20)&lt;=$D28),IF(DATE(2026,9,20)&lt;$C28+ROUND($E28*($D28-$C28+1),0),"█","░"),""))</f>
        <v/>
      </c>
      <c r="Q28" s="27">
        <f>IF($F28="Yes",IF(DATE(2026,9,21)=$C28,"◆",""),IF(AND(DATE(2026,9,21)&gt;=$C28,DATE(2026,9,21)&lt;=$D28),IF(DATE(2026,9,21)&lt;$C28+ROUND($E28*($D28-$C28+1),0),"█","░"),""))</f>
        <v/>
      </c>
      <c r="R28" s="27">
        <f>IF($F28="Yes",IF(DATE(2026,9,22)=$C28,"◆",""),IF(AND(DATE(2026,9,22)&gt;=$C28,DATE(2026,9,22)&lt;=$D28),IF(DATE(2026,9,22)&lt;$C28+ROUND($E28*($D28-$C28+1),0),"█","░"),""))</f>
        <v/>
      </c>
      <c r="S28" s="27">
        <f>IF($F28="Yes",IF(DATE(2026,9,23)=$C28,"◆",""),IF(AND(DATE(2026,9,23)&gt;=$C28,DATE(2026,9,23)&lt;=$D28),IF(DATE(2026,9,23)&lt;$C28+ROUND($E28*($D28-$C28+1),0),"█","░"),""))</f>
        <v/>
      </c>
      <c r="T28" s="27">
        <f>IF($F28="Yes",IF(DATE(2026,9,24)=$C28,"◆",""),IF(AND(DATE(2026,9,24)&gt;=$C28,DATE(2026,9,24)&lt;=$D28),IF(DATE(2026,9,24)&lt;$C28+ROUND($E28*($D28-$C28+1),0),"█","░"),""))</f>
        <v/>
      </c>
      <c r="U28" s="27">
        <f>IF($F28="Yes",IF(DATE(2026,9,25)=$C28,"◆",""),IF(AND(DATE(2026,9,25)&gt;=$C28,DATE(2026,9,25)&lt;=$D28),IF(DATE(2026,9,25)&lt;$C28+ROUND($E28*($D28-$C28+1),0),"█","░"),""))</f>
        <v/>
      </c>
      <c r="V28" s="28">
        <f>IF($F28="Yes",IF(DATE(2026,9,26)=$C28,"◆",""),IF(AND(DATE(2026,9,26)&gt;=$C28,DATE(2026,9,26)&lt;=$D28),IF(DATE(2026,9,26)&lt;$C28+ROUND($E28*($D28-$C28+1),0),"█","░"),""))</f>
        <v/>
      </c>
      <c r="W28" s="28">
        <f>IF($F28="Yes",IF(DATE(2026,9,27)=$C28,"◆",""),IF(AND(DATE(2026,9,27)&gt;=$C28,DATE(2026,9,27)&lt;=$D28),IF(DATE(2026,9,27)&lt;$C28+ROUND($E28*($D28-$C28+1),0),"█","░"),""))</f>
        <v/>
      </c>
      <c r="X28" s="27">
        <f>IF($F28="Yes",IF(DATE(2026,9,28)=$C28,"◆",""),IF(AND(DATE(2026,9,28)&gt;=$C28,DATE(2026,9,28)&lt;=$D28),IF(DATE(2026,9,28)&lt;$C28+ROUND($E28*($D28-$C28+1),0),"█","░"),""))</f>
        <v/>
      </c>
      <c r="Y28" s="27">
        <f>IF($F28="Yes",IF(DATE(2026,9,29)=$C28,"◆",""),IF(AND(DATE(2026,9,29)&gt;=$C28,DATE(2026,9,29)&lt;=$D28),IF(DATE(2026,9,29)&lt;$C28+ROUND($E28*($D28-$C28+1),0),"█","░"),""))</f>
        <v/>
      </c>
      <c r="Z28" s="27">
        <f>IF($F28="Yes",IF(DATE(2026,9,30)=$C28,"◆",""),IF(AND(DATE(2026,9,30)&gt;=$C28,DATE(2026,9,30)&lt;=$D28),IF(DATE(2026,9,30)&lt;$C28+ROUND($E28*($D28-$C28+1),0),"█","░"),""))</f>
        <v/>
      </c>
      <c r="AA28" s="27">
        <f>IF($F28="Yes",IF(DATE(2026,10,1)=$C28,"◆",""),IF(AND(DATE(2026,10,1)&gt;=$C28,DATE(2026,10,1)&lt;=$D28),IF(DATE(2026,10,1)&lt;$C28+ROUND($E28*($D28-$C28+1),0),"█","░"),""))</f>
        <v/>
      </c>
      <c r="AB28" s="27">
        <f>IF($F28="Yes",IF(DATE(2026,10,2)=$C28,"◆",""),IF(AND(DATE(2026,10,2)&gt;=$C28,DATE(2026,10,2)&lt;=$D28),IF(DATE(2026,10,2)&lt;$C28+ROUND($E28*($D28-$C28+1),0),"█","░"),""))</f>
        <v/>
      </c>
      <c r="AC28" s="28">
        <f>IF($F28="Yes",IF(DATE(2026,10,3)=$C28,"◆",""),IF(AND(DATE(2026,10,3)&gt;=$C28,DATE(2026,10,3)&lt;=$D28),IF(DATE(2026,10,3)&lt;$C28+ROUND($E28*($D28-$C28+1),0),"█","░"),""))</f>
        <v/>
      </c>
      <c r="AD28" s="28">
        <f>IF($F28="Yes",IF(DATE(2026,10,4)=$C28,"◆",""),IF(AND(DATE(2026,10,4)&gt;=$C28,DATE(2026,10,4)&lt;=$D28),IF(DATE(2026,10,4)&lt;$C28+ROUND($E28*($D28-$C28+1),0),"█","░"),""))</f>
        <v/>
      </c>
      <c r="AE28" s="27">
        <f>IF($F28="Yes",IF(DATE(2026,10,5)=$C28,"◆",""),IF(AND(DATE(2026,10,5)&gt;=$C28,DATE(2026,10,5)&lt;=$D28),IF(DATE(2026,10,5)&lt;$C28+ROUND($E28*($D28-$C28+1),0),"█","░"),""))</f>
        <v/>
      </c>
      <c r="AF28" s="27">
        <f>IF($F28="Yes",IF(DATE(2026,10,6)=$C28,"◆",""),IF(AND(DATE(2026,10,6)&gt;=$C28,DATE(2026,10,6)&lt;=$D28),IF(DATE(2026,10,6)&lt;$C28+ROUND($E28*($D28-$C28+1),0),"█","░"),""))</f>
        <v/>
      </c>
      <c r="AG28" s="27">
        <f>IF($F28="Yes",IF(DATE(2026,10,7)=$C28,"◆",""),IF(AND(DATE(2026,10,7)&gt;=$C28,DATE(2026,10,7)&lt;=$D28),IF(DATE(2026,10,7)&lt;$C28+ROUND($E28*($D28-$C28+1),0),"█","░"),""))</f>
        <v/>
      </c>
      <c r="AH28" s="27">
        <f>IF($F28="Yes",IF(DATE(2026,10,8)=$C28,"◆",""),IF(AND(DATE(2026,10,8)&gt;=$C28,DATE(2026,10,8)&lt;=$D28),IF(DATE(2026,10,8)&lt;$C28+ROUND($E28*($D28-$C28+1),0),"█","░"),""))</f>
        <v/>
      </c>
      <c r="AI28" s="27">
        <f>IF($F28="Yes",IF(DATE(2026,10,9)=$C28,"◆",""),IF(AND(DATE(2026,10,9)&gt;=$C28,DATE(2026,10,9)&lt;=$D28),IF(DATE(2026,10,9)&lt;$C28+ROUND($E28*($D28-$C28+1),0),"█","░"),""))</f>
        <v/>
      </c>
      <c r="AJ28" s="28">
        <f>IF($F28="Yes",IF(DATE(2026,10,10)=$C28,"◆",""),IF(AND(DATE(2026,10,10)&gt;=$C28,DATE(2026,10,10)&lt;=$D28),IF(DATE(2026,10,10)&lt;$C28+ROUND($E28*($D28-$C28+1),0),"█","░"),""))</f>
        <v/>
      </c>
      <c r="AK28" s="28">
        <f>IF($F28="Yes",IF(DATE(2026,10,11)=$C28,"◆",""),IF(AND(DATE(2026,10,11)&gt;=$C28,DATE(2026,10,11)&lt;=$D28),IF(DATE(2026,10,11)&lt;$C28+ROUND($E28*($D28-$C28+1),0),"█","░"),""))</f>
        <v/>
      </c>
      <c r="AL28" s="27">
        <f>IF($F28="Yes",IF(DATE(2026,10,12)=$C28,"◆",""),IF(AND(DATE(2026,10,12)&gt;=$C28,DATE(2026,10,12)&lt;=$D28),IF(DATE(2026,10,12)&lt;$C28+ROUND($E28*($D28-$C28+1),0),"█","░"),""))</f>
        <v/>
      </c>
      <c r="AM28" s="27">
        <f>IF($F28="Yes",IF(DATE(2026,10,13)=$C28,"◆",""),IF(AND(DATE(2026,10,13)&gt;=$C28,DATE(2026,10,13)&lt;=$D28),IF(DATE(2026,10,13)&lt;$C28+ROUND($E28*($D28-$C28+1),0),"█","░"),""))</f>
        <v/>
      </c>
      <c r="AN28" s="27">
        <f>IF($F28="Yes",IF(DATE(2026,10,14)=$C28,"◆",""),IF(AND(DATE(2026,10,14)&gt;=$C28,DATE(2026,10,14)&lt;=$D28),IF(DATE(2026,10,14)&lt;$C28+ROUND($E28*($D28-$C28+1),0),"█","░"),""))</f>
        <v/>
      </c>
    </row>
    <row r="29">
      <c r="A29" s="4">
        <f>'Project Tracker'!A28</f>
        <v/>
      </c>
      <c r="B29" s="5">
        <f>'Project Tracker'!C28</f>
        <v/>
      </c>
      <c r="C29" s="7">
        <f>'Project Tracker'!E28</f>
        <v/>
      </c>
      <c r="D29" s="7">
        <f>'Project Tracker'!F28</f>
        <v/>
      </c>
      <c r="E29" s="9">
        <f>'Project Tracker'!N28</f>
        <v/>
      </c>
      <c r="F29" s="4">
        <f>'Project Tracker'!J28</f>
        <v/>
      </c>
      <c r="G29" s="27">
        <f>IF($F29="Yes",IF(DATE(2026,9,11)=$C29,"◆",""),IF(AND(DATE(2026,9,11)&gt;=$C29,DATE(2026,9,11)&lt;=$D29),IF(DATE(2026,9,11)&lt;$C29+ROUND($E29*($D29-$C29+1),0),"█","░"),""))</f>
        <v/>
      </c>
      <c r="H29" s="28">
        <f>IF($F29="Yes",IF(DATE(2026,9,12)=$C29,"◆",""),IF(AND(DATE(2026,9,12)&gt;=$C29,DATE(2026,9,12)&lt;=$D29),IF(DATE(2026,9,12)&lt;$C29+ROUND($E29*($D29-$C29+1),0),"█","░"),""))</f>
        <v/>
      </c>
      <c r="I29" s="28">
        <f>IF($F29="Yes",IF(DATE(2026,9,13)=$C29,"◆",""),IF(AND(DATE(2026,9,13)&gt;=$C29,DATE(2026,9,13)&lt;=$D29),IF(DATE(2026,9,13)&lt;$C29+ROUND($E29*($D29-$C29+1),0),"█","░"),""))</f>
        <v/>
      </c>
      <c r="J29" s="27">
        <f>IF($F29="Yes",IF(DATE(2026,9,14)=$C29,"◆",""),IF(AND(DATE(2026,9,14)&gt;=$C29,DATE(2026,9,14)&lt;=$D29),IF(DATE(2026,9,14)&lt;$C29+ROUND($E29*($D29-$C29+1),0),"█","░"),""))</f>
        <v/>
      </c>
      <c r="K29" s="27">
        <f>IF($F29="Yes",IF(DATE(2026,9,15)=$C29,"◆",""),IF(AND(DATE(2026,9,15)&gt;=$C29,DATE(2026,9,15)&lt;=$D29),IF(DATE(2026,9,15)&lt;$C29+ROUND($E29*($D29-$C29+1),0),"█","░"),""))</f>
        <v/>
      </c>
      <c r="L29" s="27">
        <f>IF($F29="Yes",IF(DATE(2026,9,16)=$C29,"◆",""),IF(AND(DATE(2026,9,16)&gt;=$C29,DATE(2026,9,16)&lt;=$D29),IF(DATE(2026,9,16)&lt;$C29+ROUND($E29*($D29-$C29+1),0),"█","░"),""))</f>
        <v/>
      </c>
      <c r="M29" s="27">
        <f>IF($F29="Yes",IF(DATE(2026,9,17)=$C29,"◆",""),IF(AND(DATE(2026,9,17)&gt;=$C29,DATE(2026,9,17)&lt;=$D29),IF(DATE(2026,9,17)&lt;$C29+ROUND($E29*($D29-$C29+1),0),"█","░"),""))</f>
        <v/>
      </c>
      <c r="N29" s="27">
        <f>IF($F29="Yes",IF(DATE(2026,9,18)=$C29,"◆",""),IF(AND(DATE(2026,9,18)&gt;=$C29,DATE(2026,9,18)&lt;=$D29),IF(DATE(2026,9,18)&lt;$C29+ROUND($E29*($D29-$C29+1),0),"█","░"),""))</f>
        <v/>
      </c>
      <c r="O29" s="28">
        <f>IF($F29="Yes",IF(DATE(2026,9,19)=$C29,"◆",""),IF(AND(DATE(2026,9,19)&gt;=$C29,DATE(2026,9,19)&lt;=$D29),IF(DATE(2026,9,19)&lt;$C29+ROUND($E29*($D29-$C29+1),0),"█","░"),""))</f>
        <v/>
      </c>
      <c r="P29" s="28">
        <f>IF($F29="Yes",IF(DATE(2026,9,20)=$C29,"◆",""),IF(AND(DATE(2026,9,20)&gt;=$C29,DATE(2026,9,20)&lt;=$D29),IF(DATE(2026,9,20)&lt;$C29+ROUND($E29*($D29-$C29+1),0),"█","░"),""))</f>
        <v/>
      </c>
      <c r="Q29" s="27">
        <f>IF($F29="Yes",IF(DATE(2026,9,21)=$C29,"◆",""),IF(AND(DATE(2026,9,21)&gt;=$C29,DATE(2026,9,21)&lt;=$D29),IF(DATE(2026,9,21)&lt;$C29+ROUND($E29*($D29-$C29+1),0),"█","░"),""))</f>
        <v/>
      </c>
      <c r="R29" s="27">
        <f>IF($F29="Yes",IF(DATE(2026,9,22)=$C29,"◆",""),IF(AND(DATE(2026,9,22)&gt;=$C29,DATE(2026,9,22)&lt;=$D29),IF(DATE(2026,9,22)&lt;$C29+ROUND($E29*($D29-$C29+1),0),"█","░"),""))</f>
        <v/>
      </c>
      <c r="S29" s="27">
        <f>IF($F29="Yes",IF(DATE(2026,9,23)=$C29,"◆",""),IF(AND(DATE(2026,9,23)&gt;=$C29,DATE(2026,9,23)&lt;=$D29),IF(DATE(2026,9,23)&lt;$C29+ROUND($E29*($D29-$C29+1),0),"█","░"),""))</f>
        <v/>
      </c>
      <c r="T29" s="27">
        <f>IF($F29="Yes",IF(DATE(2026,9,24)=$C29,"◆",""),IF(AND(DATE(2026,9,24)&gt;=$C29,DATE(2026,9,24)&lt;=$D29),IF(DATE(2026,9,24)&lt;$C29+ROUND($E29*($D29-$C29+1),0),"█","░"),""))</f>
        <v/>
      </c>
      <c r="U29" s="27">
        <f>IF($F29="Yes",IF(DATE(2026,9,25)=$C29,"◆",""),IF(AND(DATE(2026,9,25)&gt;=$C29,DATE(2026,9,25)&lt;=$D29),IF(DATE(2026,9,25)&lt;$C29+ROUND($E29*($D29-$C29+1),0),"█","░"),""))</f>
        <v/>
      </c>
      <c r="V29" s="28">
        <f>IF($F29="Yes",IF(DATE(2026,9,26)=$C29,"◆",""),IF(AND(DATE(2026,9,26)&gt;=$C29,DATE(2026,9,26)&lt;=$D29),IF(DATE(2026,9,26)&lt;$C29+ROUND($E29*($D29-$C29+1),0),"█","░"),""))</f>
        <v/>
      </c>
      <c r="W29" s="28">
        <f>IF($F29="Yes",IF(DATE(2026,9,27)=$C29,"◆",""),IF(AND(DATE(2026,9,27)&gt;=$C29,DATE(2026,9,27)&lt;=$D29),IF(DATE(2026,9,27)&lt;$C29+ROUND($E29*($D29-$C29+1),0),"█","░"),""))</f>
        <v/>
      </c>
      <c r="X29" s="27">
        <f>IF($F29="Yes",IF(DATE(2026,9,28)=$C29,"◆",""),IF(AND(DATE(2026,9,28)&gt;=$C29,DATE(2026,9,28)&lt;=$D29),IF(DATE(2026,9,28)&lt;$C29+ROUND($E29*($D29-$C29+1),0),"█","░"),""))</f>
        <v/>
      </c>
      <c r="Y29" s="27">
        <f>IF($F29="Yes",IF(DATE(2026,9,29)=$C29,"◆",""),IF(AND(DATE(2026,9,29)&gt;=$C29,DATE(2026,9,29)&lt;=$D29),IF(DATE(2026,9,29)&lt;$C29+ROUND($E29*($D29-$C29+1),0),"█","░"),""))</f>
        <v/>
      </c>
      <c r="Z29" s="27">
        <f>IF($F29="Yes",IF(DATE(2026,9,30)=$C29,"◆",""),IF(AND(DATE(2026,9,30)&gt;=$C29,DATE(2026,9,30)&lt;=$D29),IF(DATE(2026,9,30)&lt;$C29+ROUND($E29*($D29-$C29+1),0),"█","░"),""))</f>
        <v/>
      </c>
      <c r="AA29" s="27">
        <f>IF($F29="Yes",IF(DATE(2026,10,1)=$C29,"◆",""),IF(AND(DATE(2026,10,1)&gt;=$C29,DATE(2026,10,1)&lt;=$D29),IF(DATE(2026,10,1)&lt;$C29+ROUND($E29*($D29-$C29+1),0),"█","░"),""))</f>
        <v/>
      </c>
      <c r="AB29" s="27">
        <f>IF($F29="Yes",IF(DATE(2026,10,2)=$C29,"◆",""),IF(AND(DATE(2026,10,2)&gt;=$C29,DATE(2026,10,2)&lt;=$D29),IF(DATE(2026,10,2)&lt;$C29+ROUND($E29*($D29-$C29+1),0),"█","░"),""))</f>
        <v/>
      </c>
      <c r="AC29" s="28">
        <f>IF($F29="Yes",IF(DATE(2026,10,3)=$C29,"◆",""),IF(AND(DATE(2026,10,3)&gt;=$C29,DATE(2026,10,3)&lt;=$D29),IF(DATE(2026,10,3)&lt;$C29+ROUND($E29*($D29-$C29+1),0),"█","░"),""))</f>
        <v/>
      </c>
      <c r="AD29" s="28">
        <f>IF($F29="Yes",IF(DATE(2026,10,4)=$C29,"◆",""),IF(AND(DATE(2026,10,4)&gt;=$C29,DATE(2026,10,4)&lt;=$D29),IF(DATE(2026,10,4)&lt;$C29+ROUND($E29*($D29-$C29+1),0),"█","░"),""))</f>
        <v/>
      </c>
      <c r="AE29" s="27">
        <f>IF($F29="Yes",IF(DATE(2026,10,5)=$C29,"◆",""),IF(AND(DATE(2026,10,5)&gt;=$C29,DATE(2026,10,5)&lt;=$D29),IF(DATE(2026,10,5)&lt;$C29+ROUND($E29*($D29-$C29+1),0),"█","░"),""))</f>
        <v/>
      </c>
      <c r="AF29" s="27">
        <f>IF($F29="Yes",IF(DATE(2026,10,6)=$C29,"◆",""),IF(AND(DATE(2026,10,6)&gt;=$C29,DATE(2026,10,6)&lt;=$D29),IF(DATE(2026,10,6)&lt;$C29+ROUND($E29*($D29-$C29+1),0),"█","░"),""))</f>
        <v/>
      </c>
      <c r="AG29" s="27">
        <f>IF($F29="Yes",IF(DATE(2026,10,7)=$C29,"◆",""),IF(AND(DATE(2026,10,7)&gt;=$C29,DATE(2026,10,7)&lt;=$D29),IF(DATE(2026,10,7)&lt;$C29+ROUND($E29*($D29-$C29+1),0),"█","░"),""))</f>
        <v/>
      </c>
      <c r="AH29" s="27">
        <f>IF($F29="Yes",IF(DATE(2026,10,8)=$C29,"◆",""),IF(AND(DATE(2026,10,8)&gt;=$C29,DATE(2026,10,8)&lt;=$D29),IF(DATE(2026,10,8)&lt;$C29+ROUND($E29*($D29-$C29+1),0),"█","░"),""))</f>
        <v/>
      </c>
      <c r="AI29" s="27">
        <f>IF($F29="Yes",IF(DATE(2026,10,9)=$C29,"◆",""),IF(AND(DATE(2026,10,9)&gt;=$C29,DATE(2026,10,9)&lt;=$D29),IF(DATE(2026,10,9)&lt;$C29+ROUND($E29*($D29-$C29+1),0),"█","░"),""))</f>
        <v/>
      </c>
      <c r="AJ29" s="28">
        <f>IF($F29="Yes",IF(DATE(2026,10,10)=$C29,"◆",""),IF(AND(DATE(2026,10,10)&gt;=$C29,DATE(2026,10,10)&lt;=$D29),IF(DATE(2026,10,10)&lt;$C29+ROUND($E29*($D29-$C29+1),0),"█","░"),""))</f>
        <v/>
      </c>
      <c r="AK29" s="28">
        <f>IF($F29="Yes",IF(DATE(2026,10,11)=$C29,"◆",""),IF(AND(DATE(2026,10,11)&gt;=$C29,DATE(2026,10,11)&lt;=$D29),IF(DATE(2026,10,11)&lt;$C29+ROUND($E29*($D29-$C29+1),0),"█","░"),""))</f>
        <v/>
      </c>
      <c r="AL29" s="27">
        <f>IF($F29="Yes",IF(DATE(2026,10,12)=$C29,"◆",""),IF(AND(DATE(2026,10,12)&gt;=$C29,DATE(2026,10,12)&lt;=$D29),IF(DATE(2026,10,12)&lt;$C29+ROUND($E29*($D29-$C29+1),0),"█","░"),""))</f>
        <v/>
      </c>
      <c r="AM29" s="27">
        <f>IF($F29="Yes",IF(DATE(2026,10,13)=$C29,"◆",""),IF(AND(DATE(2026,10,13)&gt;=$C29,DATE(2026,10,13)&lt;=$D29),IF(DATE(2026,10,13)&lt;$C29+ROUND($E29*($D29-$C29+1),0),"█","░"),""))</f>
        <v/>
      </c>
      <c r="AN29" s="27">
        <f>IF($F29="Yes",IF(DATE(2026,10,14)=$C29,"◆",""),IF(AND(DATE(2026,10,14)&gt;=$C29,DATE(2026,10,14)&lt;=$D29),IF(DATE(2026,10,14)&lt;$C29+ROUND($E29*($D29-$C29+1),0),"█","░"),""))</f>
        <v/>
      </c>
    </row>
    <row r="30">
      <c r="A30" s="4">
        <f>'Project Tracker'!A29</f>
        <v/>
      </c>
      <c r="B30" s="5">
        <f>'Project Tracker'!C29</f>
        <v/>
      </c>
      <c r="C30" s="7">
        <f>'Project Tracker'!E29</f>
        <v/>
      </c>
      <c r="D30" s="7">
        <f>'Project Tracker'!F29</f>
        <v/>
      </c>
      <c r="E30" s="9">
        <f>'Project Tracker'!N29</f>
        <v/>
      </c>
      <c r="F30" s="4">
        <f>'Project Tracker'!J29</f>
        <v/>
      </c>
      <c r="G30" s="27">
        <f>IF($F30="Yes",IF(DATE(2026,9,11)=$C30,"◆",""),IF(AND(DATE(2026,9,11)&gt;=$C30,DATE(2026,9,11)&lt;=$D30),IF(DATE(2026,9,11)&lt;$C30+ROUND($E30*($D30-$C30+1),0),"█","░"),""))</f>
        <v/>
      </c>
      <c r="H30" s="28">
        <f>IF($F30="Yes",IF(DATE(2026,9,12)=$C30,"◆",""),IF(AND(DATE(2026,9,12)&gt;=$C30,DATE(2026,9,12)&lt;=$D30),IF(DATE(2026,9,12)&lt;$C30+ROUND($E30*($D30-$C30+1),0),"█","░"),""))</f>
        <v/>
      </c>
      <c r="I30" s="28">
        <f>IF($F30="Yes",IF(DATE(2026,9,13)=$C30,"◆",""),IF(AND(DATE(2026,9,13)&gt;=$C30,DATE(2026,9,13)&lt;=$D30),IF(DATE(2026,9,13)&lt;$C30+ROUND($E30*($D30-$C30+1),0),"█","░"),""))</f>
        <v/>
      </c>
      <c r="J30" s="27">
        <f>IF($F30="Yes",IF(DATE(2026,9,14)=$C30,"◆",""),IF(AND(DATE(2026,9,14)&gt;=$C30,DATE(2026,9,14)&lt;=$D30),IF(DATE(2026,9,14)&lt;$C30+ROUND($E30*($D30-$C30+1),0),"█","░"),""))</f>
        <v/>
      </c>
      <c r="K30" s="27">
        <f>IF($F30="Yes",IF(DATE(2026,9,15)=$C30,"◆",""),IF(AND(DATE(2026,9,15)&gt;=$C30,DATE(2026,9,15)&lt;=$D30),IF(DATE(2026,9,15)&lt;$C30+ROUND($E30*($D30-$C30+1),0),"█","░"),""))</f>
        <v/>
      </c>
      <c r="L30" s="27">
        <f>IF($F30="Yes",IF(DATE(2026,9,16)=$C30,"◆",""),IF(AND(DATE(2026,9,16)&gt;=$C30,DATE(2026,9,16)&lt;=$D30),IF(DATE(2026,9,16)&lt;$C30+ROUND($E30*($D30-$C30+1),0),"█","░"),""))</f>
        <v/>
      </c>
      <c r="M30" s="27">
        <f>IF($F30="Yes",IF(DATE(2026,9,17)=$C30,"◆",""),IF(AND(DATE(2026,9,17)&gt;=$C30,DATE(2026,9,17)&lt;=$D30),IF(DATE(2026,9,17)&lt;$C30+ROUND($E30*($D30-$C30+1),0),"█","░"),""))</f>
        <v/>
      </c>
      <c r="N30" s="27">
        <f>IF($F30="Yes",IF(DATE(2026,9,18)=$C30,"◆",""),IF(AND(DATE(2026,9,18)&gt;=$C30,DATE(2026,9,18)&lt;=$D30),IF(DATE(2026,9,18)&lt;$C30+ROUND($E30*($D30-$C30+1),0),"█","░"),""))</f>
        <v/>
      </c>
      <c r="O30" s="28">
        <f>IF($F30="Yes",IF(DATE(2026,9,19)=$C30,"◆",""),IF(AND(DATE(2026,9,19)&gt;=$C30,DATE(2026,9,19)&lt;=$D30),IF(DATE(2026,9,19)&lt;$C30+ROUND($E30*($D30-$C30+1),0),"█","░"),""))</f>
        <v/>
      </c>
      <c r="P30" s="28">
        <f>IF($F30="Yes",IF(DATE(2026,9,20)=$C30,"◆",""),IF(AND(DATE(2026,9,20)&gt;=$C30,DATE(2026,9,20)&lt;=$D30),IF(DATE(2026,9,20)&lt;$C30+ROUND($E30*($D30-$C30+1),0),"█","░"),""))</f>
        <v/>
      </c>
      <c r="Q30" s="27">
        <f>IF($F30="Yes",IF(DATE(2026,9,21)=$C30,"◆",""),IF(AND(DATE(2026,9,21)&gt;=$C30,DATE(2026,9,21)&lt;=$D30),IF(DATE(2026,9,21)&lt;$C30+ROUND($E30*($D30-$C30+1),0),"█","░"),""))</f>
        <v/>
      </c>
      <c r="R30" s="27">
        <f>IF($F30="Yes",IF(DATE(2026,9,22)=$C30,"◆",""),IF(AND(DATE(2026,9,22)&gt;=$C30,DATE(2026,9,22)&lt;=$D30),IF(DATE(2026,9,22)&lt;$C30+ROUND($E30*($D30-$C30+1),0),"█","░"),""))</f>
        <v/>
      </c>
      <c r="S30" s="27">
        <f>IF($F30="Yes",IF(DATE(2026,9,23)=$C30,"◆",""),IF(AND(DATE(2026,9,23)&gt;=$C30,DATE(2026,9,23)&lt;=$D30),IF(DATE(2026,9,23)&lt;$C30+ROUND($E30*($D30-$C30+1),0),"█","░"),""))</f>
        <v/>
      </c>
      <c r="T30" s="27">
        <f>IF($F30="Yes",IF(DATE(2026,9,24)=$C30,"◆",""),IF(AND(DATE(2026,9,24)&gt;=$C30,DATE(2026,9,24)&lt;=$D30),IF(DATE(2026,9,24)&lt;$C30+ROUND($E30*($D30-$C30+1),0),"█","░"),""))</f>
        <v/>
      </c>
      <c r="U30" s="27">
        <f>IF($F30="Yes",IF(DATE(2026,9,25)=$C30,"◆",""),IF(AND(DATE(2026,9,25)&gt;=$C30,DATE(2026,9,25)&lt;=$D30),IF(DATE(2026,9,25)&lt;$C30+ROUND($E30*($D30-$C30+1),0),"█","░"),""))</f>
        <v/>
      </c>
      <c r="V30" s="28">
        <f>IF($F30="Yes",IF(DATE(2026,9,26)=$C30,"◆",""),IF(AND(DATE(2026,9,26)&gt;=$C30,DATE(2026,9,26)&lt;=$D30),IF(DATE(2026,9,26)&lt;$C30+ROUND($E30*($D30-$C30+1),0),"█","░"),""))</f>
        <v/>
      </c>
      <c r="W30" s="28">
        <f>IF($F30="Yes",IF(DATE(2026,9,27)=$C30,"◆",""),IF(AND(DATE(2026,9,27)&gt;=$C30,DATE(2026,9,27)&lt;=$D30),IF(DATE(2026,9,27)&lt;$C30+ROUND($E30*($D30-$C30+1),0),"█","░"),""))</f>
        <v/>
      </c>
      <c r="X30" s="27">
        <f>IF($F30="Yes",IF(DATE(2026,9,28)=$C30,"◆",""),IF(AND(DATE(2026,9,28)&gt;=$C30,DATE(2026,9,28)&lt;=$D30),IF(DATE(2026,9,28)&lt;$C30+ROUND($E30*($D30-$C30+1),0),"█","░"),""))</f>
        <v/>
      </c>
      <c r="Y30" s="27">
        <f>IF($F30="Yes",IF(DATE(2026,9,29)=$C30,"◆",""),IF(AND(DATE(2026,9,29)&gt;=$C30,DATE(2026,9,29)&lt;=$D30),IF(DATE(2026,9,29)&lt;$C30+ROUND($E30*($D30-$C30+1),0),"█","░"),""))</f>
        <v/>
      </c>
      <c r="Z30" s="27">
        <f>IF($F30="Yes",IF(DATE(2026,9,30)=$C30,"◆",""),IF(AND(DATE(2026,9,30)&gt;=$C30,DATE(2026,9,30)&lt;=$D30),IF(DATE(2026,9,30)&lt;$C30+ROUND($E30*($D30-$C30+1),0),"█","░"),""))</f>
        <v/>
      </c>
      <c r="AA30" s="27">
        <f>IF($F30="Yes",IF(DATE(2026,10,1)=$C30,"◆",""),IF(AND(DATE(2026,10,1)&gt;=$C30,DATE(2026,10,1)&lt;=$D30),IF(DATE(2026,10,1)&lt;$C30+ROUND($E30*($D30-$C30+1),0),"█","░"),""))</f>
        <v/>
      </c>
      <c r="AB30" s="27">
        <f>IF($F30="Yes",IF(DATE(2026,10,2)=$C30,"◆",""),IF(AND(DATE(2026,10,2)&gt;=$C30,DATE(2026,10,2)&lt;=$D30),IF(DATE(2026,10,2)&lt;$C30+ROUND($E30*($D30-$C30+1),0),"█","░"),""))</f>
        <v/>
      </c>
      <c r="AC30" s="28">
        <f>IF($F30="Yes",IF(DATE(2026,10,3)=$C30,"◆",""),IF(AND(DATE(2026,10,3)&gt;=$C30,DATE(2026,10,3)&lt;=$D30),IF(DATE(2026,10,3)&lt;$C30+ROUND($E30*($D30-$C30+1),0),"█","░"),""))</f>
        <v/>
      </c>
      <c r="AD30" s="28">
        <f>IF($F30="Yes",IF(DATE(2026,10,4)=$C30,"◆",""),IF(AND(DATE(2026,10,4)&gt;=$C30,DATE(2026,10,4)&lt;=$D30),IF(DATE(2026,10,4)&lt;$C30+ROUND($E30*($D30-$C30+1),0),"█","░"),""))</f>
        <v/>
      </c>
      <c r="AE30" s="27">
        <f>IF($F30="Yes",IF(DATE(2026,10,5)=$C30,"◆",""),IF(AND(DATE(2026,10,5)&gt;=$C30,DATE(2026,10,5)&lt;=$D30),IF(DATE(2026,10,5)&lt;$C30+ROUND($E30*($D30-$C30+1),0),"█","░"),""))</f>
        <v/>
      </c>
      <c r="AF30" s="27">
        <f>IF($F30="Yes",IF(DATE(2026,10,6)=$C30,"◆",""),IF(AND(DATE(2026,10,6)&gt;=$C30,DATE(2026,10,6)&lt;=$D30),IF(DATE(2026,10,6)&lt;$C30+ROUND($E30*($D30-$C30+1),0),"█","░"),""))</f>
        <v/>
      </c>
      <c r="AG30" s="27">
        <f>IF($F30="Yes",IF(DATE(2026,10,7)=$C30,"◆",""),IF(AND(DATE(2026,10,7)&gt;=$C30,DATE(2026,10,7)&lt;=$D30),IF(DATE(2026,10,7)&lt;$C30+ROUND($E30*($D30-$C30+1),0),"█","░"),""))</f>
        <v/>
      </c>
      <c r="AH30" s="27">
        <f>IF($F30="Yes",IF(DATE(2026,10,8)=$C30,"◆",""),IF(AND(DATE(2026,10,8)&gt;=$C30,DATE(2026,10,8)&lt;=$D30),IF(DATE(2026,10,8)&lt;$C30+ROUND($E30*($D30-$C30+1),0),"█","░"),""))</f>
        <v/>
      </c>
      <c r="AI30" s="27">
        <f>IF($F30="Yes",IF(DATE(2026,10,9)=$C30,"◆",""),IF(AND(DATE(2026,10,9)&gt;=$C30,DATE(2026,10,9)&lt;=$D30),IF(DATE(2026,10,9)&lt;$C30+ROUND($E30*($D30-$C30+1),0),"█","░"),""))</f>
        <v/>
      </c>
      <c r="AJ30" s="28">
        <f>IF($F30="Yes",IF(DATE(2026,10,10)=$C30,"◆",""),IF(AND(DATE(2026,10,10)&gt;=$C30,DATE(2026,10,10)&lt;=$D30),IF(DATE(2026,10,10)&lt;$C30+ROUND($E30*($D30-$C30+1),0),"█","░"),""))</f>
        <v/>
      </c>
      <c r="AK30" s="28">
        <f>IF($F30="Yes",IF(DATE(2026,10,11)=$C30,"◆",""),IF(AND(DATE(2026,10,11)&gt;=$C30,DATE(2026,10,11)&lt;=$D30),IF(DATE(2026,10,11)&lt;$C30+ROUND($E30*($D30-$C30+1),0),"█","░"),""))</f>
        <v/>
      </c>
      <c r="AL30" s="27">
        <f>IF($F30="Yes",IF(DATE(2026,10,12)=$C30,"◆",""),IF(AND(DATE(2026,10,12)&gt;=$C30,DATE(2026,10,12)&lt;=$D30),IF(DATE(2026,10,12)&lt;$C30+ROUND($E30*($D30-$C30+1),0),"█","░"),""))</f>
        <v/>
      </c>
      <c r="AM30" s="27">
        <f>IF($F30="Yes",IF(DATE(2026,10,13)=$C30,"◆",""),IF(AND(DATE(2026,10,13)&gt;=$C30,DATE(2026,10,13)&lt;=$D30),IF(DATE(2026,10,13)&lt;$C30+ROUND($E30*($D30-$C30+1),0),"█","░"),""))</f>
        <v/>
      </c>
      <c r="AN30" s="27">
        <f>IF($F30="Yes",IF(DATE(2026,10,14)=$C30,"◆",""),IF(AND(DATE(2026,10,14)&gt;=$C30,DATE(2026,10,14)&lt;=$D30),IF(DATE(2026,10,14)&lt;$C30+ROUND($E30*($D30-$C30+1),0),"█","░"),""))</f>
        <v/>
      </c>
    </row>
    <row r="31">
      <c r="A31" s="4">
        <f>'Project Tracker'!A30</f>
        <v/>
      </c>
      <c r="B31" s="5">
        <f>'Project Tracker'!C30</f>
        <v/>
      </c>
      <c r="C31" s="7">
        <f>'Project Tracker'!E30</f>
        <v/>
      </c>
      <c r="D31" s="7">
        <f>'Project Tracker'!F30</f>
        <v/>
      </c>
      <c r="E31" s="9">
        <f>'Project Tracker'!N30</f>
        <v/>
      </c>
      <c r="F31" s="4">
        <f>'Project Tracker'!J30</f>
        <v/>
      </c>
      <c r="G31" s="27">
        <f>IF($F31="Yes",IF(DATE(2026,9,11)=$C31,"◆",""),IF(AND(DATE(2026,9,11)&gt;=$C31,DATE(2026,9,11)&lt;=$D31),IF(DATE(2026,9,11)&lt;$C31+ROUND($E31*($D31-$C31+1),0),"█","░"),""))</f>
        <v/>
      </c>
      <c r="H31" s="28">
        <f>IF($F31="Yes",IF(DATE(2026,9,12)=$C31,"◆",""),IF(AND(DATE(2026,9,12)&gt;=$C31,DATE(2026,9,12)&lt;=$D31),IF(DATE(2026,9,12)&lt;$C31+ROUND($E31*($D31-$C31+1),0),"█","░"),""))</f>
        <v/>
      </c>
      <c r="I31" s="28">
        <f>IF($F31="Yes",IF(DATE(2026,9,13)=$C31,"◆",""),IF(AND(DATE(2026,9,13)&gt;=$C31,DATE(2026,9,13)&lt;=$D31),IF(DATE(2026,9,13)&lt;$C31+ROUND($E31*($D31-$C31+1),0),"█","░"),""))</f>
        <v/>
      </c>
      <c r="J31" s="27">
        <f>IF($F31="Yes",IF(DATE(2026,9,14)=$C31,"◆",""),IF(AND(DATE(2026,9,14)&gt;=$C31,DATE(2026,9,14)&lt;=$D31),IF(DATE(2026,9,14)&lt;$C31+ROUND($E31*($D31-$C31+1),0),"█","░"),""))</f>
        <v/>
      </c>
      <c r="K31" s="27">
        <f>IF($F31="Yes",IF(DATE(2026,9,15)=$C31,"◆",""),IF(AND(DATE(2026,9,15)&gt;=$C31,DATE(2026,9,15)&lt;=$D31),IF(DATE(2026,9,15)&lt;$C31+ROUND($E31*($D31-$C31+1),0),"█","░"),""))</f>
        <v/>
      </c>
      <c r="L31" s="27">
        <f>IF($F31="Yes",IF(DATE(2026,9,16)=$C31,"◆",""),IF(AND(DATE(2026,9,16)&gt;=$C31,DATE(2026,9,16)&lt;=$D31),IF(DATE(2026,9,16)&lt;$C31+ROUND($E31*($D31-$C31+1),0),"█","░"),""))</f>
        <v/>
      </c>
      <c r="M31" s="27">
        <f>IF($F31="Yes",IF(DATE(2026,9,17)=$C31,"◆",""),IF(AND(DATE(2026,9,17)&gt;=$C31,DATE(2026,9,17)&lt;=$D31),IF(DATE(2026,9,17)&lt;$C31+ROUND($E31*($D31-$C31+1),0),"█","░"),""))</f>
        <v/>
      </c>
      <c r="N31" s="27">
        <f>IF($F31="Yes",IF(DATE(2026,9,18)=$C31,"◆",""),IF(AND(DATE(2026,9,18)&gt;=$C31,DATE(2026,9,18)&lt;=$D31),IF(DATE(2026,9,18)&lt;$C31+ROUND($E31*($D31-$C31+1),0),"█","░"),""))</f>
        <v/>
      </c>
      <c r="O31" s="28">
        <f>IF($F31="Yes",IF(DATE(2026,9,19)=$C31,"◆",""),IF(AND(DATE(2026,9,19)&gt;=$C31,DATE(2026,9,19)&lt;=$D31),IF(DATE(2026,9,19)&lt;$C31+ROUND($E31*($D31-$C31+1),0),"█","░"),""))</f>
        <v/>
      </c>
      <c r="P31" s="28">
        <f>IF($F31="Yes",IF(DATE(2026,9,20)=$C31,"◆",""),IF(AND(DATE(2026,9,20)&gt;=$C31,DATE(2026,9,20)&lt;=$D31),IF(DATE(2026,9,20)&lt;$C31+ROUND($E31*($D31-$C31+1),0),"█","░"),""))</f>
        <v/>
      </c>
      <c r="Q31" s="27">
        <f>IF($F31="Yes",IF(DATE(2026,9,21)=$C31,"◆",""),IF(AND(DATE(2026,9,21)&gt;=$C31,DATE(2026,9,21)&lt;=$D31),IF(DATE(2026,9,21)&lt;$C31+ROUND($E31*($D31-$C31+1),0),"█","░"),""))</f>
        <v/>
      </c>
      <c r="R31" s="27">
        <f>IF($F31="Yes",IF(DATE(2026,9,22)=$C31,"◆",""),IF(AND(DATE(2026,9,22)&gt;=$C31,DATE(2026,9,22)&lt;=$D31),IF(DATE(2026,9,22)&lt;$C31+ROUND($E31*($D31-$C31+1),0),"█","░"),""))</f>
        <v/>
      </c>
      <c r="S31" s="27">
        <f>IF($F31="Yes",IF(DATE(2026,9,23)=$C31,"◆",""),IF(AND(DATE(2026,9,23)&gt;=$C31,DATE(2026,9,23)&lt;=$D31),IF(DATE(2026,9,23)&lt;$C31+ROUND($E31*($D31-$C31+1),0),"█","░"),""))</f>
        <v/>
      </c>
      <c r="T31" s="27">
        <f>IF($F31="Yes",IF(DATE(2026,9,24)=$C31,"◆",""),IF(AND(DATE(2026,9,24)&gt;=$C31,DATE(2026,9,24)&lt;=$D31),IF(DATE(2026,9,24)&lt;$C31+ROUND($E31*($D31-$C31+1),0),"█","░"),""))</f>
        <v/>
      </c>
      <c r="U31" s="27">
        <f>IF($F31="Yes",IF(DATE(2026,9,25)=$C31,"◆",""),IF(AND(DATE(2026,9,25)&gt;=$C31,DATE(2026,9,25)&lt;=$D31),IF(DATE(2026,9,25)&lt;$C31+ROUND($E31*($D31-$C31+1),0),"█","░"),""))</f>
        <v/>
      </c>
      <c r="V31" s="28">
        <f>IF($F31="Yes",IF(DATE(2026,9,26)=$C31,"◆",""),IF(AND(DATE(2026,9,26)&gt;=$C31,DATE(2026,9,26)&lt;=$D31),IF(DATE(2026,9,26)&lt;$C31+ROUND($E31*($D31-$C31+1),0),"█","░"),""))</f>
        <v/>
      </c>
      <c r="W31" s="28">
        <f>IF($F31="Yes",IF(DATE(2026,9,27)=$C31,"◆",""),IF(AND(DATE(2026,9,27)&gt;=$C31,DATE(2026,9,27)&lt;=$D31),IF(DATE(2026,9,27)&lt;$C31+ROUND($E31*($D31-$C31+1),0),"█","░"),""))</f>
        <v/>
      </c>
      <c r="X31" s="27">
        <f>IF($F31="Yes",IF(DATE(2026,9,28)=$C31,"◆",""),IF(AND(DATE(2026,9,28)&gt;=$C31,DATE(2026,9,28)&lt;=$D31),IF(DATE(2026,9,28)&lt;$C31+ROUND($E31*($D31-$C31+1),0),"█","░"),""))</f>
        <v/>
      </c>
      <c r="Y31" s="27">
        <f>IF($F31="Yes",IF(DATE(2026,9,29)=$C31,"◆",""),IF(AND(DATE(2026,9,29)&gt;=$C31,DATE(2026,9,29)&lt;=$D31),IF(DATE(2026,9,29)&lt;$C31+ROUND($E31*($D31-$C31+1),0),"█","░"),""))</f>
        <v/>
      </c>
      <c r="Z31" s="27">
        <f>IF($F31="Yes",IF(DATE(2026,9,30)=$C31,"◆",""),IF(AND(DATE(2026,9,30)&gt;=$C31,DATE(2026,9,30)&lt;=$D31),IF(DATE(2026,9,30)&lt;$C31+ROUND($E31*($D31-$C31+1),0),"█","░"),""))</f>
        <v/>
      </c>
      <c r="AA31" s="27">
        <f>IF($F31="Yes",IF(DATE(2026,10,1)=$C31,"◆",""),IF(AND(DATE(2026,10,1)&gt;=$C31,DATE(2026,10,1)&lt;=$D31),IF(DATE(2026,10,1)&lt;$C31+ROUND($E31*($D31-$C31+1),0),"█","░"),""))</f>
        <v/>
      </c>
      <c r="AB31" s="27">
        <f>IF($F31="Yes",IF(DATE(2026,10,2)=$C31,"◆",""),IF(AND(DATE(2026,10,2)&gt;=$C31,DATE(2026,10,2)&lt;=$D31),IF(DATE(2026,10,2)&lt;$C31+ROUND($E31*($D31-$C31+1),0),"█","░"),""))</f>
        <v/>
      </c>
      <c r="AC31" s="28">
        <f>IF($F31="Yes",IF(DATE(2026,10,3)=$C31,"◆",""),IF(AND(DATE(2026,10,3)&gt;=$C31,DATE(2026,10,3)&lt;=$D31),IF(DATE(2026,10,3)&lt;$C31+ROUND($E31*($D31-$C31+1),0),"█","░"),""))</f>
        <v/>
      </c>
      <c r="AD31" s="28">
        <f>IF($F31="Yes",IF(DATE(2026,10,4)=$C31,"◆",""),IF(AND(DATE(2026,10,4)&gt;=$C31,DATE(2026,10,4)&lt;=$D31),IF(DATE(2026,10,4)&lt;$C31+ROUND($E31*($D31-$C31+1),0),"█","░"),""))</f>
        <v/>
      </c>
      <c r="AE31" s="27">
        <f>IF($F31="Yes",IF(DATE(2026,10,5)=$C31,"◆",""),IF(AND(DATE(2026,10,5)&gt;=$C31,DATE(2026,10,5)&lt;=$D31),IF(DATE(2026,10,5)&lt;$C31+ROUND($E31*($D31-$C31+1),0),"█","░"),""))</f>
        <v/>
      </c>
      <c r="AF31" s="27">
        <f>IF($F31="Yes",IF(DATE(2026,10,6)=$C31,"◆",""),IF(AND(DATE(2026,10,6)&gt;=$C31,DATE(2026,10,6)&lt;=$D31),IF(DATE(2026,10,6)&lt;$C31+ROUND($E31*($D31-$C31+1),0),"█","░"),""))</f>
        <v/>
      </c>
      <c r="AG31" s="27">
        <f>IF($F31="Yes",IF(DATE(2026,10,7)=$C31,"◆",""),IF(AND(DATE(2026,10,7)&gt;=$C31,DATE(2026,10,7)&lt;=$D31),IF(DATE(2026,10,7)&lt;$C31+ROUND($E31*($D31-$C31+1),0),"█","░"),""))</f>
        <v/>
      </c>
      <c r="AH31" s="27">
        <f>IF($F31="Yes",IF(DATE(2026,10,8)=$C31,"◆",""),IF(AND(DATE(2026,10,8)&gt;=$C31,DATE(2026,10,8)&lt;=$D31),IF(DATE(2026,10,8)&lt;$C31+ROUND($E31*($D31-$C31+1),0),"█","░"),""))</f>
        <v/>
      </c>
      <c r="AI31" s="27">
        <f>IF($F31="Yes",IF(DATE(2026,10,9)=$C31,"◆",""),IF(AND(DATE(2026,10,9)&gt;=$C31,DATE(2026,10,9)&lt;=$D31),IF(DATE(2026,10,9)&lt;$C31+ROUND($E31*($D31-$C31+1),0),"█","░"),""))</f>
        <v/>
      </c>
      <c r="AJ31" s="28">
        <f>IF($F31="Yes",IF(DATE(2026,10,10)=$C31,"◆",""),IF(AND(DATE(2026,10,10)&gt;=$C31,DATE(2026,10,10)&lt;=$D31),IF(DATE(2026,10,10)&lt;$C31+ROUND($E31*($D31-$C31+1),0),"█","░"),""))</f>
        <v/>
      </c>
      <c r="AK31" s="28">
        <f>IF($F31="Yes",IF(DATE(2026,10,11)=$C31,"◆",""),IF(AND(DATE(2026,10,11)&gt;=$C31,DATE(2026,10,11)&lt;=$D31),IF(DATE(2026,10,11)&lt;$C31+ROUND($E31*($D31-$C31+1),0),"█","░"),""))</f>
        <v/>
      </c>
      <c r="AL31" s="27">
        <f>IF($F31="Yes",IF(DATE(2026,10,12)=$C31,"◆",""),IF(AND(DATE(2026,10,12)&gt;=$C31,DATE(2026,10,12)&lt;=$D31),IF(DATE(2026,10,12)&lt;$C31+ROUND($E31*($D31-$C31+1),0),"█","░"),""))</f>
        <v/>
      </c>
      <c r="AM31" s="27">
        <f>IF($F31="Yes",IF(DATE(2026,10,13)=$C31,"◆",""),IF(AND(DATE(2026,10,13)&gt;=$C31,DATE(2026,10,13)&lt;=$D31),IF(DATE(2026,10,13)&lt;$C31+ROUND($E31*($D31-$C31+1),0),"█","░"),""))</f>
        <v/>
      </c>
      <c r="AN31" s="27">
        <f>IF($F31="Yes",IF(DATE(2026,10,14)=$C31,"◆",""),IF(AND(DATE(2026,10,14)&gt;=$C31,DATE(2026,10,14)&lt;=$D31),IF(DATE(2026,10,14)&lt;$C31+ROUND($E31*($D31-$C31+1),0),"█","░"),""))</f>
        <v/>
      </c>
    </row>
    <row r="32">
      <c r="A32" s="4">
        <f>'Project Tracker'!A31</f>
        <v/>
      </c>
      <c r="B32" s="5">
        <f>'Project Tracker'!C31</f>
        <v/>
      </c>
      <c r="C32" s="7">
        <f>'Project Tracker'!E31</f>
        <v/>
      </c>
      <c r="D32" s="7">
        <f>'Project Tracker'!F31</f>
        <v/>
      </c>
      <c r="E32" s="9">
        <f>'Project Tracker'!N31</f>
        <v/>
      </c>
      <c r="F32" s="4">
        <f>'Project Tracker'!J31</f>
        <v/>
      </c>
      <c r="G32" s="27">
        <f>IF($F32="Yes",IF(DATE(2026,9,11)=$C32,"◆",""),IF(AND(DATE(2026,9,11)&gt;=$C32,DATE(2026,9,11)&lt;=$D32),IF(DATE(2026,9,11)&lt;$C32+ROUND($E32*($D32-$C32+1),0),"█","░"),""))</f>
        <v/>
      </c>
      <c r="H32" s="28">
        <f>IF($F32="Yes",IF(DATE(2026,9,12)=$C32,"◆",""),IF(AND(DATE(2026,9,12)&gt;=$C32,DATE(2026,9,12)&lt;=$D32),IF(DATE(2026,9,12)&lt;$C32+ROUND($E32*($D32-$C32+1),0),"█","░"),""))</f>
        <v/>
      </c>
      <c r="I32" s="28">
        <f>IF($F32="Yes",IF(DATE(2026,9,13)=$C32,"◆",""),IF(AND(DATE(2026,9,13)&gt;=$C32,DATE(2026,9,13)&lt;=$D32),IF(DATE(2026,9,13)&lt;$C32+ROUND($E32*($D32-$C32+1),0),"█","░"),""))</f>
        <v/>
      </c>
      <c r="J32" s="27">
        <f>IF($F32="Yes",IF(DATE(2026,9,14)=$C32,"◆",""),IF(AND(DATE(2026,9,14)&gt;=$C32,DATE(2026,9,14)&lt;=$D32),IF(DATE(2026,9,14)&lt;$C32+ROUND($E32*($D32-$C32+1),0),"█","░"),""))</f>
        <v/>
      </c>
      <c r="K32" s="27">
        <f>IF($F32="Yes",IF(DATE(2026,9,15)=$C32,"◆",""),IF(AND(DATE(2026,9,15)&gt;=$C32,DATE(2026,9,15)&lt;=$D32),IF(DATE(2026,9,15)&lt;$C32+ROUND($E32*($D32-$C32+1),0),"█","░"),""))</f>
        <v/>
      </c>
      <c r="L32" s="27">
        <f>IF($F32="Yes",IF(DATE(2026,9,16)=$C32,"◆",""),IF(AND(DATE(2026,9,16)&gt;=$C32,DATE(2026,9,16)&lt;=$D32),IF(DATE(2026,9,16)&lt;$C32+ROUND($E32*($D32-$C32+1),0),"█","░"),""))</f>
        <v/>
      </c>
      <c r="M32" s="27">
        <f>IF($F32="Yes",IF(DATE(2026,9,17)=$C32,"◆",""),IF(AND(DATE(2026,9,17)&gt;=$C32,DATE(2026,9,17)&lt;=$D32),IF(DATE(2026,9,17)&lt;$C32+ROUND($E32*($D32-$C32+1),0),"█","░"),""))</f>
        <v/>
      </c>
      <c r="N32" s="27">
        <f>IF($F32="Yes",IF(DATE(2026,9,18)=$C32,"◆",""),IF(AND(DATE(2026,9,18)&gt;=$C32,DATE(2026,9,18)&lt;=$D32),IF(DATE(2026,9,18)&lt;$C32+ROUND($E32*($D32-$C32+1),0),"█","░"),""))</f>
        <v/>
      </c>
      <c r="O32" s="28">
        <f>IF($F32="Yes",IF(DATE(2026,9,19)=$C32,"◆",""),IF(AND(DATE(2026,9,19)&gt;=$C32,DATE(2026,9,19)&lt;=$D32),IF(DATE(2026,9,19)&lt;$C32+ROUND($E32*($D32-$C32+1),0),"█","░"),""))</f>
        <v/>
      </c>
      <c r="P32" s="28">
        <f>IF($F32="Yes",IF(DATE(2026,9,20)=$C32,"◆",""),IF(AND(DATE(2026,9,20)&gt;=$C32,DATE(2026,9,20)&lt;=$D32),IF(DATE(2026,9,20)&lt;$C32+ROUND($E32*($D32-$C32+1),0),"█","░"),""))</f>
        <v/>
      </c>
      <c r="Q32" s="27">
        <f>IF($F32="Yes",IF(DATE(2026,9,21)=$C32,"◆",""),IF(AND(DATE(2026,9,21)&gt;=$C32,DATE(2026,9,21)&lt;=$D32),IF(DATE(2026,9,21)&lt;$C32+ROUND($E32*($D32-$C32+1),0),"█","░"),""))</f>
        <v/>
      </c>
      <c r="R32" s="27">
        <f>IF($F32="Yes",IF(DATE(2026,9,22)=$C32,"◆",""),IF(AND(DATE(2026,9,22)&gt;=$C32,DATE(2026,9,22)&lt;=$D32),IF(DATE(2026,9,22)&lt;$C32+ROUND($E32*($D32-$C32+1),0),"█","░"),""))</f>
        <v/>
      </c>
      <c r="S32" s="27">
        <f>IF($F32="Yes",IF(DATE(2026,9,23)=$C32,"◆",""),IF(AND(DATE(2026,9,23)&gt;=$C32,DATE(2026,9,23)&lt;=$D32),IF(DATE(2026,9,23)&lt;$C32+ROUND($E32*($D32-$C32+1),0),"█","░"),""))</f>
        <v/>
      </c>
      <c r="T32" s="27">
        <f>IF($F32="Yes",IF(DATE(2026,9,24)=$C32,"◆",""),IF(AND(DATE(2026,9,24)&gt;=$C32,DATE(2026,9,24)&lt;=$D32),IF(DATE(2026,9,24)&lt;$C32+ROUND($E32*($D32-$C32+1),0),"█","░"),""))</f>
        <v/>
      </c>
      <c r="U32" s="27">
        <f>IF($F32="Yes",IF(DATE(2026,9,25)=$C32,"◆",""),IF(AND(DATE(2026,9,25)&gt;=$C32,DATE(2026,9,25)&lt;=$D32),IF(DATE(2026,9,25)&lt;$C32+ROUND($E32*($D32-$C32+1),0),"█","░"),""))</f>
        <v/>
      </c>
      <c r="V32" s="28">
        <f>IF($F32="Yes",IF(DATE(2026,9,26)=$C32,"◆",""),IF(AND(DATE(2026,9,26)&gt;=$C32,DATE(2026,9,26)&lt;=$D32),IF(DATE(2026,9,26)&lt;$C32+ROUND($E32*($D32-$C32+1),0),"█","░"),""))</f>
        <v/>
      </c>
      <c r="W32" s="28">
        <f>IF($F32="Yes",IF(DATE(2026,9,27)=$C32,"◆",""),IF(AND(DATE(2026,9,27)&gt;=$C32,DATE(2026,9,27)&lt;=$D32),IF(DATE(2026,9,27)&lt;$C32+ROUND($E32*($D32-$C32+1),0),"█","░"),""))</f>
        <v/>
      </c>
      <c r="X32" s="27">
        <f>IF($F32="Yes",IF(DATE(2026,9,28)=$C32,"◆",""),IF(AND(DATE(2026,9,28)&gt;=$C32,DATE(2026,9,28)&lt;=$D32),IF(DATE(2026,9,28)&lt;$C32+ROUND($E32*($D32-$C32+1),0),"█","░"),""))</f>
        <v/>
      </c>
      <c r="Y32" s="27">
        <f>IF($F32="Yes",IF(DATE(2026,9,29)=$C32,"◆",""),IF(AND(DATE(2026,9,29)&gt;=$C32,DATE(2026,9,29)&lt;=$D32),IF(DATE(2026,9,29)&lt;$C32+ROUND($E32*($D32-$C32+1),0),"█","░"),""))</f>
        <v/>
      </c>
      <c r="Z32" s="27">
        <f>IF($F32="Yes",IF(DATE(2026,9,30)=$C32,"◆",""),IF(AND(DATE(2026,9,30)&gt;=$C32,DATE(2026,9,30)&lt;=$D32),IF(DATE(2026,9,30)&lt;$C32+ROUND($E32*($D32-$C32+1),0),"█","░"),""))</f>
        <v/>
      </c>
      <c r="AA32" s="27">
        <f>IF($F32="Yes",IF(DATE(2026,10,1)=$C32,"◆",""),IF(AND(DATE(2026,10,1)&gt;=$C32,DATE(2026,10,1)&lt;=$D32),IF(DATE(2026,10,1)&lt;$C32+ROUND($E32*($D32-$C32+1),0),"█","░"),""))</f>
        <v/>
      </c>
      <c r="AB32" s="27">
        <f>IF($F32="Yes",IF(DATE(2026,10,2)=$C32,"◆",""),IF(AND(DATE(2026,10,2)&gt;=$C32,DATE(2026,10,2)&lt;=$D32),IF(DATE(2026,10,2)&lt;$C32+ROUND($E32*($D32-$C32+1),0),"█","░"),""))</f>
        <v/>
      </c>
      <c r="AC32" s="28">
        <f>IF($F32="Yes",IF(DATE(2026,10,3)=$C32,"◆",""),IF(AND(DATE(2026,10,3)&gt;=$C32,DATE(2026,10,3)&lt;=$D32),IF(DATE(2026,10,3)&lt;$C32+ROUND($E32*($D32-$C32+1),0),"█","░"),""))</f>
        <v/>
      </c>
      <c r="AD32" s="28">
        <f>IF($F32="Yes",IF(DATE(2026,10,4)=$C32,"◆",""),IF(AND(DATE(2026,10,4)&gt;=$C32,DATE(2026,10,4)&lt;=$D32),IF(DATE(2026,10,4)&lt;$C32+ROUND($E32*($D32-$C32+1),0),"█","░"),""))</f>
        <v/>
      </c>
      <c r="AE32" s="27">
        <f>IF($F32="Yes",IF(DATE(2026,10,5)=$C32,"◆",""),IF(AND(DATE(2026,10,5)&gt;=$C32,DATE(2026,10,5)&lt;=$D32),IF(DATE(2026,10,5)&lt;$C32+ROUND($E32*($D32-$C32+1),0),"█","░"),""))</f>
        <v/>
      </c>
      <c r="AF32" s="27">
        <f>IF($F32="Yes",IF(DATE(2026,10,6)=$C32,"◆",""),IF(AND(DATE(2026,10,6)&gt;=$C32,DATE(2026,10,6)&lt;=$D32),IF(DATE(2026,10,6)&lt;$C32+ROUND($E32*($D32-$C32+1),0),"█","░"),""))</f>
        <v/>
      </c>
      <c r="AG32" s="27">
        <f>IF($F32="Yes",IF(DATE(2026,10,7)=$C32,"◆",""),IF(AND(DATE(2026,10,7)&gt;=$C32,DATE(2026,10,7)&lt;=$D32),IF(DATE(2026,10,7)&lt;$C32+ROUND($E32*($D32-$C32+1),0),"█","░"),""))</f>
        <v/>
      </c>
      <c r="AH32" s="27">
        <f>IF($F32="Yes",IF(DATE(2026,10,8)=$C32,"◆",""),IF(AND(DATE(2026,10,8)&gt;=$C32,DATE(2026,10,8)&lt;=$D32),IF(DATE(2026,10,8)&lt;$C32+ROUND($E32*($D32-$C32+1),0),"█","░"),""))</f>
        <v/>
      </c>
      <c r="AI32" s="27">
        <f>IF($F32="Yes",IF(DATE(2026,10,9)=$C32,"◆",""),IF(AND(DATE(2026,10,9)&gt;=$C32,DATE(2026,10,9)&lt;=$D32),IF(DATE(2026,10,9)&lt;$C32+ROUND($E32*($D32-$C32+1),0),"█","░"),""))</f>
        <v/>
      </c>
      <c r="AJ32" s="28">
        <f>IF($F32="Yes",IF(DATE(2026,10,10)=$C32,"◆",""),IF(AND(DATE(2026,10,10)&gt;=$C32,DATE(2026,10,10)&lt;=$D32),IF(DATE(2026,10,10)&lt;$C32+ROUND($E32*($D32-$C32+1),0),"█","░"),""))</f>
        <v/>
      </c>
      <c r="AK32" s="28">
        <f>IF($F32="Yes",IF(DATE(2026,10,11)=$C32,"◆",""),IF(AND(DATE(2026,10,11)&gt;=$C32,DATE(2026,10,11)&lt;=$D32),IF(DATE(2026,10,11)&lt;$C32+ROUND($E32*($D32-$C32+1),0),"█","░"),""))</f>
        <v/>
      </c>
      <c r="AL32" s="27">
        <f>IF($F32="Yes",IF(DATE(2026,10,12)=$C32,"◆",""),IF(AND(DATE(2026,10,12)&gt;=$C32,DATE(2026,10,12)&lt;=$D32),IF(DATE(2026,10,12)&lt;$C32+ROUND($E32*($D32-$C32+1),0),"█","░"),""))</f>
        <v/>
      </c>
      <c r="AM32" s="27">
        <f>IF($F32="Yes",IF(DATE(2026,10,13)=$C32,"◆",""),IF(AND(DATE(2026,10,13)&gt;=$C32,DATE(2026,10,13)&lt;=$D32),IF(DATE(2026,10,13)&lt;$C32+ROUND($E32*($D32-$C32+1),0),"█","░"),""))</f>
        <v/>
      </c>
      <c r="AN32" s="27">
        <f>IF($F32="Yes",IF(DATE(2026,10,14)=$C32,"◆",""),IF(AND(DATE(2026,10,14)&gt;=$C32,DATE(2026,10,14)&lt;=$D32),IF(DATE(2026,10,14)&lt;$C32+ROUND($E32*($D32-$C32+1),0),"█","░"),""))</f>
        <v/>
      </c>
    </row>
    <row r="33">
      <c r="A33" s="4">
        <f>'Project Tracker'!A32</f>
        <v/>
      </c>
      <c r="B33" s="5">
        <f>'Project Tracker'!C32</f>
        <v/>
      </c>
      <c r="C33" s="7">
        <f>'Project Tracker'!E32</f>
        <v/>
      </c>
      <c r="D33" s="7">
        <f>'Project Tracker'!F32</f>
        <v/>
      </c>
      <c r="E33" s="9">
        <f>'Project Tracker'!N32</f>
        <v/>
      </c>
      <c r="F33" s="4">
        <f>'Project Tracker'!J32</f>
        <v/>
      </c>
      <c r="G33" s="27">
        <f>IF($F33="Yes",IF(DATE(2026,9,11)=$C33,"◆",""),IF(AND(DATE(2026,9,11)&gt;=$C33,DATE(2026,9,11)&lt;=$D33),IF(DATE(2026,9,11)&lt;$C33+ROUND($E33*($D33-$C33+1),0),"█","░"),""))</f>
        <v/>
      </c>
      <c r="H33" s="28">
        <f>IF($F33="Yes",IF(DATE(2026,9,12)=$C33,"◆",""),IF(AND(DATE(2026,9,12)&gt;=$C33,DATE(2026,9,12)&lt;=$D33),IF(DATE(2026,9,12)&lt;$C33+ROUND($E33*($D33-$C33+1),0),"█","░"),""))</f>
        <v/>
      </c>
      <c r="I33" s="28">
        <f>IF($F33="Yes",IF(DATE(2026,9,13)=$C33,"◆",""),IF(AND(DATE(2026,9,13)&gt;=$C33,DATE(2026,9,13)&lt;=$D33),IF(DATE(2026,9,13)&lt;$C33+ROUND($E33*($D33-$C33+1),0),"█","░"),""))</f>
        <v/>
      </c>
      <c r="J33" s="27">
        <f>IF($F33="Yes",IF(DATE(2026,9,14)=$C33,"◆",""),IF(AND(DATE(2026,9,14)&gt;=$C33,DATE(2026,9,14)&lt;=$D33),IF(DATE(2026,9,14)&lt;$C33+ROUND($E33*($D33-$C33+1),0),"█","░"),""))</f>
        <v/>
      </c>
      <c r="K33" s="27">
        <f>IF($F33="Yes",IF(DATE(2026,9,15)=$C33,"◆",""),IF(AND(DATE(2026,9,15)&gt;=$C33,DATE(2026,9,15)&lt;=$D33),IF(DATE(2026,9,15)&lt;$C33+ROUND($E33*($D33-$C33+1),0),"█","░"),""))</f>
        <v/>
      </c>
      <c r="L33" s="27">
        <f>IF($F33="Yes",IF(DATE(2026,9,16)=$C33,"◆",""),IF(AND(DATE(2026,9,16)&gt;=$C33,DATE(2026,9,16)&lt;=$D33),IF(DATE(2026,9,16)&lt;$C33+ROUND($E33*($D33-$C33+1),0),"█","░"),""))</f>
        <v/>
      </c>
      <c r="M33" s="27">
        <f>IF($F33="Yes",IF(DATE(2026,9,17)=$C33,"◆",""),IF(AND(DATE(2026,9,17)&gt;=$C33,DATE(2026,9,17)&lt;=$D33),IF(DATE(2026,9,17)&lt;$C33+ROUND($E33*($D33-$C33+1),0),"█","░"),""))</f>
        <v/>
      </c>
      <c r="N33" s="27">
        <f>IF($F33="Yes",IF(DATE(2026,9,18)=$C33,"◆",""),IF(AND(DATE(2026,9,18)&gt;=$C33,DATE(2026,9,18)&lt;=$D33),IF(DATE(2026,9,18)&lt;$C33+ROUND($E33*($D33-$C33+1),0),"█","░"),""))</f>
        <v/>
      </c>
      <c r="O33" s="28">
        <f>IF($F33="Yes",IF(DATE(2026,9,19)=$C33,"◆",""),IF(AND(DATE(2026,9,19)&gt;=$C33,DATE(2026,9,19)&lt;=$D33),IF(DATE(2026,9,19)&lt;$C33+ROUND($E33*($D33-$C33+1),0),"█","░"),""))</f>
        <v/>
      </c>
      <c r="P33" s="28">
        <f>IF($F33="Yes",IF(DATE(2026,9,20)=$C33,"◆",""),IF(AND(DATE(2026,9,20)&gt;=$C33,DATE(2026,9,20)&lt;=$D33),IF(DATE(2026,9,20)&lt;$C33+ROUND($E33*($D33-$C33+1),0),"█","░"),""))</f>
        <v/>
      </c>
      <c r="Q33" s="27">
        <f>IF($F33="Yes",IF(DATE(2026,9,21)=$C33,"◆",""),IF(AND(DATE(2026,9,21)&gt;=$C33,DATE(2026,9,21)&lt;=$D33),IF(DATE(2026,9,21)&lt;$C33+ROUND($E33*($D33-$C33+1),0),"█","░"),""))</f>
        <v/>
      </c>
      <c r="R33" s="27">
        <f>IF($F33="Yes",IF(DATE(2026,9,22)=$C33,"◆",""),IF(AND(DATE(2026,9,22)&gt;=$C33,DATE(2026,9,22)&lt;=$D33),IF(DATE(2026,9,22)&lt;$C33+ROUND($E33*($D33-$C33+1),0),"█","░"),""))</f>
        <v/>
      </c>
      <c r="S33" s="27">
        <f>IF($F33="Yes",IF(DATE(2026,9,23)=$C33,"◆",""),IF(AND(DATE(2026,9,23)&gt;=$C33,DATE(2026,9,23)&lt;=$D33),IF(DATE(2026,9,23)&lt;$C33+ROUND($E33*($D33-$C33+1),0),"█","░"),""))</f>
        <v/>
      </c>
      <c r="T33" s="27">
        <f>IF($F33="Yes",IF(DATE(2026,9,24)=$C33,"◆",""),IF(AND(DATE(2026,9,24)&gt;=$C33,DATE(2026,9,24)&lt;=$D33),IF(DATE(2026,9,24)&lt;$C33+ROUND($E33*($D33-$C33+1),0),"█","░"),""))</f>
        <v/>
      </c>
      <c r="U33" s="27">
        <f>IF($F33="Yes",IF(DATE(2026,9,25)=$C33,"◆",""),IF(AND(DATE(2026,9,25)&gt;=$C33,DATE(2026,9,25)&lt;=$D33),IF(DATE(2026,9,25)&lt;$C33+ROUND($E33*($D33-$C33+1),0),"█","░"),""))</f>
        <v/>
      </c>
      <c r="V33" s="28">
        <f>IF($F33="Yes",IF(DATE(2026,9,26)=$C33,"◆",""),IF(AND(DATE(2026,9,26)&gt;=$C33,DATE(2026,9,26)&lt;=$D33),IF(DATE(2026,9,26)&lt;$C33+ROUND($E33*($D33-$C33+1),0),"█","░"),""))</f>
        <v/>
      </c>
      <c r="W33" s="28">
        <f>IF($F33="Yes",IF(DATE(2026,9,27)=$C33,"◆",""),IF(AND(DATE(2026,9,27)&gt;=$C33,DATE(2026,9,27)&lt;=$D33),IF(DATE(2026,9,27)&lt;$C33+ROUND($E33*($D33-$C33+1),0),"█","░"),""))</f>
        <v/>
      </c>
      <c r="X33" s="27">
        <f>IF($F33="Yes",IF(DATE(2026,9,28)=$C33,"◆",""),IF(AND(DATE(2026,9,28)&gt;=$C33,DATE(2026,9,28)&lt;=$D33),IF(DATE(2026,9,28)&lt;$C33+ROUND($E33*($D33-$C33+1),0),"█","░"),""))</f>
        <v/>
      </c>
      <c r="Y33" s="27">
        <f>IF($F33="Yes",IF(DATE(2026,9,29)=$C33,"◆",""),IF(AND(DATE(2026,9,29)&gt;=$C33,DATE(2026,9,29)&lt;=$D33),IF(DATE(2026,9,29)&lt;$C33+ROUND($E33*($D33-$C33+1),0),"█","░"),""))</f>
        <v/>
      </c>
      <c r="Z33" s="27">
        <f>IF($F33="Yes",IF(DATE(2026,9,30)=$C33,"◆",""),IF(AND(DATE(2026,9,30)&gt;=$C33,DATE(2026,9,30)&lt;=$D33),IF(DATE(2026,9,30)&lt;$C33+ROUND($E33*($D33-$C33+1),0),"█","░"),""))</f>
        <v/>
      </c>
      <c r="AA33" s="27">
        <f>IF($F33="Yes",IF(DATE(2026,10,1)=$C33,"◆",""),IF(AND(DATE(2026,10,1)&gt;=$C33,DATE(2026,10,1)&lt;=$D33),IF(DATE(2026,10,1)&lt;$C33+ROUND($E33*($D33-$C33+1),0),"█","░"),""))</f>
        <v/>
      </c>
      <c r="AB33" s="27">
        <f>IF($F33="Yes",IF(DATE(2026,10,2)=$C33,"◆",""),IF(AND(DATE(2026,10,2)&gt;=$C33,DATE(2026,10,2)&lt;=$D33),IF(DATE(2026,10,2)&lt;$C33+ROUND($E33*($D33-$C33+1),0),"█","░"),""))</f>
        <v/>
      </c>
      <c r="AC33" s="28">
        <f>IF($F33="Yes",IF(DATE(2026,10,3)=$C33,"◆",""),IF(AND(DATE(2026,10,3)&gt;=$C33,DATE(2026,10,3)&lt;=$D33),IF(DATE(2026,10,3)&lt;$C33+ROUND($E33*($D33-$C33+1),0),"█","░"),""))</f>
        <v/>
      </c>
      <c r="AD33" s="28">
        <f>IF($F33="Yes",IF(DATE(2026,10,4)=$C33,"◆",""),IF(AND(DATE(2026,10,4)&gt;=$C33,DATE(2026,10,4)&lt;=$D33),IF(DATE(2026,10,4)&lt;$C33+ROUND($E33*($D33-$C33+1),0),"█","░"),""))</f>
        <v/>
      </c>
      <c r="AE33" s="27">
        <f>IF($F33="Yes",IF(DATE(2026,10,5)=$C33,"◆",""),IF(AND(DATE(2026,10,5)&gt;=$C33,DATE(2026,10,5)&lt;=$D33),IF(DATE(2026,10,5)&lt;$C33+ROUND($E33*($D33-$C33+1),0),"█","░"),""))</f>
        <v/>
      </c>
      <c r="AF33" s="27">
        <f>IF($F33="Yes",IF(DATE(2026,10,6)=$C33,"◆",""),IF(AND(DATE(2026,10,6)&gt;=$C33,DATE(2026,10,6)&lt;=$D33),IF(DATE(2026,10,6)&lt;$C33+ROUND($E33*($D33-$C33+1),0),"█","░"),""))</f>
        <v/>
      </c>
      <c r="AG33" s="27">
        <f>IF($F33="Yes",IF(DATE(2026,10,7)=$C33,"◆",""),IF(AND(DATE(2026,10,7)&gt;=$C33,DATE(2026,10,7)&lt;=$D33),IF(DATE(2026,10,7)&lt;$C33+ROUND($E33*($D33-$C33+1),0),"█","░"),""))</f>
        <v/>
      </c>
      <c r="AH33" s="27">
        <f>IF($F33="Yes",IF(DATE(2026,10,8)=$C33,"◆",""),IF(AND(DATE(2026,10,8)&gt;=$C33,DATE(2026,10,8)&lt;=$D33),IF(DATE(2026,10,8)&lt;$C33+ROUND($E33*($D33-$C33+1),0),"█","░"),""))</f>
        <v/>
      </c>
      <c r="AI33" s="27">
        <f>IF($F33="Yes",IF(DATE(2026,10,9)=$C33,"◆",""),IF(AND(DATE(2026,10,9)&gt;=$C33,DATE(2026,10,9)&lt;=$D33),IF(DATE(2026,10,9)&lt;$C33+ROUND($E33*($D33-$C33+1),0),"█","░"),""))</f>
        <v/>
      </c>
      <c r="AJ33" s="28">
        <f>IF($F33="Yes",IF(DATE(2026,10,10)=$C33,"◆",""),IF(AND(DATE(2026,10,10)&gt;=$C33,DATE(2026,10,10)&lt;=$D33),IF(DATE(2026,10,10)&lt;$C33+ROUND($E33*($D33-$C33+1),0),"█","░"),""))</f>
        <v/>
      </c>
      <c r="AK33" s="28">
        <f>IF($F33="Yes",IF(DATE(2026,10,11)=$C33,"◆",""),IF(AND(DATE(2026,10,11)&gt;=$C33,DATE(2026,10,11)&lt;=$D33),IF(DATE(2026,10,11)&lt;$C33+ROUND($E33*($D33-$C33+1),0),"█","░"),""))</f>
        <v/>
      </c>
      <c r="AL33" s="27">
        <f>IF($F33="Yes",IF(DATE(2026,10,12)=$C33,"◆",""),IF(AND(DATE(2026,10,12)&gt;=$C33,DATE(2026,10,12)&lt;=$D33),IF(DATE(2026,10,12)&lt;$C33+ROUND($E33*($D33-$C33+1),0),"█","░"),""))</f>
        <v/>
      </c>
      <c r="AM33" s="27">
        <f>IF($F33="Yes",IF(DATE(2026,10,13)=$C33,"◆",""),IF(AND(DATE(2026,10,13)&gt;=$C33,DATE(2026,10,13)&lt;=$D33),IF(DATE(2026,10,13)&lt;$C33+ROUND($E33*($D33-$C33+1),0),"█","░"),""))</f>
        <v/>
      </c>
      <c r="AN33" s="27">
        <f>IF($F33="Yes",IF(DATE(2026,10,14)=$C33,"◆",""),IF(AND(DATE(2026,10,14)&gt;=$C33,DATE(2026,10,14)&lt;=$D33),IF(DATE(2026,10,14)&lt;$C33+ROUND($E33*($D33-$C33+1),0),"█","░"),""))</f>
        <v/>
      </c>
    </row>
    <row r="34">
      <c r="A34" s="4">
        <f>'Project Tracker'!A33</f>
        <v/>
      </c>
      <c r="B34" s="5">
        <f>'Project Tracker'!C33</f>
        <v/>
      </c>
      <c r="C34" s="7">
        <f>'Project Tracker'!E33</f>
        <v/>
      </c>
      <c r="D34" s="7">
        <f>'Project Tracker'!F33</f>
        <v/>
      </c>
      <c r="E34" s="9">
        <f>'Project Tracker'!N33</f>
        <v/>
      </c>
      <c r="F34" s="4">
        <f>'Project Tracker'!J33</f>
        <v/>
      </c>
      <c r="G34" s="27">
        <f>IF($F34="Yes",IF(DATE(2026,9,11)=$C34,"◆",""),IF(AND(DATE(2026,9,11)&gt;=$C34,DATE(2026,9,11)&lt;=$D34),IF(DATE(2026,9,11)&lt;$C34+ROUND($E34*($D34-$C34+1),0),"█","░"),""))</f>
        <v/>
      </c>
      <c r="H34" s="28">
        <f>IF($F34="Yes",IF(DATE(2026,9,12)=$C34,"◆",""),IF(AND(DATE(2026,9,12)&gt;=$C34,DATE(2026,9,12)&lt;=$D34),IF(DATE(2026,9,12)&lt;$C34+ROUND($E34*($D34-$C34+1),0),"█","░"),""))</f>
        <v/>
      </c>
      <c r="I34" s="28">
        <f>IF($F34="Yes",IF(DATE(2026,9,13)=$C34,"◆",""),IF(AND(DATE(2026,9,13)&gt;=$C34,DATE(2026,9,13)&lt;=$D34),IF(DATE(2026,9,13)&lt;$C34+ROUND($E34*($D34-$C34+1),0),"█","░"),""))</f>
        <v/>
      </c>
      <c r="J34" s="27">
        <f>IF($F34="Yes",IF(DATE(2026,9,14)=$C34,"◆",""),IF(AND(DATE(2026,9,14)&gt;=$C34,DATE(2026,9,14)&lt;=$D34),IF(DATE(2026,9,14)&lt;$C34+ROUND($E34*($D34-$C34+1),0),"█","░"),""))</f>
        <v/>
      </c>
      <c r="K34" s="27">
        <f>IF($F34="Yes",IF(DATE(2026,9,15)=$C34,"◆",""),IF(AND(DATE(2026,9,15)&gt;=$C34,DATE(2026,9,15)&lt;=$D34),IF(DATE(2026,9,15)&lt;$C34+ROUND($E34*($D34-$C34+1),0),"█","░"),""))</f>
        <v/>
      </c>
      <c r="L34" s="27">
        <f>IF($F34="Yes",IF(DATE(2026,9,16)=$C34,"◆",""),IF(AND(DATE(2026,9,16)&gt;=$C34,DATE(2026,9,16)&lt;=$D34),IF(DATE(2026,9,16)&lt;$C34+ROUND($E34*($D34-$C34+1),0),"█","░"),""))</f>
        <v/>
      </c>
      <c r="M34" s="27">
        <f>IF($F34="Yes",IF(DATE(2026,9,17)=$C34,"◆",""),IF(AND(DATE(2026,9,17)&gt;=$C34,DATE(2026,9,17)&lt;=$D34),IF(DATE(2026,9,17)&lt;$C34+ROUND($E34*($D34-$C34+1),0),"█","░"),""))</f>
        <v/>
      </c>
      <c r="N34" s="27">
        <f>IF($F34="Yes",IF(DATE(2026,9,18)=$C34,"◆",""),IF(AND(DATE(2026,9,18)&gt;=$C34,DATE(2026,9,18)&lt;=$D34),IF(DATE(2026,9,18)&lt;$C34+ROUND($E34*($D34-$C34+1),0),"█","░"),""))</f>
        <v/>
      </c>
      <c r="O34" s="28">
        <f>IF($F34="Yes",IF(DATE(2026,9,19)=$C34,"◆",""),IF(AND(DATE(2026,9,19)&gt;=$C34,DATE(2026,9,19)&lt;=$D34),IF(DATE(2026,9,19)&lt;$C34+ROUND($E34*($D34-$C34+1),0),"█","░"),""))</f>
        <v/>
      </c>
      <c r="P34" s="28">
        <f>IF($F34="Yes",IF(DATE(2026,9,20)=$C34,"◆",""),IF(AND(DATE(2026,9,20)&gt;=$C34,DATE(2026,9,20)&lt;=$D34),IF(DATE(2026,9,20)&lt;$C34+ROUND($E34*($D34-$C34+1),0),"█","░"),""))</f>
        <v/>
      </c>
      <c r="Q34" s="27">
        <f>IF($F34="Yes",IF(DATE(2026,9,21)=$C34,"◆",""),IF(AND(DATE(2026,9,21)&gt;=$C34,DATE(2026,9,21)&lt;=$D34),IF(DATE(2026,9,21)&lt;$C34+ROUND($E34*($D34-$C34+1),0),"█","░"),""))</f>
        <v/>
      </c>
      <c r="R34" s="27">
        <f>IF($F34="Yes",IF(DATE(2026,9,22)=$C34,"◆",""),IF(AND(DATE(2026,9,22)&gt;=$C34,DATE(2026,9,22)&lt;=$D34),IF(DATE(2026,9,22)&lt;$C34+ROUND($E34*($D34-$C34+1),0),"█","░"),""))</f>
        <v/>
      </c>
      <c r="S34" s="27">
        <f>IF($F34="Yes",IF(DATE(2026,9,23)=$C34,"◆",""),IF(AND(DATE(2026,9,23)&gt;=$C34,DATE(2026,9,23)&lt;=$D34),IF(DATE(2026,9,23)&lt;$C34+ROUND($E34*($D34-$C34+1),0),"█","░"),""))</f>
        <v/>
      </c>
      <c r="T34" s="27">
        <f>IF($F34="Yes",IF(DATE(2026,9,24)=$C34,"◆",""),IF(AND(DATE(2026,9,24)&gt;=$C34,DATE(2026,9,24)&lt;=$D34),IF(DATE(2026,9,24)&lt;$C34+ROUND($E34*($D34-$C34+1),0),"█","░"),""))</f>
        <v/>
      </c>
      <c r="U34" s="27">
        <f>IF($F34="Yes",IF(DATE(2026,9,25)=$C34,"◆",""),IF(AND(DATE(2026,9,25)&gt;=$C34,DATE(2026,9,25)&lt;=$D34),IF(DATE(2026,9,25)&lt;$C34+ROUND($E34*($D34-$C34+1),0),"█","░"),""))</f>
        <v/>
      </c>
      <c r="V34" s="28">
        <f>IF($F34="Yes",IF(DATE(2026,9,26)=$C34,"◆",""),IF(AND(DATE(2026,9,26)&gt;=$C34,DATE(2026,9,26)&lt;=$D34),IF(DATE(2026,9,26)&lt;$C34+ROUND($E34*($D34-$C34+1),0),"█","░"),""))</f>
        <v/>
      </c>
      <c r="W34" s="28">
        <f>IF($F34="Yes",IF(DATE(2026,9,27)=$C34,"◆",""),IF(AND(DATE(2026,9,27)&gt;=$C34,DATE(2026,9,27)&lt;=$D34),IF(DATE(2026,9,27)&lt;$C34+ROUND($E34*($D34-$C34+1),0),"█","░"),""))</f>
        <v/>
      </c>
      <c r="X34" s="27">
        <f>IF($F34="Yes",IF(DATE(2026,9,28)=$C34,"◆",""),IF(AND(DATE(2026,9,28)&gt;=$C34,DATE(2026,9,28)&lt;=$D34),IF(DATE(2026,9,28)&lt;$C34+ROUND($E34*($D34-$C34+1),0),"█","░"),""))</f>
        <v/>
      </c>
      <c r="Y34" s="27">
        <f>IF($F34="Yes",IF(DATE(2026,9,29)=$C34,"◆",""),IF(AND(DATE(2026,9,29)&gt;=$C34,DATE(2026,9,29)&lt;=$D34),IF(DATE(2026,9,29)&lt;$C34+ROUND($E34*($D34-$C34+1),0),"█","░"),""))</f>
        <v/>
      </c>
      <c r="Z34" s="27">
        <f>IF($F34="Yes",IF(DATE(2026,9,30)=$C34,"◆",""),IF(AND(DATE(2026,9,30)&gt;=$C34,DATE(2026,9,30)&lt;=$D34),IF(DATE(2026,9,30)&lt;$C34+ROUND($E34*($D34-$C34+1),0),"█","░"),""))</f>
        <v/>
      </c>
      <c r="AA34" s="27">
        <f>IF($F34="Yes",IF(DATE(2026,10,1)=$C34,"◆",""),IF(AND(DATE(2026,10,1)&gt;=$C34,DATE(2026,10,1)&lt;=$D34),IF(DATE(2026,10,1)&lt;$C34+ROUND($E34*($D34-$C34+1),0),"█","░"),""))</f>
        <v/>
      </c>
      <c r="AB34" s="27">
        <f>IF($F34="Yes",IF(DATE(2026,10,2)=$C34,"◆",""),IF(AND(DATE(2026,10,2)&gt;=$C34,DATE(2026,10,2)&lt;=$D34),IF(DATE(2026,10,2)&lt;$C34+ROUND($E34*($D34-$C34+1),0),"█","░"),""))</f>
        <v/>
      </c>
      <c r="AC34" s="28">
        <f>IF($F34="Yes",IF(DATE(2026,10,3)=$C34,"◆",""),IF(AND(DATE(2026,10,3)&gt;=$C34,DATE(2026,10,3)&lt;=$D34),IF(DATE(2026,10,3)&lt;$C34+ROUND($E34*($D34-$C34+1),0),"█","░"),""))</f>
        <v/>
      </c>
      <c r="AD34" s="28">
        <f>IF($F34="Yes",IF(DATE(2026,10,4)=$C34,"◆",""),IF(AND(DATE(2026,10,4)&gt;=$C34,DATE(2026,10,4)&lt;=$D34),IF(DATE(2026,10,4)&lt;$C34+ROUND($E34*($D34-$C34+1),0),"█","░"),""))</f>
        <v/>
      </c>
      <c r="AE34" s="27">
        <f>IF($F34="Yes",IF(DATE(2026,10,5)=$C34,"◆",""),IF(AND(DATE(2026,10,5)&gt;=$C34,DATE(2026,10,5)&lt;=$D34),IF(DATE(2026,10,5)&lt;$C34+ROUND($E34*($D34-$C34+1),0),"█","░"),""))</f>
        <v/>
      </c>
      <c r="AF34" s="27">
        <f>IF($F34="Yes",IF(DATE(2026,10,6)=$C34,"◆",""),IF(AND(DATE(2026,10,6)&gt;=$C34,DATE(2026,10,6)&lt;=$D34),IF(DATE(2026,10,6)&lt;$C34+ROUND($E34*($D34-$C34+1),0),"█","░"),""))</f>
        <v/>
      </c>
      <c r="AG34" s="27">
        <f>IF($F34="Yes",IF(DATE(2026,10,7)=$C34,"◆",""),IF(AND(DATE(2026,10,7)&gt;=$C34,DATE(2026,10,7)&lt;=$D34),IF(DATE(2026,10,7)&lt;$C34+ROUND($E34*($D34-$C34+1),0),"█","░"),""))</f>
        <v/>
      </c>
      <c r="AH34" s="27">
        <f>IF($F34="Yes",IF(DATE(2026,10,8)=$C34,"◆",""),IF(AND(DATE(2026,10,8)&gt;=$C34,DATE(2026,10,8)&lt;=$D34),IF(DATE(2026,10,8)&lt;$C34+ROUND($E34*($D34-$C34+1),0),"█","░"),""))</f>
        <v/>
      </c>
      <c r="AI34" s="27">
        <f>IF($F34="Yes",IF(DATE(2026,10,9)=$C34,"◆",""),IF(AND(DATE(2026,10,9)&gt;=$C34,DATE(2026,10,9)&lt;=$D34),IF(DATE(2026,10,9)&lt;$C34+ROUND($E34*($D34-$C34+1),0),"█","░"),""))</f>
        <v/>
      </c>
      <c r="AJ34" s="28">
        <f>IF($F34="Yes",IF(DATE(2026,10,10)=$C34,"◆",""),IF(AND(DATE(2026,10,10)&gt;=$C34,DATE(2026,10,10)&lt;=$D34),IF(DATE(2026,10,10)&lt;$C34+ROUND($E34*($D34-$C34+1),0),"█","░"),""))</f>
        <v/>
      </c>
      <c r="AK34" s="28">
        <f>IF($F34="Yes",IF(DATE(2026,10,11)=$C34,"◆",""),IF(AND(DATE(2026,10,11)&gt;=$C34,DATE(2026,10,11)&lt;=$D34),IF(DATE(2026,10,11)&lt;$C34+ROUND($E34*($D34-$C34+1),0),"█","░"),""))</f>
        <v/>
      </c>
      <c r="AL34" s="27">
        <f>IF($F34="Yes",IF(DATE(2026,10,12)=$C34,"◆",""),IF(AND(DATE(2026,10,12)&gt;=$C34,DATE(2026,10,12)&lt;=$D34),IF(DATE(2026,10,12)&lt;$C34+ROUND($E34*($D34-$C34+1),0),"█","░"),""))</f>
        <v/>
      </c>
      <c r="AM34" s="27">
        <f>IF($F34="Yes",IF(DATE(2026,10,13)=$C34,"◆",""),IF(AND(DATE(2026,10,13)&gt;=$C34,DATE(2026,10,13)&lt;=$D34),IF(DATE(2026,10,13)&lt;$C34+ROUND($E34*($D34-$C34+1),0),"█","░"),""))</f>
        <v/>
      </c>
      <c r="AN34" s="27">
        <f>IF($F34="Yes",IF(DATE(2026,10,14)=$C34,"◆",""),IF(AND(DATE(2026,10,14)&gt;=$C34,DATE(2026,10,14)&lt;=$D34),IF(DATE(2026,10,14)&lt;$C34+ROUND($E34*($D34-$C34+1),0),"█","░"),""))</f>
        <v/>
      </c>
    </row>
    <row r="35">
      <c r="A35" s="4">
        <f>'Project Tracker'!A34</f>
        <v/>
      </c>
      <c r="B35" s="5">
        <f>'Project Tracker'!C34</f>
        <v/>
      </c>
      <c r="C35" s="7">
        <f>'Project Tracker'!E34</f>
        <v/>
      </c>
      <c r="D35" s="7">
        <f>'Project Tracker'!F34</f>
        <v/>
      </c>
      <c r="E35" s="9">
        <f>'Project Tracker'!N34</f>
        <v/>
      </c>
      <c r="F35" s="4">
        <f>'Project Tracker'!J34</f>
        <v/>
      </c>
      <c r="G35" s="27">
        <f>IF($F35="Yes",IF(DATE(2026,9,11)=$C35,"◆",""),IF(AND(DATE(2026,9,11)&gt;=$C35,DATE(2026,9,11)&lt;=$D35),IF(DATE(2026,9,11)&lt;$C35+ROUND($E35*($D35-$C35+1),0),"█","░"),""))</f>
        <v/>
      </c>
      <c r="H35" s="28">
        <f>IF($F35="Yes",IF(DATE(2026,9,12)=$C35,"◆",""),IF(AND(DATE(2026,9,12)&gt;=$C35,DATE(2026,9,12)&lt;=$D35),IF(DATE(2026,9,12)&lt;$C35+ROUND($E35*($D35-$C35+1),0),"█","░"),""))</f>
        <v/>
      </c>
      <c r="I35" s="28">
        <f>IF($F35="Yes",IF(DATE(2026,9,13)=$C35,"◆",""),IF(AND(DATE(2026,9,13)&gt;=$C35,DATE(2026,9,13)&lt;=$D35),IF(DATE(2026,9,13)&lt;$C35+ROUND($E35*($D35-$C35+1),0),"█","░"),""))</f>
        <v/>
      </c>
      <c r="J35" s="27">
        <f>IF($F35="Yes",IF(DATE(2026,9,14)=$C35,"◆",""),IF(AND(DATE(2026,9,14)&gt;=$C35,DATE(2026,9,14)&lt;=$D35),IF(DATE(2026,9,14)&lt;$C35+ROUND($E35*($D35-$C35+1),0),"█","░"),""))</f>
        <v/>
      </c>
      <c r="K35" s="27">
        <f>IF($F35="Yes",IF(DATE(2026,9,15)=$C35,"◆",""),IF(AND(DATE(2026,9,15)&gt;=$C35,DATE(2026,9,15)&lt;=$D35),IF(DATE(2026,9,15)&lt;$C35+ROUND($E35*($D35-$C35+1),0),"█","░"),""))</f>
        <v/>
      </c>
      <c r="L35" s="27">
        <f>IF($F35="Yes",IF(DATE(2026,9,16)=$C35,"◆",""),IF(AND(DATE(2026,9,16)&gt;=$C35,DATE(2026,9,16)&lt;=$D35),IF(DATE(2026,9,16)&lt;$C35+ROUND($E35*($D35-$C35+1),0),"█","░"),""))</f>
        <v/>
      </c>
      <c r="M35" s="27">
        <f>IF($F35="Yes",IF(DATE(2026,9,17)=$C35,"◆",""),IF(AND(DATE(2026,9,17)&gt;=$C35,DATE(2026,9,17)&lt;=$D35),IF(DATE(2026,9,17)&lt;$C35+ROUND($E35*($D35-$C35+1),0),"█","░"),""))</f>
        <v/>
      </c>
      <c r="N35" s="27">
        <f>IF($F35="Yes",IF(DATE(2026,9,18)=$C35,"◆",""),IF(AND(DATE(2026,9,18)&gt;=$C35,DATE(2026,9,18)&lt;=$D35),IF(DATE(2026,9,18)&lt;$C35+ROUND($E35*($D35-$C35+1),0),"█","░"),""))</f>
        <v/>
      </c>
      <c r="O35" s="28">
        <f>IF($F35="Yes",IF(DATE(2026,9,19)=$C35,"◆",""),IF(AND(DATE(2026,9,19)&gt;=$C35,DATE(2026,9,19)&lt;=$D35),IF(DATE(2026,9,19)&lt;$C35+ROUND($E35*($D35-$C35+1),0),"█","░"),""))</f>
        <v/>
      </c>
      <c r="P35" s="28">
        <f>IF($F35="Yes",IF(DATE(2026,9,20)=$C35,"◆",""),IF(AND(DATE(2026,9,20)&gt;=$C35,DATE(2026,9,20)&lt;=$D35),IF(DATE(2026,9,20)&lt;$C35+ROUND($E35*($D35-$C35+1),0),"█","░"),""))</f>
        <v/>
      </c>
      <c r="Q35" s="27">
        <f>IF($F35="Yes",IF(DATE(2026,9,21)=$C35,"◆",""),IF(AND(DATE(2026,9,21)&gt;=$C35,DATE(2026,9,21)&lt;=$D35),IF(DATE(2026,9,21)&lt;$C35+ROUND($E35*($D35-$C35+1),0),"█","░"),""))</f>
        <v/>
      </c>
      <c r="R35" s="27">
        <f>IF($F35="Yes",IF(DATE(2026,9,22)=$C35,"◆",""),IF(AND(DATE(2026,9,22)&gt;=$C35,DATE(2026,9,22)&lt;=$D35),IF(DATE(2026,9,22)&lt;$C35+ROUND($E35*($D35-$C35+1),0),"█","░"),""))</f>
        <v/>
      </c>
      <c r="S35" s="27">
        <f>IF($F35="Yes",IF(DATE(2026,9,23)=$C35,"◆",""),IF(AND(DATE(2026,9,23)&gt;=$C35,DATE(2026,9,23)&lt;=$D35),IF(DATE(2026,9,23)&lt;$C35+ROUND($E35*($D35-$C35+1),0),"█","░"),""))</f>
        <v/>
      </c>
      <c r="T35" s="27">
        <f>IF($F35="Yes",IF(DATE(2026,9,24)=$C35,"◆",""),IF(AND(DATE(2026,9,24)&gt;=$C35,DATE(2026,9,24)&lt;=$D35),IF(DATE(2026,9,24)&lt;$C35+ROUND($E35*($D35-$C35+1),0),"█","░"),""))</f>
        <v/>
      </c>
      <c r="U35" s="27">
        <f>IF($F35="Yes",IF(DATE(2026,9,25)=$C35,"◆",""),IF(AND(DATE(2026,9,25)&gt;=$C35,DATE(2026,9,25)&lt;=$D35),IF(DATE(2026,9,25)&lt;$C35+ROUND($E35*($D35-$C35+1),0),"█","░"),""))</f>
        <v/>
      </c>
      <c r="V35" s="28">
        <f>IF($F35="Yes",IF(DATE(2026,9,26)=$C35,"◆",""),IF(AND(DATE(2026,9,26)&gt;=$C35,DATE(2026,9,26)&lt;=$D35),IF(DATE(2026,9,26)&lt;$C35+ROUND($E35*($D35-$C35+1),0),"█","░"),""))</f>
        <v/>
      </c>
      <c r="W35" s="28">
        <f>IF($F35="Yes",IF(DATE(2026,9,27)=$C35,"◆",""),IF(AND(DATE(2026,9,27)&gt;=$C35,DATE(2026,9,27)&lt;=$D35),IF(DATE(2026,9,27)&lt;$C35+ROUND($E35*($D35-$C35+1),0),"█","░"),""))</f>
        <v/>
      </c>
      <c r="X35" s="27">
        <f>IF($F35="Yes",IF(DATE(2026,9,28)=$C35,"◆",""),IF(AND(DATE(2026,9,28)&gt;=$C35,DATE(2026,9,28)&lt;=$D35),IF(DATE(2026,9,28)&lt;$C35+ROUND($E35*($D35-$C35+1),0),"█","░"),""))</f>
        <v/>
      </c>
      <c r="Y35" s="27">
        <f>IF($F35="Yes",IF(DATE(2026,9,29)=$C35,"◆",""),IF(AND(DATE(2026,9,29)&gt;=$C35,DATE(2026,9,29)&lt;=$D35),IF(DATE(2026,9,29)&lt;$C35+ROUND($E35*($D35-$C35+1),0),"█","░"),""))</f>
        <v/>
      </c>
      <c r="Z35" s="27">
        <f>IF($F35="Yes",IF(DATE(2026,9,30)=$C35,"◆",""),IF(AND(DATE(2026,9,30)&gt;=$C35,DATE(2026,9,30)&lt;=$D35),IF(DATE(2026,9,30)&lt;$C35+ROUND($E35*($D35-$C35+1),0),"█","░"),""))</f>
        <v/>
      </c>
      <c r="AA35" s="27">
        <f>IF($F35="Yes",IF(DATE(2026,10,1)=$C35,"◆",""),IF(AND(DATE(2026,10,1)&gt;=$C35,DATE(2026,10,1)&lt;=$D35),IF(DATE(2026,10,1)&lt;$C35+ROUND($E35*($D35-$C35+1),0),"█","░"),""))</f>
        <v/>
      </c>
      <c r="AB35" s="27">
        <f>IF($F35="Yes",IF(DATE(2026,10,2)=$C35,"◆",""),IF(AND(DATE(2026,10,2)&gt;=$C35,DATE(2026,10,2)&lt;=$D35),IF(DATE(2026,10,2)&lt;$C35+ROUND($E35*($D35-$C35+1),0),"█","░"),""))</f>
        <v/>
      </c>
      <c r="AC35" s="28">
        <f>IF($F35="Yes",IF(DATE(2026,10,3)=$C35,"◆",""),IF(AND(DATE(2026,10,3)&gt;=$C35,DATE(2026,10,3)&lt;=$D35),IF(DATE(2026,10,3)&lt;$C35+ROUND($E35*($D35-$C35+1),0),"█","░"),""))</f>
        <v/>
      </c>
      <c r="AD35" s="28">
        <f>IF($F35="Yes",IF(DATE(2026,10,4)=$C35,"◆",""),IF(AND(DATE(2026,10,4)&gt;=$C35,DATE(2026,10,4)&lt;=$D35),IF(DATE(2026,10,4)&lt;$C35+ROUND($E35*($D35-$C35+1),0),"█","░"),""))</f>
        <v/>
      </c>
      <c r="AE35" s="27">
        <f>IF($F35="Yes",IF(DATE(2026,10,5)=$C35,"◆",""),IF(AND(DATE(2026,10,5)&gt;=$C35,DATE(2026,10,5)&lt;=$D35),IF(DATE(2026,10,5)&lt;$C35+ROUND($E35*($D35-$C35+1),0),"█","░"),""))</f>
        <v/>
      </c>
      <c r="AF35" s="27">
        <f>IF($F35="Yes",IF(DATE(2026,10,6)=$C35,"◆",""),IF(AND(DATE(2026,10,6)&gt;=$C35,DATE(2026,10,6)&lt;=$D35),IF(DATE(2026,10,6)&lt;$C35+ROUND($E35*($D35-$C35+1),0),"█","░"),""))</f>
        <v/>
      </c>
      <c r="AG35" s="27">
        <f>IF($F35="Yes",IF(DATE(2026,10,7)=$C35,"◆",""),IF(AND(DATE(2026,10,7)&gt;=$C35,DATE(2026,10,7)&lt;=$D35),IF(DATE(2026,10,7)&lt;$C35+ROUND($E35*($D35-$C35+1),0),"█","░"),""))</f>
        <v/>
      </c>
      <c r="AH35" s="27">
        <f>IF($F35="Yes",IF(DATE(2026,10,8)=$C35,"◆",""),IF(AND(DATE(2026,10,8)&gt;=$C35,DATE(2026,10,8)&lt;=$D35),IF(DATE(2026,10,8)&lt;$C35+ROUND($E35*($D35-$C35+1),0),"█","░"),""))</f>
        <v/>
      </c>
      <c r="AI35" s="27">
        <f>IF($F35="Yes",IF(DATE(2026,10,9)=$C35,"◆",""),IF(AND(DATE(2026,10,9)&gt;=$C35,DATE(2026,10,9)&lt;=$D35),IF(DATE(2026,10,9)&lt;$C35+ROUND($E35*($D35-$C35+1),0),"█","░"),""))</f>
        <v/>
      </c>
      <c r="AJ35" s="28">
        <f>IF($F35="Yes",IF(DATE(2026,10,10)=$C35,"◆",""),IF(AND(DATE(2026,10,10)&gt;=$C35,DATE(2026,10,10)&lt;=$D35),IF(DATE(2026,10,10)&lt;$C35+ROUND($E35*($D35-$C35+1),0),"█","░"),""))</f>
        <v/>
      </c>
      <c r="AK35" s="28">
        <f>IF($F35="Yes",IF(DATE(2026,10,11)=$C35,"◆",""),IF(AND(DATE(2026,10,11)&gt;=$C35,DATE(2026,10,11)&lt;=$D35),IF(DATE(2026,10,11)&lt;$C35+ROUND($E35*($D35-$C35+1),0),"█","░"),""))</f>
        <v/>
      </c>
      <c r="AL35" s="27">
        <f>IF($F35="Yes",IF(DATE(2026,10,12)=$C35,"◆",""),IF(AND(DATE(2026,10,12)&gt;=$C35,DATE(2026,10,12)&lt;=$D35),IF(DATE(2026,10,12)&lt;$C35+ROUND($E35*($D35-$C35+1),0),"█","░"),""))</f>
        <v/>
      </c>
      <c r="AM35" s="27">
        <f>IF($F35="Yes",IF(DATE(2026,10,13)=$C35,"◆",""),IF(AND(DATE(2026,10,13)&gt;=$C35,DATE(2026,10,13)&lt;=$D35),IF(DATE(2026,10,13)&lt;$C35+ROUND($E35*($D35-$C35+1),0),"█","░"),""))</f>
        <v/>
      </c>
      <c r="AN35" s="27">
        <f>IF($F35="Yes",IF(DATE(2026,10,14)=$C35,"◆",""),IF(AND(DATE(2026,10,14)&gt;=$C35,DATE(2026,10,14)&lt;=$D35),IF(DATE(2026,10,14)&lt;$C35+ROUND($E35*($D35-$C35+1),0),"█","░"),""))</f>
        <v/>
      </c>
    </row>
    <row r="36">
      <c r="A36" s="4">
        <f>'Project Tracker'!A35</f>
        <v/>
      </c>
      <c r="B36" s="5">
        <f>'Project Tracker'!C35</f>
        <v/>
      </c>
      <c r="C36" s="7">
        <f>'Project Tracker'!E35</f>
        <v/>
      </c>
      <c r="D36" s="7">
        <f>'Project Tracker'!F35</f>
        <v/>
      </c>
      <c r="E36" s="9">
        <f>'Project Tracker'!N35</f>
        <v/>
      </c>
      <c r="F36" s="4">
        <f>'Project Tracker'!J35</f>
        <v/>
      </c>
      <c r="G36" s="27">
        <f>IF($F36="Yes",IF(DATE(2026,9,11)=$C36,"◆",""),IF(AND(DATE(2026,9,11)&gt;=$C36,DATE(2026,9,11)&lt;=$D36),IF(DATE(2026,9,11)&lt;$C36+ROUND($E36*($D36-$C36+1),0),"█","░"),""))</f>
        <v/>
      </c>
      <c r="H36" s="28">
        <f>IF($F36="Yes",IF(DATE(2026,9,12)=$C36,"◆",""),IF(AND(DATE(2026,9,12)&gt;=$C36,DATE(2026,9,12)&lt;=$D36),IF(DATE(2026,9,12)&lt;$C36+ROUND($E36*($D36-$C36+1),0),"█","░"),""))</f>
        <v/>
      </c>
      <c r="I36" s="28">
        <f>IF($F36="Yes",IF(DATE(2026,9,13)=$C36,"◆",""),IF(AND(DATE(2026,9,13)&gt;=$C36,DATE(2026,9,13)&lt;=$D36),IF(DATE(2026,9,13)&lt;$C36+ROUND($E36*($D36-$C36+1),0),"█","░"),""))</f>
        <v/>
      </c>
      <c r="J36" s="27">
        <f>IF($F36="Yes",IF(DATE(2026,9,14)=$C36,"◆",""),IF(AND(DATE(2026,9,14)&gt;=$C36,DATE(2026,9,14)&lt;=$D36),IF(DATE(2026,9,14)&lt;$C36+ROUND($E36*($D36-$C36+1),0),"█","░"),""))</f>
        <v/>
      </c>
      <c r="K36" s="27">
        <f>IF($F36="Yes",IF(DATE(2026,9,15)=$C36,"◆",""),IF(AND(DATE(2026,9,15)&gt;=$C36,DATE(2026,9,15)&lt;=$D36),IF(DATE(2026,9,15)&lt;$C36+ROUND($E36*($D36-$C36+1),0),"█","░"),""))</f>
        <v/>
      </c>
      <c r="L36" s="27">
        <f>IF($F36="Yes",IF(DATE(2026,9,16)=$C36,"◆",""),IF(AND(DATE(2026,9,16)&gt;=$C36,DATE(2026,9,16)&lt;=$D36),IF(DATE(2026,9,16)&lt;$C36+ROUND($E36*($D36-$C36+1),0),"█","░"),""))</f>
        <v/>
      </c>
      <c r="M36" s="27">
        <f>IF($F36="Yes",IF(DATE(2026,9,17)=$C36,"◆",""),IF(AND(DATE(2026,9,17)&gt;=$C36,DATE(2026,9,17)&lt;=$D36),IF(DATE(2026,9,17)&lt;$C36+ROUND($E36*($D36-$C36+1),0),"█","░"),""))</f>
        <v/>
      </c>
      <c r="N36" s="27">
        <f>IF($F36="Yes",IF(DATE(2026,9,18)=$C36,"◆",""),IF(AND(DATE(2026,9,18)&gt;=$C36,DATE(2026,9,18)&lt;=$D36),IF(DATE(2026,9,18)&lt;$C36+ROUND($E36*($D36-$C36+1),0),"█","░"),""))</f>
        <v/>
      </c>
      <c r="O36" s="28">
        <f>IF($F36="Yes",IF(DATE(2026,9,19)=$C36,"◆",""),IF(AND(DATE(2026,9,19)&gt;=$C36,DATE(2026,9,19)&lt;=$D36),IF(DATE(2026,9,19)&lt;$C36+ROUND($E36*($D36-$C36+1),0),"█","░"),""))</f>
        <v/>
      </c>
      <c r="P36" s="28">
        <f>IF($F36="Yes",IF(DATE(2026,9,20)=$C36,"◆",""),IF(AND(DATE(2026,9,20)&gt;=$C36,DATE(2026,9,20)&lt;=$D36),IF(DATE(2026,9,20)&lt;$C36+ROUND($E36*($D36-$C36+1),0),"█","░"),""))</f>
        <v/>
      </c>
      <c r="Q36" s="27">
        <f>IF($F36="Yes",IF(DATE(2026,9,21)=$C36,"◆",""),IF(AND(DATE(2026,9,21)&gt;=$C36,DATE(2026,9,21)&lt;=$D36),IF(DATE(2026,9,21)&lt;$C36+ROUND($E36*($D36-$C36+1),0),"█","░"),""))</f>
        <v/>
      </c>
      <c r="R36" s="27">
        <f>IF($F36="Yes",IF(DATE(2026,9,22)=$C36,"◆",""),IF(AND(DATE(2026,9,22)&gt;=$C36,DATE(2026,9,22)&lt;=$D36),IF(DATE(2026,9,22)&lt;$C36+ROUND($E36*($D36-$C36+1),0),"█","░"),""))</f>
        <v/>
      </c>
      <c r="S36" s="27">
        <f>IF($F36="Yes",IF(DATE(2026,9,23)=$C36,"◆",""),IF(AND(DATE(2026,9,23)&gt;=$C36,DATE(2026,9,23)&lt;=$D36),IF(DATE(2026,9,23)&lt;$C36+ROUND($E36*($D36-$C36+1),0),"█","░"),""))</f>
        <v/>
      </c>
      <c r="T36" s="27">
        <f>IF($F36="Yes",IF(DATE(2026,9,24)=$C36,"◆",""),IF(AND(DATE(2026,9,24)&gt;=$C36,DATE(2026,9,24)&lt;=$D36),IF(DATE(2026,9,24)&lt;$C36+ROUND($E36*($D36-$C36+1),0),"█","░"),""))</f>
        <v/>
      </c>
      <c r="U36" s="27">
        <f>IF($F36="Yes",IF(DATE(2026,9,25)=$C36,"◆",""),IF(AND(DATE(2026,9,25)&gt;=$C36,DATE(2026,9,25)&lt;=$D36),IF(DATE(2026,9,25)&lt;$C36+ROUND($E36*($D36-$C36+1),0),"█","░"),""))</f>
        <v/>
      </c>
      <c r="V36" s="28">
        <f>IF($F36="Yes",IF(DATE(2026,9,26)=$C36,"◆",""),IF(AND(DATE(2026,9,26)&gt;=$C36,DATE(2026,9,26)&lt;=$D36),IF(DATE(2026,9,26)&lt;$C36+ROUND($E36*($D36-$C36+1),0),"█","░"),""))</f>
        <v/>
      </c>
      <c r="W36" s="28">
        <f>IF($F36="Yes",IF(DATE(2026,9,27)=$C36,"◆",""),IF(AND(DATE(2026,9,27)&gt;=$C36,DATE(2026,9,27)&lt;=$D36),IF(DATE(2026,9,27)&lt;$C36+ROUND($E36*($D36-$C36+1),0),"█","░"),""))</f>
        <v/>
      </c>
      <c r="X36" s="27">
        <f>IF($F36="Yes",IF(DATE(2026,9,28)=$C36,"◆",""),IF(AND(DATE(2026,9,28)&gt;=$C36,DATE(2026,9,28)&lt;=$D36),IF(DATE(2026,9,28)&lt;$C36+ROUND($E36*($D36-$C36+1),0),"█","░"),""))</f>
        <v/>
      </c>
      <c r="Y36" s="27">
        <f>IF($F36="Yes",IF(DATE(2026,9,29)=$C36,"◆",""),IF(AND(DATE(2026,9,29)&gt;=$C36,DATE(2026,9,29)&lt;=$D36),IF(DATE(2026,9,29)&lt;$C36+ROUND($E36*($D36-$C36+1),0),"█","░"),""))</f>
        <v/>
      </c>
      <c r="Z36" s="27">
        <f>IF($F36="Yes",IF(DATE(2026,9,30)=$C36,"◆",""),IF(AND(DATE(2026,9,30)&gt;=$C36,DATE(2026,9,30)&lt;=$D36),IF(DATE(2026,9,30)&lt;$C36+ROUND($E36*($D36-$C36+1),0),"█","░"),""))</f>
        <v/>
      </c>
      <c r="AA36" s="27">
        <f>IF($F36="Yes",IF(DATE(2026,10,1)=$C36,"◆",""),IF(AND(DATE(2026,10,1)&gt;=$C36,DATE(2026,10,1)&lt;=$D36),IF(DATE(2026,10,1)&lt;$C36+ROUND($E36*($D36-$C36+1),0),"█","░"),""))</f>
        <v/>
      </c>
      <c r="AB36" s="27">
        <f>IF($F36="Yes",IF(DATE(2026,10,2)=$C36,"◆",""),IF(AND(DATE(2026,10,2)&gt;=$C36,DATE(2026,10,2)&lt;=$D36),IF(DATE(2026,10,2)&lt;$C36+ROUND($E36*($D36-$C36+1),0),"█","░"),""))</f>
        <v/>
      </c>
      <c r="AC36" s="28">
        <f>IF($F36="Yes",IF(DATE(2026,10,3)=$C36,"◆",""),IF(AND(DATE(2026,10,3)&gt;=$C36,DATE(2026,10,3)&lt;=$D36),IF(DATE(2026,10,3)&lt;$C36+ROUND($E36*($D36-$C36+1),0),"█","░"),""))</f>
        <v/>
      </c>
      <c r="AD36" s="28">
        <f>IF($F36="Yes",IF(DATE(2026,10,4)=$C36,"◆",""),IF(AND(DATE(2026,10,4)&gt;=$C36,DATE(2026,10,4)&lt;=$D36),IF(DATE(2026,10,4)&lt;$C36+ROUND($E36*($D36-$C36+1),0),"█","░"),""))</f>
        <v/>
      </c>
      <c r="AE36" s="27">
        <f>IF($F36="Yes",IF(DATE(2026,10,5)=$C36,"◆",""),IF(AND(DATE(2026,10,5)&gt;=$C36,DATE(2026,10,5)&lt;=$D36),IF(DATE(2026,10,5)&lt;$C36+ROUND($E36*($D36-$C36+1),0),"█","░"),""))</f>
        <v/>
      </c>
      <c r="AF36" s="27">
        <f>IF($F36="Yes",IF(DATE(2026,10,6)=$C36,"◆",""),IF(AND(DATE(2026,10,6)&gt;=$C36,DATE(2026,10,6)&lt;=$D36),IF(DATE(2026,10,6)&lt;$C36+ROUND($E36*($D36-$C36+1),0),"█","░"),""))</f>
        <v/>
      </c>
      <c r="AG36" s="27">
        <f>IF($F36="Yes",IF(DATE(2026,10,7)=$C36,"◆",""),IF(AND(DATE(2026,10,7)&gt;=$C36,DATE(2026,10,7)&lt;=$D36),IF(DATE(2026,10,7)&lt;$C36+ROUND($E36*($D36-$C36+1),0),"█","░"),""))</f>
        <v/>
      </c>
      <c r="AH36" s="27">
        <f>IF($F36="Yes",IF(DATE(2026,10,8)=$C36,"◆",""),IF(AND(DATE(2026,10,8)&gt;=$C36,DATE(2026,10,8)&lt;=$D36),IF(DATE(2026,10,8)&lt;$C36+ROUND($E36*($D36-$C36+1),0),"█","░"),""))</f>
        <v/>
      </c>
      <c r="AI36" s="27">
        <f>IF($F36="Yes",IF(DATE(2026,10,9)=$C36,"◆",""),IF(AND(DATE(2026,10,9)&gt;=$C36,DATE(2026,10,9)&lt;=$D36),IF(DATE(2026,10,9)&lt;$C36+ROUND($E36*($D36-$C36+1),0),"█","░"),""))</f>
        <v/>
      </c>
      <c r="AJ36" s="28">
        <f>IF($F36="Yes",IF(DATE(2026,10,10)=$C36,"◆",""),IF(AND(DATE(2026,10,10)&gt;=$C36,DATE(2026,10,10)&lt;=$D36),IF(DATE(2026,10,10)&lt;$C36+ROUND($E36*($D36-$C36+1),0),"█","░"),""))</f>
        <v/>
      </c>
      <c r="AK36" s="28">
        <f>IF($F36="Yes",IF(DATE(2026,10,11)=$C36,"◆",""),IF(AND(DATE(2026,10,11)&gt;=$C36,DATE(2026,10,11)&lt;=$D36),IF(DATE(2026,10,11)&lt;$C36+ROUND($E36*($D36-$C36+1),0),"█","░"),""))</f>
        <v/>
      </c>
      <c r="AL36" s="27">
        <f>IF($F36="Yes",IF(DATE(2026,10,12)=$C36,"◆",""),IF(AND(DATE(2026,10,12)&gt;=$C36,DATE(2026,10,12)&lt;=$D36),IF(DATE(2026,10,12)&lt;$C36+ROUND($E36*($D36-$C36+1),0),"█","░"),""))</f>
        <v/>
      </c>
      <c r="AM36" s="27">
        <f>IF($F36="Yes",IF(DATE(2026,10,13)=$C36,"◆",""),IF(AND(DATE(2026,10,13)&gt;=$C36,DATE(2026,10,13)&lt;=$D36),IF(DATE(2026,10,13)&lt;$C36+ROUND($E36*($D36-$C36+1),0),"█","░"),""))</f>
        <v/>
      </c>
      <c r="AN36" s="27">
        <f>IF($F36="Yes",IF(DATE(2026,10,14)=$C36,"◆",""),IF(AND(DATE(2026,10,14)&gt;=$C36,DATE(2026,10,14)&lt;=$D36),IF(DATE(2026,10,14)&lt;$C36+ROUND($E36*($D36-$C36+1),0),"█","░"),""))</f>
        <v/>
      </c>
    </row>
    <row r="37">
      <c r="A37" s="4">
        <f>'Project Tracker'!A36</f>
        <v/>
      </c>
      <c r="B37" s="5">
        <f>'Project Tracker'!C36</f>
        <v/>
      </c>
      <c r="C37" s="7">
        <f>'Project Tracker'!E36</f>
        <v/>
      </c>
      <c r="D37" s="7">
        <f>'Project Tracker'!F36</f>
        <v/>
      </c>
      <c r="E37" s="9">
        <f>'Project Tracker'!N36</f>
        <v/>
      </c>
      <c r="F37" s="4">
        <f>'Project Tracker'!J36</f>
        <v/>
      </c>
      <c r="G37" s="27">
        <f>IF($F37="Yes",IF(DATE(2026,9,11)=$C37,"◆",""),IF(AND(DATE(2026,9,11)&gt;=$C37,DATE(2026,9,11)&lt;=$D37),IF(DATE(2026,9,11)&lt;$C37+ROUND($E37*($D37-$C37+1),0),"█","░"),""))</f>
        <v/>
      </c>
      <c r="H37" s="28">
        <f>IF($F37="Yes",IF(DATE(2026,9,12)=$C37,"◆",""),IF(AND(DATE(2026,9,12)&gt;=$C37,DATE(2026,9,12)&lt;=$D37),IF(DATE(2026,9,12)&lt;$C37+ROUND($E37*($D37-$C37+1),0),"█","░"),""))</f>
        <v/>
      </c>
      <c r="I37" s="28">
        <f>IF($F37="Yes",IF(DATE(2026,9,13)=$C37,"◆",""),IF(AND(DATE(2026,9,13)&gt;=$C37,DATE(2026,9,13)&lt;=$D37),IF(DATE(2026,9,13)&lt;$C37+ROUND($E37*($D37-$C37+1),0),"█","░"),""))</f>
        <v/>
      </c>
      <c r="J37" s="27">
        <f>IF($F37="Yes",IF(DATE(2026,9,14)=$C37,"◆",""),IF(AND(DATE(2026,9,14)&gt;=$C37,DATE(2026,9,14)&lt;=$D37),IF(DATE(2026,9,14)&lt;$C37+ROUND($E37*($D37-$C37+1),0),"█","░"),""))</f>
        <v/>
      </c>
      <c r="K37" s="27">
        <f>IF($F37="Yes",IF(DATE(2026,9,15)=$C37,"◆",""),IF(AND(DATE(2026,9,15)&gt;=$C37,DATE(2026,9,15)&lt;=$D37),IF(DATE(2026,9,15)&lt;$C37+ROUND($E37*($D37-$C37+1),0),"█","░"),""))</f>
        <v/>
      </c>
      <c r="L37" s="27">
        <f>IF($F37="Yes",IF(DATE(2026,9,16)=$C37,"◆",""),IF(AND(DATE(2026,9,16)&gt;=$C37,DATE(2026,9,16)&lt;=$D37),IF(DATE(2026,9,16)&lt;$C37+ROUND($E37*($D37-$C37+1),0),"█","░"),""))</f>
        <v/>
      </c>
      <c r="M37" s="27">
        <f>IF($F37="Yes",IF(DATE(2026,9,17)=$C37,"◆",""),IF(AND(DATE(2026,9,17)&gt;=$C37,DATE(2026,9,17)&lt;=$D37),IF(DATE(2026,9,17)&lt;$C37+ROUND($E37*($D37-$C37+1),0),"█","░"),""))</f>
        <v/>
      </c>
      <c r="N37" s="27">
        <f>IF($F37="Yes",IF(DATE(2026,9,18)=$C37,"◆",""),IF(AND(DATE(2026,9,18)&gt;=$C37,DATE(2026,9,18)&lt;=$D37),IF(DATE(2026,9,18)&lt;$C37+ROUND($E37*($D37-$C37+1),0),"█","░"),""))</f>
        <v/>
      </c>
      <c r="O37" s="28">
        <f>IF($F37="Yes",IF(DATE(2026,9,19)=$C37,"◆",""),IF(AND(DATE(2026,9,19)&gt;=$C37,DATE(2026,9,19)&lt;=$D37),IF(DATE(2026,9,19)&lt;$C37+ROUND($E37*($D37-$C37+1),0),"█","░"),""))</f>
        <v/>
      </c>
      <c r="P37" s="28">
        <f>IF($F37="Yes",IF(DATE(2026,9,20)=$C37,"◆",""),IF(AND(DATE(2026,9,20)&gt;=$C37,DATE(2026,9,20)&lt;=$D37),IF(DATE(2026,9,20)&lt;$C37+ROUND($E37*($D37-$C37+1),0),"█","░"),""))</f>
        <v/>
      </c>
      <c r="Q37" s="27">
        <f>IF($F37="Yes",IF(DATE(2026,9,21)=$C37,"◆",""),IF(AND(DATE(2026,9,21)&gt;=$C37,DATE(2026,9,21)&lt;=$D37),IF(DATE(2026,9,21)&lt;$C37+ROUND($E37*($D37-$C37+1),0),"█","░"),""))</f>
        <v/>
      </c>
      <c r="R37" s="27">
        <f>IF($F37="Yes",IF(DATE(2026,9,22)=$C37,"◆",""),IF(AND(DATE(2026,9,22)&gt;=$C37,DATE(2026,9,22)&lt;=$D37),IF(DATE(2026,9,22)&lt;$C37+ROUND($E37*($D37-$C37+1),0),"█","░"),""))</f>
        <v/>
      </c>
      <c r="S37" s="27">
        <f>IF($F37="Yes",IF(DATE(2026,9,23)=$C37,"◆",""),IF(AND(DATE(2026,9,23)&gt;=$C37,DATE(2026,9,23)&lt;=$D37),IF(DATE(2026,9,23)&lt;$C37+ROUND($E37*($D37-$C37+1),0),"█","░"),""))</f>
        <v/>
      </c>
      <c r="T37" s="27">
        <f>IF($F37="Yes",IF(DATE(2026,9,24)=$C37,"◆",""),IF(AND(DATE(2026,9,24)&gt;=$C37,DATE(2026,9,24)&lt;=$D37),IF(DATE(2026,9,24)&lt;$C37+ROUND($E37*($D37-$C37+1),0),"█","░"),""))</f>
        <v/>
      </c>
      <c r="U37" s="27">
        <f>IF($F37="Yes",IF(DATE(2026,9,25)=$C37,"◆",""),IF(AND(DATE(2026,9,25)&gt;=$C37,DATE(2026,9,25)&lt;=$D37),IF(DATE(2026,9,25)&lt;$C37+ROUND($E37*($D37-$C37+1),0),"█","░"),""))</f>
        <v/>
      </c>
      <c r="V37" s="28">
        <f>IF($F37="Yes",IF(DATE(2026,9,26)=$C37,"◆",""),IF(AND(DATE(2026,9,26)&gt;=$C37,DATE(2026,9,26)&lt;=$D37),IF(DATE(2026,9,26)&lt;$C37+ROUND($E37*($D37-$C37+1),0),"█","░"),""))</f>
        <v/>
      </c>
      <c r="W37" s="28">
        <f>IF($F37="Yes",IF(DATE(2026,9,27)=$C37,"◆",""),IF(AND(DATE(2026,9,27)&gt;=$C37,DATE(2026,9,27)&lt;=$D37),IF(DATE(2026,9,27)&lt;$C37+ROUND($E37*($D37-$C37+1),0),"█","░"),""))</f>
        <v/>
      </c>
      <c r="X37" s="27">
        <f>IF($F37="Yes",IF(DATE(2026,9,28)=$C37,"◆",""),IF(AND(DATE(2026,9,28)&gt;=$C37,DATE(2026,9,28)&lt;=$D37),IF(DATE(2026,9,28)&lt;$C37+ROUND($E37*($D37-$C37+1),0),"█","░"),""))</f>
        <v/>
      </c>
      <c r="Y37" s="27">
        <f>IF($F37="Yes",IF(DATE(2026,9,29)=$C37,"◆",""),IF(AND(DATE(2026,9,29)&gt;=$C37,DATE(2026,9,29)&lt;=$D37),IF(DATE(2026,9,29)&lt;$C37+ROUND($E37*($D37-$C37+1),0),"█","░"),""))</f>
        <v/>
      </c>
      <c r="Z37" s="27">
        <f>IF($F37="Yes",IF(DATE(2026,9,30)=$C37,"◆",""),IF(AND(DATE(2026,9,30)&gt;=$C37,DATE(2026,9,30)&lt;=$D37),IF(DATE(2026,9,30)&lt;$C37+ROUND($E37*($D37-$C37+1),0),"█","░"),""))</f>
        <v/>
      </c>
      <c r="AA37" s="27">
        <f>IF($F37="Yes",IF(DATE(2026,10,1)=$C37,"◆",""),IF(AND(DATE(2026,10,1)&gt;=$C37,DATE(2026,10,1)&lt;=$D37),IF(DATE(2026,10,1)&lt;$C37+ROUND($E37*($D37-$C37+1),0),"█","░"),""))</f>
        <v/>
      </c>
      <c r="AB37" s="27">
        <f>IF($F37="Yes",IF(DATE(2026,10,2)=$C37,"◆",""),IF(AND(DATE(2026,10,2)&gt;=$C37,DATE(2026,10,2)&lt;=$D37),IF(DATE(2026,10,2)&lt;$C37+ROUND($E37*($D37-$C37+1),0),"█","░"),""))</f>
        <v/>
      </c>
      <c r="AC37" s="28">
        <f>IF($F37="Yes",IF(DATE(2026,10,3)=$C37,"◆",""),IF(AND(DATE(2026,10,3)&gt;=$C37,DATE(2026,10,3)&lt;=$D37),IF(DATE(2026,10,3)&lt;$C37+ROUND($E37*($D37-$C37+1),0),"█","░"),""))</f>
        <v/>
      </c>
      <c r="AD37" s="28">
        <f>IF($F37="Yes",IF(DATE(2026,10,4)=$C37,"◆",""),IF(AND(DATE(2026,10,4)&gt;=$C37,DATE(2026,10,4)&lt;=$D37),IF(DATE(2026,10,4)&lt;$C37+ROUND($E37*($D37-$C37+1),0),"█","░"),""))</f>
        <v/>
      </c>
      <c r="AE37" s="27">
        <f>IF($F37="Yes",IF(DATE(2026,10,5)=$C37,"◆",""),IF(AND(DATE(2026,10,5)&gt;=$C37,DATE(2026,10,5)&lt;=$D37),IF(DATE(2026,10,5)&lt;$C37+ROUND($E37*($D37-$C37+1),0),"█","░"),""))</f>
        <v/>
      </c>
      <c r="AF37" s="27">
        <f>IF($F37="Yes",IF(DATE(2026,10,6)=$C37,"◆",""),IF(AND(DATE(2026,10,6)&gt;=$C37,DATE(2026,10,6)&lt;=$D37),IF(DATE(2026,10,6)&lt;$C37+ROUND($E37*($D37-$C37+1),0),"█","░"),""))</f>
        <v/>
      </c>
      <c r="AG37" s="27">
        <f>IF($F37="Yes",IF(DATE(2026,10,7)=$C37,"◆",""),IF(AND(DATE(2026,10,7)&gt;=$C37,DATE(2026,10,7)&lt;=$D37),IF(DATE(2026,10,7)&lt;$C37+ROUND($E37*($D37-$C37+1),0),"█","░"),""))</f>
        <v/>
      </c>
      <c r="AH37" s="27">
        <f>IF($F37="Yes",IF(DATE(2026,10,8)=$C37,"◆",""),IF(AND(DATE(2026,10,8)&gt;=$C37,DATE(2026,10,8)&lt;=$D37),IF(DATE(2026,10,8)&lt;$C37+ROUND($E37*($D37-$C37+1),0),"█","░"),""))</f>
        <v/>
      </c>
      <c r="AI37" s="27">
        <f>IF($F37="Yes",IF(DATE(2026,10,9)=$C37,"◆",""),IF(AND(DATE(2026,10,9)&gt;=$C37,DATE(2026,10,9)&lt;=$D37),IF(DATE(2026,10,9)&lt;$C37+ROUND($E37*($D37-$C37+1),0),"█","░"),""))</f>
        <v/>
      </c>
      <c r="AJ37" s="28">
        <f>IF($F37="Yes",IF(DATE(2026,10,10)=$C37,"◆",""),IF(AND(DATE(2026,10,10)&gt;=$C37,DATE(2026,10,10)&lt;=$D37),IF(DATE(2026,10,10)&lt;$C37+ROUND($E37*($D37-$C37+1),0),"█","░"),""))</f>
        <v/>
      </c>
      <c r="AK37" s="28">
        <f>IF($F37="Yes",IF(DATE(2026,10,11)=$C37,"◆",""),IF(AND(DATE(2026,10,11)&gt;=$C37,DATE(2026,10,11)&lt;=$D37),IF(DATE(2026,10,11)&lt;$C37+ROUND($E37*($D37-$C37+1),0),"█","░"),""))</f>
        <v/>
      </c>
      <c r="AL37" s="27">
        <f>IF($F37="Yes",IF(DATE(2026,10,12)=$C37,"◆",""),IF(AND(DATE(2026,10,12)&gt;=$C37,DATE(2026,10,12)&lt;=$D37),IF(DATE(2026,10,12)&lt;$C37+ROUND($E37*($D37-$C37+1),0),"█","░"),""))</f>
        <v/>
      </c>
      <c r="AM37" s="27">
        <f>IF($F37="Yes",IF(DATE(2026,10,13)=$C37,"◆",""),IF(AND(DATE(2026,10,13)&gt;=$C37,DATE(2026,10,13)&lt;=$D37),IF(DATE(2026,10,13)&lt;$C37+ROUND($E37*($D37-$C37+1),0),"█","░"),""))</f>
        <v/>
      </c>
      <c r="AN37" s="27">
        <f>IF($F37="Yes",IF(DATE(2026,10,14)=$C37,"◆",""),IF(AND(DATE(2026,10,14)&gt;=$C37,DATE(2026,10,14)&lt;=$D37),IF(DATE(2026,10,14)&lt;$C37+ROUND($E37*($D37-$C37+1),0),"█","░"),""))</f>
        <v/>
      </c>
    </row>
    <row r="38">
      <c r="A38" s="4">
        <f>'Project Tracker'!A37</f>
        <v/>
      </c>
      <c r="B38" s="5">
        <f>'Project Tracker'!C37</f>
        <v/>
      </c>
      <c r="C38" s="7">
        <f>'Project Tracker'!E37</f>
        <v/>
      </c>
      <c r="D38" s="7">
        <f>'Project Tracker'!F37</f>
        <v/>
      </c>
      <c r="E38" s="9">
        <f>'Project Tracker'!N37</f>
        <v/>
      </c>
      <c r="F38" s="4">
        <f>'Project Tracker'!J37</f>
        <v/>
      </c>
      <c r="G38" s="27">
        <f>IF($F38="Yes",IF(DATE(2026,9,11)=$C38,"◆",""),IF(AND(DATE(2026,9,11)&gt;=$C38,DATE(2026,9,11)&lt;=$D38),IF(DATE(2026,9,11)&lt;$C38+ROUND($E38*($D38-$C38+1),0),"█","░"),""))</f>
        <v/>
      </c>
      <c r="H38" s="28">
        <f>IF($F38="Yes",IF(DATE(2026,9,12)=$C38,"◆",""),IF(AND(DATE(2026,9,12)&gt;=$C38,DATE(2026,9,12)&lt;=$D38),IF(DATE(2026,9,12)&lt;$C38+ROUND($E38*($D38-$C38+1),0),"█","░"),""))</f>
        <v/>
      </c>
      <c r="I38" s="28">
        <f>IF($F38="Yes",IF(DATE(2026,9,13)=$C38,"◆",""),IF(AND(DATE(2026,9,13)&gt;=$C38,DATE(2026,9,13)&lt;=$D38),IF(DATE(2026,9,13)&lt;$C38+ROUND($E38*($D38-$C38+1),0),"█","░"),""))</f>
        <v/>
      </c>
      <c r="J38" s="27">
        <f>IF($F38="Yes",IF(DATE(2026,9,14)=$C38,"◆",""),IF(AND(DATE(2026,9,14)&gt;=$C38,DATE(2026,9,14)&lt;=$D38),IF(DATE(2026,9,14)&lt;$C38+ROUND($E38*($D38-$C38+1),0),"█","░"),""))</f>
        <v/>
      </c>
      <c r="K38" s="27">
        <f>IF($F38="Yes",IF(DATE(2026,9,15)=$C38,"◆",""),IF(AND(DATE(2026,9,15)&gt;=$C38,DATE(2026,9,15)&lt;=$D38),IF(DATE(2026,9,15)&lt;$C38+ROUND($E38*($D38-$C38+1),0),"█","░"),""))</f>
        <v/>
      </c>
      <c r="L38" s="27">
        <f>IF($F38="Yes",IF(DATE(2026,9,16)=$C38,"◆",""),IF(AND(DATE(2026,9,16)&gt;=$C38,DATE(2026,9,16)&lt;=$D38),IF(DATE(2026,9,16)&lt;$C38+ROUND($E38*($D38-$C38+1),0),"█","░"),""))</f>
        <v/>
      </c>
      <c r="M38" s="27">
        <f>IF($F38="Yes",IF(DATE(2026,9,17)=$C38,"◆",""),IF(AND(DATE(2026,9,17)&gt;=$C38,DATE(2026,9,17)&lt;=$D38),IF(DATE(2026,9,17)&lt;$C38+ROUND($E38*($D38-$C38+1),0),"█","░"),""))</f>
        <v/>
      </c>
      <c r="N38" s="27">
        <f>IF($F38="Yes",IF(DATE(2026,9,18)=$C38,"◆",""),IF(AND(DATE(2026,9,18)&gt;=$C38,DATE(2026,9,18)&lt;=$D38),IF(DATE(2026,9,18)&lt;$C38+ROUND($E38*($D38-$C38+1),0),"█","░"),""))</f>
        <v/>
      </c>
      <c r="O38" s="28">
        <f>IF($F38="Yes",IF(DATE(2026,9,19)=$C38,"◆",""),IF(AND(DATE(2026,9,19)&gt;=$C38,DATE(2026,9,19)&lt;=$D38),IF(DATE(2026,9,19)&lt;$C38+ROUND($E38*($D38-$C38+1),0),"█","░"),""))</f>
        <v/>
      </c>
      <c r="P38" s="28">
        <f>IF($F38="Yes",IF(DATE(2026,9,20)=$C38,"◆",""),IF(AND(DATE(2026,9,20)&gt;=$C38,DATE(2026,9,20)&lt;=$D38),IF(DATE(2026,9,20)&lt;$C38+ROUND($E38*($D38-$C38+1),0),"█","░"),""))</f>
        <v/>
      </c>
      <c r="Q38" s="27">
        <f>IF($F38="Yes",IF(DATE(2026,9,21)=$C38,"◆",""),IF(AND(DATE(2026,9,21)&gt;=$C38,DATE(2026,9,21)&lt;=$D38),IF(DATE(2026,9,21)&lt;$C38+ROUND($E38*($D38-$C38+1),0),"█","░"),""))</f>
        <v/>
      </c>
      <c r="R38" s="27">
        <f>IF($F38="Yes",IF(DATE(2026,9,22)=$C38,"◆",""),IF(AND(DATE(2026,9,22)&gt;=$C38,DATE(2026,9,22)&lt;=$D38),IF(DATE(2026,9,22)&lt;$C38+ROUND($E38*($D38-$C38+1),0),"█","░"),""))</f>
        <v/>
      </c>
      <c r="S38" s="27">
        <f>IF($F38="Yes",IF(DATE(2026,9,23)=$C38,"◆",""),IF(AND(DATE(2026,9,23)&gt;=$C38,DATE(2026,9,23)&lt;=$D38),IF(DATE(2026,9,23)&lt;$C38+ROUND($E38*($D38-$C38+1),0),"█","░"),""))</f>
        <v/>
      </c>
      <c r="T38" s="27">
        <f>IF($F38="Yes",IF(DATE(2026,9,24)=$C38,"◆",""),IF(AND(DATE(2026,9,24)&gt;=$C38,DATE(2026,9,24)&lt;=$D38),IF(DATE(2026,9,24)&lt;$C38+ROUND($E38*($D38-$C38+1),0),"█","░"),""))</f>
        <v/>
      </c>
      <c r="U38" s="27">
        <f>IF($F38="Yes",IF(DATE(2026,9,25)=$C38,"◆",""),IF(AND(DATE(2026,9,25)&gt;=$C38,DATE(2026,9,25)&lt;=$D38),IF(DATE(2026,9,25)&lt;$C38+ROUND($E38*($D38-$C38+1),0),"█","░"),""))</f>
        <v/>
      </c>
      <c r="V38" s="28">
        <f>IF($F38="Yes",IF(DATE(2026,9,26)=$C38,"◆",""),IF(AND(DATE(2026,9,26)&gt;=$C38,DATE(2026,9,26)&lt;=$D38),IF(DATE(2026,9,26)&lt;$C38+ROUND($E38*($D38-$C38+1),0),"█","░"),""))</f>
        <v/>
      </c>
      <c r="W38" s="28">
        <f>IF($F38="Yes",IF(DATE(2026,9,27)=$C38,"◆",""),IF(AND(DATE(2026,9,27)&gt;=$C38,DATE(2026,9,27)&lt;=$D38),IF(DATE(2026,9,27)&lt;$C38+ROUND($E38*($D38-$C38+1),0),"█","░"),""))</f>
        <v/>
      </c>
      <c r="X38" s="27">
        <f>IF($F38="Yes",IF(DATE(2026,9,28)=$C38,"◆",""),IF(AND(DATE(2026,9,28)&gt;=$C38,DATE(2026,9,28)&lt;=$D38),IF(DATE(2026,9,28)&lt;$C38+ROUND($E38*($D38-$C38+1),0),"█","░"),""))</f>
        <v/>
      </c>
      <c r="Y38" s="27">
        <f>IF($F38="Yes",IF(DATE(2026,9,29)=$C38,"◆",""),IF(AND(DATE(2026,9,29)&gt;=$C38,DATE(2026,9,29)&lt;=$D38),IF(DATE(2026,9,29)&lt;$C38+ROUND($E38*($D38-$C38+1),0),"█","░"),""))</f>
        <v/>
      </c>
      <c r="Z38" s="27">
        <f>IF($F38="Yes",IF(DATE(2026,9,30)=$C38,"◆",""),IF(AND(DATE(2026,9,30)&gt;=$C38,DATE(2026,9,30)&lt;=$D38),IF(DATE(2026,9,30)&lt;$C38+ROUND($E38*($D38-$C38+1),0),"█","░"),""))</f>
        <v/>
      </c>
      <c r="AA38" s="27">
        <f>IF($F38="Yes",IF(DATE(2026,10,1)=$C38,"◆",""),IF(AND(DATE(2026,10,1)&gt;=$C38,DATE(2026,10,1)&lt;=$D38),IF(DATE(2026,10,1)&lt;$C38+ROUND($E38*($D38-$C38+1),0),"█","░"),""))</f>
        <v/>
      </c>
      <c r="AB38" s="27">
        <f>IF($F38="Yes",IF(DATE(2026,10,2)=$C38,"◆",""),IF(AND(DATE(2026,10,2)&gt;=$C38,DATE(2026,10,2)&lt;=$D38),IF(DATE(2026,10,2)&lt;$C38+ROUND($E38*($D38-$C38+1),0),"█","░"),""))</f>
        <v/>
      </c>
      <c r="AC38" s="28">
        <f>IF($F38="Yes",IF(DATE(2026,10,3)=$C38,"◆",""),IF(AND(DATE(2026,10,3)&gt;=$C38,DATE(2026,10,3)&lt;=$D38),IF(DATE(2026,10,3)&lt;$C38+ROUND($E38*($D38-$C38+1),0),"█","░"),""))</f>
        <v/>
      </c>
      <c r="AD38" s="28">
        <f>IF($F38="Yes",IF(DATE(2026,10,4)=$C38,"◆",""),IF(AND(DATE(2026,10,4)&gt;=$C38,DATE(2026,10,4)&lt;=$D38),IF(DATE(2026,10,4)&lt;$C38+ROUND($E38*($D38-$C38+1),0),"█","░"),""))</f>
        <v/>
      </c>
      <c r="AE38" s="27">
        <f>IF($F38="Yes",IF(DATE(2026,10,5)=$C38,"◆",""),IF(AND(DATE(2026,10,5)&gt;=$C38,DATE(2026,10,5)&lt;=$D38),IF(DATE(2026,10,5)&lt;$C38+ROUND($E38*($D38-$C38+1),0),"█","░"),""))</f>
        <v/>
      </c>
      <c r="AF38" s="27">
        <f>IF($F38="Yes",IF(DATE(2026,10,6)=$C38,"◆",""),IF(AND(DATE(2026,10,6)&gt;=$C38,DATE(2026,10,6)&lt;=$D38),IF(DATE(2026,10,6)&lt;$C38+ROUND($E38*($D38-$C38+1),0),"█","░"),""))</f>
        <v/>
      </c>
      <c r="AG38" s="27">
        <f>IF($F38="Yes",IF(DATE(2026,10,7)=$C38,"◆",""),IF(AND(DATE(2026,10,7)&gt;=$C38,DATE(2026,10,7)&lt;=$D38),IF(DATE(2026,10,7)&lt;$C38+ROUND($E38*($D38-$C38+1),0),"█","░"),""))</f>
        <v/>
      </c>
      <c r="AH38" s="27">
        <f>IF($F38="Yes",IF(DATE(2026,10,8)=$C38,"◆",""),IF(AND(DATE(2026,10,8)&gt;=$C38,DATE(2026,10,8)&lt;=$D38),IF(DATE(2026,10,8)&lt;$C38+ROUND($E38*($D38-$C38+1),0),"█","░"),""))</f>
        <v/>
      </c>
      <c r="AI38" s="27">
        <f>IF($F38="Yes",IF(DATE(2026,10,9)=$C38,"◆",""),IF(AND(DATE(2026,10,9)&gt;=$C38,DATE(2026,10,9)&lt;=$D38),IF(DATE(2026,10,9)&lt;$C38+ROUND($E38*($D38-$C38+1),0),"█","░"),""))</f>
        <v/>
      </c>
      <c r="AJ38" s="28">
        <f>IF($F38="Yes",IF(DATE(2026,10,10)=$C38,"◆",""),IF(AND(DATE(2026,10,10)&gt;=$C38,DATE(2026,10,10)&lt;=$D38),IF(DATE(2026,10,10)&lt;$C38+ROUND($E38*($D38-$C38+1),0),"█","░"),""))</f>
        <v/>
      </c>
      <c r="AK38" s="28">
        <f>IF($F38="Yes",IF(DATE(2026,10,11)=$C38,"◆",""),IF(AND(DATE(2026,10,11)&gt;=$C38,DATE(2026,10,11)&lt;=$D38),IF(DATE(2026,10,11)&lt;$C38+ROUND($E38*($D38-$C38+1),0),"█","░"),""))</f>
        <v/>
      </c>
      <c r="AL38" s="27">
        <f>IF($F38="Yes",IF(DATE(2026,10,12)=$C38,"◆",""),IF(AND(DATE(2026,10,12)&gt;=$C38,DATE(2026,10,12)&lt;=$D38),IF(DATE(2026,10,12)&lt;$C38+ROUND($E38*($D38-$C38+1),0),"█","░"),""))</f>
        <v/>
      </c>
      <c r="AM38" s="27">
        <f>IF($F38="Yes",IF(DATE(2026,10,13)=$C38,"◆",""),IF(AND(DATE(2026,10,13)&gt;=$C38,DATE(2026,10,13)&lt;=$D38),IF(DATE(2026,10,13)&lt;$C38+ROUND($E38*($D38-$C38+1),0),"█","░"),""))</f>
        <v/>
      </c>
      <c r="AN38" s="27">
        <f>IF($F38="Yes",IF(DATE(2026,10,14)=$C38,"◆",""),IF(AND(DATE(2026,10,14)&gt;=$C38,DATE(2026,10,14)&lt;=$D38),IF(DATE(2026,10,14)&lt;$C38+ROUND($E38*($D38-$C38+1),0),"█","░"),""))</f>
        <v/>
      </c>
    </row>
    <row r="39">
      <c r="A39" s="4">
        <f>'Project Tracker'!A38</f>
        <v/>
      </c>
      <c r="B39" s="5">
        <f>'Project Tracker'!C38</f>
        <v/>
      </c>
      <c r="C39" s="7">
        <f>'Project Tracker'!E38</f>
        <v/>
      </c>
      <c r="D39" s="7">
        <f>'Project Tracker'!F38</f>
        <v/>
      </c>
      <c r="E39" s="9">
        <f>'Project Tracker'!N38</f>
        <v/>
      </c>
      <c r="F39" s="4">
        <f>'Project Tracker'!J38</f>
        <v/>
      </c>
      <c r="G39" s="27">
        <f>IF($F39="Yes",IF(DATE(2026,9,11)=$C39,"◆",""),IF(AND(DATE(2026,9,11)&gt;=$C39,DATE(2026,9,11)&lt;=$D39),IF(DATE(2026,9,11)&lt;$C39+ROUND($E39*($D39-$C39+1),0),"█","░"),""))</f>
        <v/>
      </c>
      <c r="H39" s="28">
        <f>IF($F39="Yes",IF(DATE(2026,9,12)=$C39,"◆",""),IF(AND(DATE(2026,9,12)&gt;=$C39,DATE(2026,9,12)&lt;=$D39),IF(DATE(2026,9,12)&lt;$C39+ROUND($E39*($D39-$C39+1),0),"█","░"),""))</f>
        <v/>
      </c>
      <c r="I39" s="28">
        <f>IF($F39="Yes",IF(DATE(2026,9,13)=$C39,"◆",""),IF(AND(DATE(2026,9,13)&gt;=$C39,DATE(2026,9,13)&lt;=$D39),IF(DATE(2026,9,13)&lt;$C39+ROUND($E39*($D39-$C39+1),0),"█","░"),""))</f>
        <v/>
      </c>
      <c r="J39" s="27">
        <f>IF($F39="Yes",IF(DATE(2026,9,14)=$C39,"◆",""),IF(AND(DATE(2026,9,14)&gt;=$C39,DATE(2026,9,14)&lt;=$D39),IF(DATE(2026,9,14)&lt;$C39+ROUND($E39*($D39-$C39+1),0),"█","░"),""))</f>
        <v/>
      </c>
      <c r="K39" s="27">
        <f>IF($F39="Yes",IF(DATE(2026,9,15)=$C39,"◆",""),IF(AND(DATE(2026,9,15)&gt;=$C39,DATE(2026,9,15)&lt;=$D39),IF(DATE(2026,9,15)&lt;$C39+ROUND($E39*($D39-$C39+1),0),"█","░"),""))</f>
        <v/>
      </c>
      <c r="L39" s="27">
        <f>IF($F39="Yes",IF(DATE(2026,9,16)=$C39,"◆",""),IF(AND(DATE(2026,9,16)&gt;=$C39,DATE(2026,9,16)&lt;=$D39),IF(DATE(2026,9,16)&lt;$C39+ROUND($E39*($D39-$C39+1),0),"█","░"),""))</f>
        <v/>
      </c>
      <c r="M39" s="27">
        <f>IF($F39="Yes",IF(DATE(2026,9,17)=$C39,"◆",""),IF(AND(DATE(2026,9,17)&gt;=$C39,DATE(2026,9,17)&lt;=$D39),IF(DATE(2026,9,17)&lt;$C39+ROUND($E39*($D39-$C39+1),0),"█","░"),""))</f>
        <v/>
      </c>
      <c r="N39" s="27">
        <f>IF($F39="Yes",IF(DATE(2026,9,18)=$C39,"◆",""),IF(AND(DATE(2026,9,18)&gt;=$C39,DATE(2026,9,18)&lt;=$D39),IF(DATE(2026,9,18)&lt;$C39+ROUND($E39*($D39-$C39+1),0),"█","░"),""))</f>
        <v/>
      </c>
      <c r="O39" s="28">
        <f>IF($F39="Yes",IF(DATE(2026,9,19)=$C39,"◆",""),IF(AND(DATE(2026,9,19)&gt;=$C39,DATE(2026,9,19)&lt;=$D39),IF(DATE(2026,9,19)&lt;$C39+ROUND($E39*($D39-$C39+1),0),"█","░"),""))</f>
        <v/>
      </c>
      <c r="P39" s="28">
        <f>IF($F39="Yes",IF(DATE(2026,9,20)=$C39,"◆",""),IF(AND(DATE(2026,9,20)&gt;=$C39,DATE(2026,9,20)&lt;=$D39),IF(DATE(2026,9,20)&lt;$C39+ROUND($E39*($D39-$C39+1),0),"█","░"),""))</f>
        <v/>
      </c>
      <c r="Q39" s="27">
        <f>IF($F39="Yes",IF(DATE(2026,9,21)=$C39,"◆",""),IF(AND(DATE(2026,9,21)&gt;=$C39,DATE(2026,9,21)&lt;=$D39),IF(DATE(2026,9,21)&lt;$C39+ROUND($E39*($D39-$C39+1),0),"█","░"),""))</f>
        <v/>
      </c>
      <c r="R39" s="27">
        <f>IF($F39="Yes",IF(DATE(2026,9,22)=$C39,"◆",""),IF(AND(DATE(2026,9,22)&gt;=$C39,DATE(2026,9,22)&lt;=$D39),IF(DATE(2026,9,22)&lt;$C39+ROUND($E39*($D39-$C39+1),0),"█","░"),""))</f>
        <v/>
      </c>
      <c r="S39" s="27">
        <f>IF($F39="Yes",IF(DATE(2026,9,23)=$C39,"◆",""),IF(AND(DATE(2026,9,23)&gt;=$C39,DATE(2026,9,23)&lt;=$D39),IF(DATE(2026,9,23)&lt;$C39+ROUND($E39*($D39-$C39+1),0),"█","░"),""))</f>
        <v/>
      </c>
      <c r="T39" s="27">
        <f>IF($F39="Yes",IF(DATE(2026,9,24)=$C39,"◆",""),IF(AND(DATE(2026,9,24)&gt;=$C39,DATE(2026,9,24)&lt;=$D39),IF(DATE(2026,9,24)&lt;$C39+ROUND($E39*($D39-$C39+1),0),"█","░"),""))</f>
        <v/>
      </c>
      <c r="U39" s="27">
        <f>IF($F39="Yes",IF(DATE(2026,9,25)=$C39,"◆",""),IF(AND(DATE(2026,9,25)&gt;=$C39,DATE(2026,9,25)&lt;=$D39),IF(DATE(2026,9,25)&lt;$C39+ROUND($E39*($D39-$C39+1),0),"█","░"),""))</f>
        <v/>
      </c>
      <c r="V39" s="28">
        <f>IF($F39="Yes",IF(DATE(2026,9,26)=$C39,"◆",""),IF(AND(DATE(2026,9,26)&gt;=$C39,DATE(2026,9,26)&lt;=$D39),IF(DATE(2026,9,26)&lt;$C39+ROUND($E39*($D39-$C39+1),0),"█","░"),""))</f>
        <v/>
      </c>
      <c r="W39" s="28">
        <f>IF($F39="Yes",IF(DATE(2026,9,27)=$C39,"◆",""),IF(AND(DATE(2026,9,27)&gt;=$C39,DATE(2026,9,27)&lt;=$D39),IF(DATE(2026,9,27)&lt;$C39+ROUND($E39*($D39-$C39+1),0),"█","░"),""))</f>
        <v/>
      </c>
      <c r="X39" s="27">
        <f>IF($F39="Yes",IF(DATE(2026,9,28)=$C39,"◆",""),IF(AND(DATE(2026,9,28)&gt;=$C39,DATE(2026,9,28)&lt;=$D39),IF(DATE(2026,9,28)&lt;$C39+ROUND($E39*($D39-$C39+1),0),"█","░"),""))</f>
        <v/>
      </c>
      <c r="Y39" s="27">
        <f>IF($F39="Yes",IF(DATE(2026,9,29)=$C39,"◆",""),IF(AND(DATE(2026,9,29)&gt;=$C39,DATE(2026,9,29)&lt;=$D39),IF(DATE(2026,9,29)&lt;$C39+ROUND($E39*($D39-$C39+1),0),"█","░"),""))</f>
        <v/>
      </c>
      <c r="Z39" s="27">
        <f>IF($F39="Yes",IF(DATE(2026,9,30)=$C39,"◆",""),IF(AND(DATE(2026,9,30)&gt;=$C39,DATE(2026,9,30)&lt;=$D39),IF(DATE(2026,9,30)&lt;$C39+ROUND($E39*($D39-$C39+1),0),"█","░"),""))</f>
        <v/>
      </c>
      <c r="AA39" s="27">
        <f>IF($F39="Yes",IF(DATE(2026,10,1)=$C39,"◆",""),IF(AND(DATE(2026,10,1)&gt;=$C39,DATE(2026,10,1)&lt;=$D39),IF(DATE(2026,10,1)&lt;$C39+ROUND($E39*($D39-$C39+1),0),"█","░"),""))</f>
        <v/>
      </c>
      <c r="AB39" s="27">
        <f>IF($F39="Yes",IF(DATE(2026,10,2)=$C39,"◆",""),IF(AND(DATE(2026,10,2)&gt;=$C39,DATE(2026,10,2)&lt;=$D39),IF(DATE(2026,10,2)&lt;$C39+ROUND($E39*($D39-$C39+1),0),"█","░"),""))</f>
        <v/>
      </c>
      <c r="AC39" s="28">
        <f>IF($F39="Yes",IF(DATE(2026,10,3)=$C39,"◆",""),IF(AND(DATE(2026,10,3)&gt;=$C39,DATE(2026,10,3)&lt;=$D39),IF(DATE(2026,10,3)&lt;$C39+ROUND($E39*($D39-$C39+1),0),"█","░"),""))</f>
        <v/>
      </c>
      <c r="AD39" s="28">
        <f>IF($F39="Yes",IF(DATE(2026,10,4)=$C39,"◆",""),IF(AND(DATE(2026,10,4)&gt;=$C39,DATE(2026,10,4)&lt;=$D39),IF(DATE(2026,10,4)&lt;$C39+ROUND($E39*($D39-$C39+1),0),"█","░"),""))</f>
        <v/>
      </c>
      <c r="AE39" s="27">
        <f>IF($F39="Yes",IF(DATE(2026,10,5)=$C39,"◆",""),IF(AND(DATE(2026,10,5)&gt;=$C39,DATE(2026,10,5)&lt;=$D39),IF(DATE(2026,10,5)&lt;$C39+ROUND($E39*($D39-$C39+1),0),"█","░"),""))</f>
        <v/>
      </c>
      <c r="AF39" s="27">
        <f>IF($F39="Yes",IF(DATE(2026,10,6)=$C39,"◆",""),IF(AND(DATE(2026,10,6)&gt;=$C39,DATE(2026,10,6)&lt;=$D39),IF(DATE(2026,10,6)&lt;$C39+ROUND($E39*($D39-$C39+1),0),"█","░"),""))</f>
        <v/>
      </c>
      <c r="AG39" s="27">
        <f>IF($F39="Yes",IF(DATE(2026,10,7)=$C39,"◆",""),IF(AND(DATE(2026,10,7)&gt;=$C39,DATE(2026,10,7)&lt;=$D39),IF(DATE(2026,10,7)&lt;$C39+ROUND($E39*($D39-$C39+1),0),"█","░"),""))</f>
        <v/>
      </c>
      <c r="AH39" s="27">
        <f>IF($F39="Yes",IF(DATE(2026,10,8)=$C39,"◆",""),IF(AND(DATE(2026,10,8)&gt;=$C39,DATE(2026,10,8)&lt;=$D39),IF(DATE(2026,10,8)&lt;$C39+ROUND($E39*($D39-$C39+1),0),"█","░"),""))</f>
        <v/>
      </c>
      <c r="AI39" s="27">
        <f>IF($F39="Yes",IF(DATE(2026,10,9)=$C39,"◆",""),IF(AND(DATE(2026,10,9)&gt;=$C39,DATE(2026,10,9)&lt;=$D39),IF(DATE(2026,10,9)&lt;$C39+ROUND($E39*($D39-$C39+1),0),"█","░"),""))</f>
        <v/>
      </c>
      <c r="AJ39" s="28">
        <f>IF($F39="Yes",IF(DATE(2026,10,10)=$C39,"◆",""),IF(AND(DATE(2026,10,10)&gt;=$C39,DATE(2026,10,10)&lt;=$D39),IF(DATE(2026,10,10)&lt;$C39+ROUND($E39*($D39-$C39+1),0),"█","░"),""))</f>
        <v/>
      </c>
      <c r="AK39" s="28">
        <f>IF($F39="Yes",IF(DATE(2026,10,11)=$C39,"◆",""),IF(AND(DATE(2026,10,11)&gt;=$C39,DATE(2026,10,11)&lt;=$D39),IF(DATE(2026,10,11)&lt;$C39+ROUND($E39*($D39-$C39+1),0),"█","░"),""))</f>
        <v/>
      </c>
      <c r="AL39" s="27">
        <f>IF($F39="Yes",IF(DATE(2026,10,12)=$C39,"◆",""),IF(AND(DATE(2026,10,12)&gt;=$C39,DATE(2026,10,12)&lt;=$D39),IF(DATE(2026,10,12)&lt;$C39+ROUND($E39*($D39-$C39+1),0),"█","░"),""))</f>
        <v/>
      </c>
      <c r="AM39" s="27">
        <f>IF($F39="Yes",IF(DATE(2026,10,13)=$C39,"◆",""),IF(AND(DATE(2026,10,13)&gt;=$C39,DATE(2026,10,13)&lt;=$D39),IF(DATE(2026,10,13)&lt;$C39+ROUND($E39*($D39-$C39+1),0),"█","░"),""))</f>
        <v/>
      </c>
      <c r="AN39" s="27">
        <f>IF($F39="Yes",IF(DATE(2026,10,14)=$C39,"◆",""),IF(AND(DATE(2026,10,14)&gt;=$C39,DATE(2026,10,14)&lt;=$D39),IF(DATE(2026,10,14)&lt;$C39+ROUND($E39*($D39-$C39+1),0),"█","░"),""))</f>
        <v/>
      </c>
    </row>
    <row r="40">
      <c r="A40" s="4">
        <f>'Project Tracker'!A39</f>
        <v/>
      </c>
      <c r="B40" s="5">
        <f>'Project Tracker'!C39</f>
        <v/>
      </c>
      <c r="C40" s="7">
        <f>'Project Tracker'!E39</f>
        <v/>
      </c>
      <c r="D40" s="7">
        <f>'Project Tracker'!F39</f>
        <v/>
      </c>
      <c r="E40" s="9">
        <f>'Project Tracker'!N39</f>
        <v/>
      </c>
      <c r="F40" s="4">
        <f>'Project Tracker'!J39</f>
        <v/>
      </c>
      <c r="G40" s="27">
        <f>IF($F40="Yes",IF(DATE(2026,9,11)=$C40,"◆",""),IF(AND(DATE(2026,9,11)&gt;=$C40,DATE(2026,9,11)&lt;=$D40),IF(DATE(2026,9,11)&lt;$C40+ROUND($E40*($D40-$C40+1),0),"█","░"),""))</f>
        <v/>
      </c>
      <c r="H40" s="28">
        <f>IF($F40="Yes",IF(DATE(2026,9,12)=$C40,"◆",""),IF(AND(DATE(2026,9,12)&gt;=$C40,DATE(2026,9,12)&lt;=$D40),IF(DATE(2026,9,12)&lt;$C40+ROUND($E40*($D40-$C40+1),0),"█","░"),""))</f>
        <v/>
      </c>
      <c r="I40" s="28">
        <f>IF($F40="Yes",IF(DATE(2026,9,13)=$C40,"◆",""),IF(AND(DATE(2026,9,13)&gt;=$C40,DATE(2026,9,13)&lt;=$D40),IF(DATE(2026,9,13)&lt;$C40+ROUND($E40*($D40-$C40+1),0),"█","░"),""))</f>
        <v/>
      </c>
      <c r="J40" s="27">
        <f>IF($F40="Yes",IF(DATE(2026,9,14)=$C40,"◆",""),IF(AND(DATE(2026,9,14)&gt;=$C40,DATE(2026,9,14)&lt;=$D40),IF(DATE(2026,9,14)&lt;$C40+ROUND($E40*($D40-$C40+1),0),"█","░"),""))</f>
        <v/>
      </c>
      <c r="K40" s="27">
        <f>IF($F40="Yes",IF(DATE(2026,9,15)=$C40,"◆",""),IF(AND(DATE(2026,9,15)&gt;=$C40,DATE(2026,9,15)&lt;=$D40),IF(DATE(2026,9,15)&lt;$C40+ROUND($E40*($D40-$C40+1),0),"█","░"),""))</f>
        <v/>
      </c>
      <c r="L40" s="27">
        <f>IF($F40="Yes",IF(DATE(2026,9,16)=$C40,"◆",""),IF(AND(DATE(2026,9,16)&gt;=$C40,DATE(2026,9,16)&lt;=$D40),IF(DATE(2026,9,16)&lt;$C40+ROUND($E40*($D40-$C40+1),0),"█","░"),""))</f>
        <v/>
      </c>
      <c r="M40" s="27">
        <f>IF($F40="Yes",IF(DATE(2026,9,17)=$C40,"◆",""),IF(AND(DATE(2026,9,17)&gt;=$C40,DATE(2026,9,17)&lt;=$D40),IF(DATE(2026,9,17)&lt;$C40+ROUND($E40*($D40-$C40+1),0),"█","░"),""))</f>
        <v/>
      </c>
      <c r="N40" s="27">
        <f>IF($F40="Yes",IF(DATE(2026,9,18)=$C40,"◆",""),IF(AND(DATE(2026,9,18)&gt;=$C40,DATE(2026,9,18)&lt;=$D40),IF(DATE(2026,9,18)&lt;$C40+ROUND($E40*($D40-$C40+1),0),"█","░"),""))</f>
        <v/>
      </c>
      <c r="O40" s="28">
        <f>IF($F40="Yes",IF(DATE(2026,9,19)=$C40,"◆",""),IF(AND(DATE(2026,9,19)&gt;=$C40,DATE(2026,9,19)&lt;=$D40),IF(DATE(2026,9,19)&lt;$C40+ROUND($E40*($D40-$C40+1),0),"█","░"),""))</f>
        <v/>
      </c>
      <c r="P40" s="28">
        <f>IF($F40="Yes",IF(DATE(2026,9,20)=$C40,"◆",""),IF(AND(DATE(2026,9,20)&gt;=$C40,DATE(2026,9,20)&lt;=$D40),IF(DATE(2026,9,20)&lt;$C40+ROUND($E40*($D40-$C40+1),0),"█","░"),""))</f>
        <v/>
      </c>
      <c r="Q40" s="27">
        <f>IF($F40="Yes",IF(DATE(2026,9,21)=$C40,"◆",""),IF(AND(DATE(2026,9,21)&gt;=$C40,DATE(2026,9,21)&lt;=$D40),IF(DATE(2026,9,21)&lt;$C40+ROUND($E40*($D40-$C40+1),0),"█","░"),""))</f>
        <v/>
      </c>
      <c r="R40" s="27">
        <f>IF($F40="Yes",IF(DATE(2026,9,22)=$C40,"◆",""),IF(AND(DATE(2026,9,22)&gt;=$C40,DATE(2026,9,22)&lt;=$D40),IF(DATE(2026,9,22)&lt;$C40+ROUND($E40*($D40-$C40+1),0),"█","░"),""))</f>
        <v/>
      </c>
      <c r="S40" s="27">
        <f>IF($F40="Yes",IF(DATE(2026,9,23)=$C40,"◆",""),IF(AND(DATE(2026,9,23)&gt;=$C40,DATE(2026,9,23)&lt;=$D40),IF(DATE(2026,9,23)&lt;$C40+ROUND($E40*($D40-$C40+1),0),"█","░"),""))</f>
        <v/>
      </c>
      <c r="T40" s="27">
        <f>IF($F40="Yes",IF(DATE(2026,9,24)=$C40,"◆",""),IF(AND(DATE(2026,9,24)&gt;=$C40,DATE(2026,9,24)&lt;=$D40),IF(DATE(2026,9,24)&lt;$C40+ROUND($E40*($D40-$C40+1),0),"█","░"),""))</f>
        <v/>
      </c>
      <c r="U40" s="27">
        <f>IF($F40="Yes",IF(DATE(2026,9,25)=$C40,"◆",""),IF(AND(DATE(2026,9,25)&gt;=$C40,DATE(2026,9,25)&lt;=$D40),IF(DATE(2026,9,25)&lt;$C40+ROUND($E40*($D40-$C40+1),0),"█","░"),""))</f>
        <v/>
      </c>
      <c r="V40" s="28">
        <f>IF($F40="Yes",IF(DATE(2026,9,26)=$C40,"◆",""),IF(AND(DATE(2026,9,26)&gt;=$C40,DATE(2026,9,26)&lt;=$D40),IF(DATE(2026,9,26)&lt;$C40+ROUND($E40*($D40-$C40+1),0),"█","░"),""))</f>
        <v/>
      </c>
      <c r="W40" s="28">
        <f>IF($F40="Yes",IF(DATE(2026,9,27)=$C40,"◆",""),IF(AND(DATE(2026,9,27)&gt;=$C40,DATE(2026,9,27)&lt;=$D40),IF(DATE(2026,9,27)&lt;$C40+ROUND($E40*($D40-$C40+1),0),"█","░"),""))</f>
        <v/>
      </c>
      <c r="X40" s="27">
        <f>IF($F40="Yes",IF(DATE(2026,9,28)=$C40,"◆",""),IF(AND(DATE(2026,9,28)&gt;=$C40,DATE(2026,9,28)&lt;=$D40),IF(DATE(2026,9,28)&lt;$C40+ROUND($E40*($D40-$C40+1),0),"█","░"),""))</f>
        <v/>
      </c>
      <c r="Y40" s="27">
        <f>IF($F40="Yes",IF(DATE(2026,9,29)=$C40,"◆",""),IF(AND(DATE(2026,9,29)&gt;=$C40,DATE(2026,9,29)&lt;=$D40),IF(DATE(2026,9,29)&lt;$C40+ROUND($E40*($D40-$C40+1),0),"█","░"),""))</f>
        <v/>
      </c>
      <c r="Z40" s="27">
        <f>IF($F40="Yes",IF(DATE(2026,9,30)=$C40,"◆",""),IF(AND(DATE(2026,9,30)&gt;=$C40,DATE(2026,9,30)&lt;=$D40),IF(DATE(2026,9,30)&lt;$C40+ROUND($E40*($D40-$C40+1),0),"█","░"),""))</f>
        <v/>
      </c>
      <c r="AA40" s="27">
        <f>IF($F40="Yes",IF(DATE(2026,10,1)=$C40,"◆",""),IF(AND(DATE(2026,10,1)&gt;=$C40,DATE(2026,10,1)&lt;=$D40),IF(DATE(2026,10,1)&lt;$C40+ROUND($E40*($D40-$C40+1),0),"█","░"),""))</f>
        <v/>
      </c>
      <c r="AB40" s="27">
        <f>IF($F40="Yes",IF(DATE(2026,10,2)=$C40,"◆",""),IF(AND(DATE(2026,10,2)&gt;=$C40,DATE(2026,10,2)&lt;=$D40),IF(DATE(2026,10,2)&lt;$C40+ROUND($E40*($D40-$C40+1),0),"█","░"),""))</f>
        <v/>
      </c>
      <c r="AC40" s="28">
        <f>IF($F40="Yes",IF(DATE(2026,10,3)=$C40,"◆",""),IF(AND(DATE(2026,10,3)&gt;=$C40,DATE(2026,10,3)&lt;=$D40),IF(DATE(2026,10,3)&lt;$C40+ROUND($E40*($D40-$C40+1),0),"█","░"),""))</f>
        <v/>
      </c>
      <c r="AD40" s="28">
        <f>IF($F40="Yes",IF(DATE(2026,10,4)=$C40,"◆",""),IF(AND(DATE(2026,10,4)&gt;=$C40,DATE(2026,10,4)&lt;=$D40),IF(DATE(2026,10,4)&lt;$C40+ROUND($E40*($D40-$C40+1),0),"█","░"),""))</f>
        <v/>
      </c>
      <c r="AE40" s="27">
        <f>IF($F40="Yes",IF(DATE(2026,10,5)=$C40,"◆",""),IF(AND(DATE(2026,10,5)&gt;=$C40,DATE(2026,10,5)&lt;=$D40),IF(DATE(2026,10,5)&lt;$C40+ROUND($E40*($D40-$C40+1),0),"█","░"),""))</f>
        <v/>
      </c>
      <c r="AF40" s="27">
        <f>IF($F40="Yes",IF(DATE(2026,10,6)=$C40,"◆",""),IF(AND(DATE(2026,10,6)&gt;=$C40,DATE(2026,10,6)&lt;=$D40),IF(DATE(2026,10,6)&lt;$C40+ROUND($E40*($D40-$C40+1),0),"█","░"),""))</f>
        <v/>
      </c>
      <c r="AG40" s="27">
        <f>IF($F40="Yes",IF(DATE(2026,10,7)=$C40,"◆",""),IF(AND(DATE(2026,10,7)&gt;=$C40,DATE(2026,10,7)&lt;=$D40),IF(DATE(2026,10,7)&lt;$C40+ROUND($E40*($D40-$C40+1),0),"█","░"),""))</f>
        <v/>
      </c>
      <c r="AH40" s="27">
        <f>IF($F40="Yes",IF(DATE(2026,10,8)=$C40,"◆",""),IF(AND(DATE(2026,10,8)&gt;=$C40,DATE(2026,10,8)&lt;=$D40),IF(DATE(2026,10,8)&lt;$C40+ROUND($E40*($D40-$C40+1),0),"█","░"),""))</f>
        <v/>
      </c>
      <c r="AI40" s="27">
        <f>IF($F40="Yes",IF(DATE(2026,10,9)=$C40,"◆",""),IF(AND(DATE(2026,10,9)&gt;=$C40,DATE(2026,10,9)&lt;=$D40),IF(DATE(2026,10,9)&lt;$C40+ROUND($E40*($D40-$C40+1),0),"█","░"),""))</f>
        <v/>
      </c>
      <c r="AJ40" s="28">
        <f>IF($F40="Yes",IF(DATE(2026,10,10)=$C40,"◆",""),IF(AND(DATE(2026,10,10)&gt;=$C40,DATE(2026,10,10)&lt;=$D40),IF(DATE(2026,10,10)&lt;$C40+ROUND($E40*($D40-$C40+1),0),"█","░"),""))</f>
        <v/>
      </c>
      <c r="AK40" s="28">
        <f>IF($F40="Yes",IF(DATE(2026,10,11)=$C40,"◆",""),IF(AND(DATE(2026,10,11)&gt;=$C40,DATE(2026,10,11)&lt;=$D40),IF(DATE(2026,10,11)&lt;$C40+ROUND($E40*($D40-$C40+1),0),"█","░"),""))</f>
        <v/>
      </c>
      <c r="AL40" s="27">
        <f>IF($F40="Yes",IF(DATE(2026,10,12)=$C40,"◆",""),IF(AND(DATE(2026,10,12)&gt;=$C40,DATE(2026,10,12)&lt;=$D40),IF(DATE(2026,10,12)&lt;$C40+ROUND($E40*($D40-$C40+1),0),"█","░"),""))</f>
        <v/>
      </c>
      <c r="AM40" s="27">
        <f>IF($F40="Yes",IF(DATE(2026,10,13)=$C40,"◆",""),IF(AND(DATE(2026,10,13)&gt;=$C40,DATE(2026,10,13)&lt;=$D40),IF(DATE(2026,10,13)&lt;$C40+ROUND($E40*($D40-$C40+1),0),"█","░"),""))</f>
        <v/>
      </c>
      <c r="AN40" s="27">
        <f>IF($F40="Yes",IF(DATE(2026,10,14)=$C40,"◆",""),IF(AND(DATE(2026,10,14)&gt;=$C40,DATE(2026,10,14)&lt;=$D40),IF(DATE(2026,10,14)&lt;$C40+ROUND($E40*($D40-$C40+1),0),"█","░"),""))</f>
        <v/>
      </c>
    </row>
    <row r="41">
      <c r="A41" s="4">
        <f>'Project Tracker'!A40</f>
        <v/>
      </c>
      <c r="B41" s="5">
        <f>'Project Tracker'!C40</f>
        <v/>
      </c>
      <c r="C41" s="7">
        <f>'Project Tracker'!E40</f>
        <v/>
      </c>
      <c r="D41" s="7">
        <f>'Project Tracker'!F40</f>
        <v/>
      </c>
      <c r="E41" s="9">
        <f>'Project Tracker'!N40</f>
        <v/>
      </c>
      <c r="F41" s="4">
        <f>'Project Tracker'!J40</f>
        <v/>
      </c>
      <c r="G41" s="27">
        <f>IF($F41="Yes",IF(DATE(2026,9,11)=$C41,"◆",""),IF(AND(DATE(2026,9,11)&gt;=$C41,DATE(2026,9,11)&lt;=$D41),IF(DATE(2026,9,11)&lt;$C41+ROUND($E41*($D41-$C41+1),0),"█","░"),""))</f>
        <v/>
      </c>
      <c r="H41" s="28">
        <f>IF($F41="Yes",IF(DATE(2026,9,12)=$C41,"◆",""),IF(AND(DATE(2026,9,12)&gt;=$C41,DATE(2026,9,12)&lt;=$D41),IF(DATE(2026,9,12)&lt;$C41+ROUND($E41*($D41-$C41+1),0),"█","░"),""))</f>
        <v/>
      </c>
      <c r="I41" s="28">
        <f>IF($F41="Yes",IF(DATE(2026,9,13)=$C41,"◆",""),IF(AND(DATE(2026,9,13)&gt;=$C41,DATE(2026,9,13)&lt;=$D41),IF(DATE(2026,9,13)&lt;$C41+ROUND($E41*($D41-$C41+1),0),"█","░"),""))</f>
        <v/>
      </c>
      <c r="J41" s="27">
        <f>IF($F41="Yes",IF(DATE(2026,9,14)=$C41,"◆",""),IF(AND(DATE(2026,9,14)&gt;=$C41,DATE(2026,9,14)&lt;=$D41),IF(DATE(2026,9,14)&lt;$C41+ROUND($E41*($D41-$C41+1),0),"█","░"),""))</f>
        <v/>
      </c>
      <c r="K41" s="27">
        <f>IF($F41="Yes",IF(DATE(2026,9,15)=$C41,"◆",""),IF(AND(DATE(2026,9,15)&gt;=$C41,DATE(2026,9,15)&lt;=$D41),IF(DATE(2026,9,15)&lt;$C41+ROUND($E41*($D41-$C41+1),0),"█","░"),""))</f>
        <v/>
      </c>
      <c r="L41" s="27">
        <f>IF($F41="Yes",IF(DATE(2026,9,16)=$C41,"◆",""),IF(AND(DATE(2026,9,16)&gt;=$C41,DATE(2026,9,16)&lt;=$D41),IF(DATE(2026,9,16)&lt;$C41+ROUND($E41*($D41-$C41+1),0),"█","░"),""))</f>
        <v/>
      </c>
      <c r="M41" s="27">
        <f>IF($F41="Yes",IF(DATE(2026,9,17)=$C41,"◆",""),IF(AND(DATE(2026,9,17)&gt;=$C41,DATE(2026,9,17)&lt;=$D41),IF(DATE(2026,9,17)&lt;$C41+ROUND($E41*($D41-$C41+1),0),"█","░"),""))</f>
        <v/>
      </c>
      <c r="N41" s="27">
        <f>IF($F41="Yes",IF(DATE(2026,9,18)=$C41,"◆",""),IF(AND(DATE(2026,9,18)&gt;=$C41,DATE(2026,9,18)&lt;=$D41),IF(DATE(2026,9,18)&lt;$C41+ROUND($E41*($D41-$C41+1),0),"█","░"),""))</f>
        <v/>
      </c>
      <c r="O41" s="28">
        <f>IF($F41="Yes",IF(DATE(2026,9,19)=$C41,"◆",""),IF(AND(DATE(2026,9,19)&gt;=$C41,DATE(2026,9,19)&lt;=$D41),IF(DATE(2026,9,19)&lt;$C41+ROUND($E41*($D41-$C41+1),0),"█","░"),""))</f>
        <v/>
      </c>
      <c r="P41" s="28">
        <f>IF($F41="Yes",IF(DATE(2026,9,20)=$C41,"◆",""),IF(AND(DATE(2026,9,20)&gt;=$C41,DATE(2026,9,20)&lt;=$D41),IF(DATE(2026,9,20)&lt;$C41+ROUND($E41*($D41-$C41+1),0),"█","░"),""))</f>
        <v/>
      </c>
      <c r="Q41" s="27">
        <f>IF($F41="Yes",IF(DATE(2026,9,21)=$C41,"◆",""),IF(AND(DATE(2026,9,21)&gt;=$C41,DATE(2026,9,21)&lt;=$D41),IF(DATE(2026,9,21)&lt;$C41+ROUND($E41*($D41-$C41+1),0),"█","░"),""))</f>
        <v/>
      </c>
      <c r="R41" s="27">
        <f>IF($F41="Yes",IF(DATE(2026,9,22)=$C41,"◆",""),IF(AND(DATE(2026,9,22)&gt;=$C41,DATE(2026,9,22)&lt;=$D41),IF(DATE(2026,9,22)&lt;$C41+ROUND($E41*($D41-$C41+1),0),"█","░"),""))</f>
        <v/>
      </c>
      <c r="S41" s="27">
        <f>IF($F41="Yes",IF(DATE(2026,9,23)=$C41,"◆",""),IF(AND(DATE(2026,9,23)&gt;=$C41,DATE(2026,9,23)&lt;=$D41),IF(DATE(2026,9,23)&lt;$C41+ROUND($E41*($D41-$C41+1),0),"█","░"),""))</f>
        <v/>
      </c>
      <c r="T41" s="27">
        <f>IF($F41="Yes",IF(DATE(2026,9,24)=$C41,"◆",""),IF(AND(DATE(2026,9,24)&gt;=$C41,DATE(2026,9,24)&lt;=$D41),IF(DATE(2026,9,24)&lt;$C41+ROUND($E41*($D41-$C41+1),0),"█","░"),""))</f>
        <v/>
      </c>
      <c r="U41" s="27">
        <f>IF($F41="Yes",IF(DATE(2026,9,25)=$C41,"◆",""),IF(AND(DATE(2026,9,25)&gt;=$C41,DATE(2026,9,25)&lt;=$D41),IF(DATE(2026,9,25)&lt;$C41+ROUND($E41*($D41-$C41+1),0),"█","░"),""))</f>
        <v/>
      </c>
      <c r="V41" s="28">
        <f>IF($F41="Yes",IF(DATE(2026,9,26)=$C41,"◆",""),IF(AND(DATE(2026,9,26)&gt;=$C41,DATE(2026,9,26)&lt;=$D41),IF(DATE(2026,9,26)&lt;$C41+ROUND($E41*($D41-$C41+1),0),"█","░"),""))</f>
        <v/>
      </c>
      <c r="W41" s="28">
        <f>IF($F41="Yes",IF(DATE(2026,9,27)=$C41,"◆",""),IF(AND(DATE(2026,9,27)&gt;=$C41,DATE(2026,9,27)&lt;=$D41),IF(DATE(2026,9,27)&lt;$C41+ROUND($E41*($D41-$C41+1),0),"█","░"),""))</f>
        <v/>
      </c>
      <c r="X41" s="27">
        <f>IF($F41="Yes",IF(DATE(2026,9,28)=$C41,"◆",""),IF(AND(DATE(2026,9,28)&gt;=$C41,DATE(2026,9,28)&lt;=$D41),IF(DATE(2026,9,28)&lt;$C41+ROUND($E41*($D41-$C41+1),0),"█","░"),""))</f>
        <v/>
      </c>
      <c r="Y41" s="27">
        <f>IF($F41="Yes",IF(DATE(2026,9,29)=$C41,"◆",""),IF(AND(DATE(2026,9,29)&gt;=$C41,DATE(2026,9,29)&lt;=$D41),IF(DATE(2026,9,29)&lt;$C41+ROUND($E41*($D41-$C41+1),0),"█","░"),""))</f>
        <v/>
      </c>
      <c r="Z41" s="27">
        <f>IF($F41="Yes",IF(DATE(2026,9,30)=$C41,"◆",""),IF(AND(DATE(2026,9,30)&gt;=$C41,DATE(2026,9,30)&lt;=$D41),IF(DATE(2026,9,30)&lt;$C41+ROUND($E41*($D41-$C41+1),0),"█","░"),""))</f>
        <v/>
      </c>
      <c r="AA41" s="27">
        <f>IF($F41="Yes",IF(DATE(2026,10,1)=$C41,"◆",""),IF(AND(DATE(2026,10,1)&gt;=$C41,DATE(2026,10,1)&lt;=$D41),IF(DATE(2026,10,1)&lt;$C41+ROUND($E41*($D41-$C41+1),0),"█","░"),""))</f>
        <v/>
      </c>
      <c r="AB41" s="27">
        <f>IF($F41="Yes",IF(DATE(2026,10,2)=$C41,"◆",""),IF(AND(DATE(2026,10,2)&gt;=$C41,DATE(2026,10,2)&lt;=$D41),IF(DATE(2026,10,2)&lt;$C41+ROUND($E41*($D41-$C41+1),0),"█","░"),""))</f>
        <v/>
      </c>
      <c r="AC41" s="28">
        <f>IF($F41="Yes",IF(DATE(2026,10,3)=$C41,"◆",""),IF(AND(DATE(2026,10,3)&gt;=$C41,DATE(2026,10,3)&lt;=$D41),IF(DATE(2026,10,3)&lt;$C41+ROUND($E41*($D41-$C41+1),0),"█","░"),""))</f>
        <v/>
      </c>
      <c r="AD41" s="28">
        <f>IF($F41="Yes",IF(DATE(2026,10,4)=$C41,"◆",""),IF(AND(DATE(2026,10,4)&gt;=$C41,DATE(2026,10,4)&lt;=$D41),IF(DATE(2026,10,4)&lt;$C41+ROUND($E41*($D41-$C41+1),0),"█","░"),""))</f>
        <v/>
      </c>
      <c r="AE41" s="27">
        <f>IF($F41="Yes",IF(DATE(2026,10,5)=$C41,"◆",""),IF(AND(DATE(2026,10,5)&gt;=$C41,DATE(2026,10,5)&lt;=$D41),IF(DATE(2026,10,5)&lt;$C41+ROUND($E41*($D41-$C41+1),0),"█","░"),""))</f>
        <v/>
      </c>
      <c r="AF41" s="27">
        <f>IF($F41="Yes",IF(DATE(2026,10,6)=$C41,"◆",""),IF(AND(DATE(2026,10,6)&gt;=$C41,DATE(2026,10,6)&lt;=$D41),IF(DATE(2026,10,6)&lt;$C41+ROUND($E41*($D41-$C41+1),0),"█","░"),""))</f>
        <v/>
      </c>
      <c r="AG41" s="27">
        <f>IF($F41="Yes",IF(DATE(2026,10,7)=$C41,"◆",""),IF(AND(DATE(2026,10,7)&gt;=$C41,DATE(2026,10,7)&lt;=$D41),IF(DATE(2026,10,7)&lt;$C41+ROUND($E41*($D41-$C41+1),0),"█","░"),""))</f>
        <v/>
      </c>
      <c r="AH41" s="27">
        <f>IF($F41="Yes",IF(DATE(2026,10,8)=$C41,"◆",""),IF(AND(DATE(2026,10,8)&gt;=$C41,DATE(2026,10,8)&lt;=$D41),IF(DATE(2026,10,8)&lt;$C41+ROUND($E41*($D41-$C41+1),0),"█","░"),""))</f>
        <v/>
      </c>
      <c r="AI41" s="27">
        <f>IF($F41="Yes",IF(DATE(2026,10,9)=$C41,"◆",""),IF(AND(DATE(2026,10,9)&gt;=$C41,DATE(2026,10,9)&lt;=$D41),IF(DATE(2026,10,9)&lt;$C41+ROUND($E41*($D41-$C41+1),0),"█","░"),""))</f>
        <v/>
      </c>
      <c r="AJ41" s="28">
        <f>IF($F41="Yes",IF(DATE(2026,10,10)=$C41,"◆",""),IF(AND(DATE(2026,10,10)&gt;=$C41,DATE(2026,10,10)&lt;=$D41),IF(DATE(2026,10,10)&lt;$C41+ROUND($E41*($D41-$C41+1),0),"█","░"),""))</f>
        <v/>
      </c>
      <c r="AK41" s="28">
        <f>IF($F41="Yes",IF(DATE(2026,10,11)=$C41,"◆",""),IF(AND(DATE(2026,10,11)&gt;=$C41,DATE(2026,10,11)&lt;=$D41),IF(DATE(2026,10,11)&lt;$C41+ROUND($E41*($D41-$C41+1),0),"█","░"),""))</f>
        <v/>
      </c>
      <c r="AL41" s="27">
        <f>IF($F41="Yes",IF(DATE(2026,10,12)=$C41,"◆",""),IF(AND(DATE(2026,10,12)&gt;=$C41,DATE(2026,10,12)&lt;=$D41),IF(DATE(2026,10,12)&lt;$C41+ROUND($E41*($D41-$C41+1),0),"█","░"),""))</f>
        <v/>
      </c>
      <c r="AM41" s="27">
        <f>IF($F41="Yes",IF(DATE(2026,10,13)=$C41,"◆",""),IF(AND(DATE(2026,10,13)&gt;=$C41,DATE(2026,10,13)&lt;=$D41),IF(DATE(2026,10,13)&lt;$C41+ROUND($E41*($D41-$C41+1),0),"█","░"),""))</f>
        <v/>
      </c>
      <c r="AN41" s="27">
        <f>IF($F41="Yes",IF(DATE(2026,10,14)=$C41,"◆",""),IF(AND(DATE(2026,10,14)&gt;=$C41,DATE(2026,10,14)&lt;=$D41),IF(DATE(2026,10,14)&lt;$C41+ROUND($E41*($D41-$C41+1),0),"█","░"),""))</f>
        <v/>
      </c>
    </row>
    <row r="42">
      <c r="A42" s="4">
        <f>'Project Tracker'!A41</f>
        <v/>
      </c>
      <c r="B42" s="5">
        <f>'Project Tracker'!C41</f>
        <v/>
      </c>
      <c r="C42" s="7">
        <f>'Project Tracker'!E41</f>
        <v/>
      </c>
      <c r="D42" s="7">
        <f>'Project Tracker'!F41</f>
        <v/>
      </c>
      <c r="E42" s="9">
        <f>'Project Tracker'!N41</f>
        <v/>
      </c>
      <c r="F42" s="4">
        <f>'Project Tracker'!J41</f>
        <v/>
      </c>
      <c r="G42" s="27">
        <f>IF($F42="Yes",IF(DATE(2026,9,11)=$C42,"◆",""),IF(AND(DATE(2026,9,11)&gt;=$C42,DATE(2026,9,11)&lt;=$D42),IF(DATE(2026,9,11)&lt;$C42+ROUND($E42*($D42-$C42+1),0),"█","░"),""))</f>
        <v/>
      </c>
      <c r="H42" s="28">
        <f>IF($F42="Yes",IF(DATE(2026,9,12)=$C42,"◆",""),IF(AND(DATE(2026,9,12)&gt;=$C42,DATE(2026,9,12)&lt;=$D42),IF(DATE(2026,9,12)&lt;$C42+ROUND($E42*($D42-$C42+1),0),"█","░"),""))</f>
        <v/>
      </c>
      <c r="I42" s="28">
        <f>IF($F42="Yes",IF(DATE(2026,9,13)=$C42,"◆",""),IF(AND(DATE(2026,9,13)&gt;=$C42,DATE(2026,9,13)&lt;=$D42),IF(DATE(2026,9,13)&lt;$C42+ROUND($E42*($D42-$C42+1),0),"█","░"),""))</f>
        <v/>
      </c>
      <c r="J42" s="27">
        <f>IF($F42="Yes",IF(DATE(2026,9,14)=$C42,"◆",""),IF(AND(DATE(2026,9,14)&gt;=$C42,DATE(2026,9,14)&lt;=$D42),IF(DATE(2026,9,14)&lt;$C42+ROUND($E42*($D42-$C42+1),0),"█","░"),""))</f>
        <v/>
      </c>
      <c r="K42" s="27">
        <f>IF($F42="Yes",IF(DATE(2026,9,15)=$C42,"◆",""),IF(AND(DATE(2026,9,15)&gt;=$C42,DATE(2026,9,15)&lt;=$D42),IF(DATE(2026,9,15)&lt;$C42+ROUND($E42*($D42-$C42+1),0),"█","░"),""))</f>
        <v/>
      </c>
      <c r="L42" s="27">
        <f>IF($F42="Yes",IF(DATE(2026,9,16)=$C42,"◆",""),IF(AND(DATE(2026,9,16)&gt;=$C42,DATE(2026,9,16)&lt;=$D42),IF(DATE(2026,9,16)&lt;$C42+ROUND($E42*($D42-$C42+1),0),"█","░"),""))</f>
        <v/>
      </c>
      <c r="M42" s="27">
        <f>IF($F42="Yes",IF(DATE(2026,9,17)=$C42,"◆",""),IF(AND(DATE(2026,9,17)&gt;=$C42,DATE(2026,9,17)&lt;=$D42),IF(DATE(2026,9,17)&lt;$C42+ROUND($E42*($D42-$C42+1),0),"█","░"),""))</f>
        <v/>
      </c>
      <c r="N42" s="27">
        <f>IF($F42="Yes",IF(DATE(2026,9,18)=$C42,"◆",""),IF(AND(DATE(2026,9,18)&gt;=$C42,DATE(2026,9,18)&lt;=$D42),IF(DATE(2026,9,18)&lt;$C42+ROUND($E42*($D42-$C42+1),0),"█","░"),""))</f>
        <v/>
      </c>
      <c r="O42" s="28">
        <f>IF($F42="Yes",IF(DATE(2026,9,19)=$C42,"◆",""),IF(AND(DATE(2026,9,19)&gt;=$C42,DATE(2026,9,19)&lt;=$D42),IF(DATE(2026,9,19)&lt;$C42+ROUND($E42*($D42-$C42+1),0),"█","░"),""))</f>
        <v/>
      </c>
      <c r="P42" s="28">
        <f>IF($F42="Yes",IF(DATE(2026,9,20)=$C42,"◆",""),IF(AND(DATE(2026,9,20)&gt;=$C42,DATE(2026,9,20)&lt;=$D42),IF(DATE(2026,9,20)&lt;$C42+ROUND($E42*($D42-$C42+1),0),"█","░"),""))</f>
        <v/>
      </c>
      <c r="Q42" s="27">
        <f>IF($F42="Yes",IF(DATE(2026,9,21)=$C42,"◆",""),IF(AND(DATE(2026,9,21)&gt;=$C42,DATE(2026,9,21)&lt;=$D42),IF(DATE(2026,9,21)&lt;$C42+ROUND($E42*($D42-$C42+1),0),"█","░"),""))</f>
        <v/>
      </c>
      <c r="R42" s="27">
        <f>IF($F42="Yes",IF(DATE(2026,9,22)=$C42,"◆",""),IF(AND(DATE(2026,9,22)&gt;=$C42,DATE(2026,9,22)&lt;=$D42),IF(DATE(2026,9,22)&lt;$C42+ROUND($E42*($D42-$C42+1),0),"█","░"),""))</f>
        <v/>
      </c>
      <c r="S42" s="27">
        <f>IF($F42="Yes",IF(DATE(2026,9,23)=$C42,"◆",""),IF(AND(DATE(2026,9,23)&gt;=$C42,DATE(2026,9,23)&lt;=$D42),IF(DATE(2026,9,23)&lt;$C42+ROUND($E42*($D42-$C42+1),0),"█","░"),""))</f>
        <v/>
      </c>
      <c r="T42" s="27">
        <f>IF($F42="Yes",IF(DATE(2026,9,24)=$C42,"◆",""),IF(AND(DATE(2026,9,24)&gt;=$C42,DATE(2026,9,24)&lt;=$D42),IF(DATE(2026,9,24)&lt;$C42+ROUND($E42*($D42-$C42+1),0),"█","░"),""))</f>
        <v/>
      </c>
      <c r="U42" s="27">
        <f>IF($F42="Yes",IF(DATE(2026,9,25)=$C42,"◆",""),IF(AND(DATE(2026,9,25)&gt;=$C42,DATE(2026,9,25)&lt;=$D42),IF(DATE(2026,9,25)&lt;$C42+ROUND($E42*($D42-$C42+1),0),"█","░"),""))</f>
        <v/>
      </c>
      <c r="V42" s="28">
        <f>IF($F42="Yes",IF(DATE(2026,9,26)=$C42,"◆",""),IF(AND(DATE(2026,9,26)&gt;=$C42,DATE(2026,9,26)&lt;=$D42),IF(DATE(2026,9,26)&lt;$C42+ROUND($E42*($D42-$C42+1),0),"█","░"),""))</f>
        <v/>
      </c>
      <c r="W42" s="28">
        <f>IF($F42="Yes",IF(DATE(2026,9,27)=$C42,"◆",""),IF(AND(DATE(2026,9,27)&gt;=$C42,DATE(2026,9,27)&lt;=$D42),IF(DATE(2026,9,27)&lt;$C42+ROUND($E42*($D42-$C42+1),0),"█","░"),""))</f>
        <v/>
      </c>
      <c r="X42" s="27">
        <f>IF($F42="Yes",IF(DATE(2026,9,28)=$C42,"◆",""),IF(AND(DATE(2026,9,28)&gt;=$C42,DATE(2026,9,28)&lt;=$D42),IF(DATE(2026,9,28)&lt;$C42+ROUND($E42*($D42-$C42+1),0),"█","░"),""))</f>
        <v/>
      </c>
      <c r="Y42" s="27">
        <f>IF($F42="Yes",IF(DATE(2026,9,29)=$C42,"◆",""),IF(AND(DATE(2026,9,29)&gt;=$C42,DATE(2026,9,29)&lt;=$D42),IF(DATE(2026,9,29)&lt;$C42+ROUND($E42*($D42-$C42+1),0),"█","░"),""))</f>
        <v/>
      </c>
      <c r="Z42" s="27">
        <f>IF($F42="Yes",IF(DATE(2026,9,30)=$C42,"◆",""),IF(AND(DATE(2026,9,30)&gt;=$C42,DATE(2026,9,30)&lt;=$D42),IF(DATE(2026,9,30)&lt;$C42+ROUND($E42*($D42-$C42+1),0),"█","░"),""))</f>
        <v/>
      </c>
      <c r="AA42" s="27">
        <f>IF($F42="Yes",IF(DATE(2026,10,1)=$C42,"◆",""),IF(AND(DATE(2026,10,1)&gt;=$C42,DATE(2026,10,1)&lt;=$D42),IF(DATE(2026,10,1)&lt;$C42+ROUND($E42*($D42-$C42+1),0),"█","░"),""))</f>
        <v/>
      </c>
      <c r="AB42" s="27">
        <f>IF($F42="Yes",IF(DATE(2026,10,2)=$C42,"◆",""),IF(AND(DATE(2026,10,2)&gt;=$C42,DATE(2026,10,2)&lt;=$D42),IF(DATE(2026,10,2)&lt;$C42+ROUND($E42*($D42-$C42+1),0),"█","░"),""))</f>
        <v/>
      </c>
      <c r="AC42" s="28">
        <f>IF($F42="Yes",IF(DATE(2026,10,3)=$C42,"◆",""),IF(AND(DATE(2026,10,3)&gt;=$C42,DATE(2026,10,3)&lt;=$D42),IF(DATE(2026,10,3)&lt;$C42+ROUND($E42*($D42-$C42+1),0),"█","░"),""))</f>
        <v/>
      </c>
      <c r="AD42" s="28">
        <f>IF($F42="Yes",IF(DATE(2026,10,4)=$C42,"◆",""),IF(AND(DATE(2026,10,4)&gt;=$C42,DATE(2026,10,4)&lt;=$D42),IF(DATE(2026,10,4)&lt;$C42+ROUND($E42*($D42-$C42+1),0),"█","░"),""))</f>
        <v/>
      </c>
      <c r="AE42" s="27">
        <f>IF($F42="Yes",IF(DATE(2026,10,5)=$C42,"◆",""),IF(AND(DATE(2026,10,5)&gt;=$C42,DATE(2026,10,5)&lt;=$D42),IF(DATE(2026,10,5)&lt;$C42+ROUND($E42*($D42-$C42+1),0),"█","░"),""))</f>
        <v/>
      </c>
      <c r="AF42" s="27">
        <f>IF($F42="Yes",IF(DATE(2026,10,6)=$C42,"◆",""),IF(AND(DATE(2026,10,6)&gt;=$C42,DATE(2026,10,6)&lt;=$D42),IF(DATE(2026,10,6)&lt;$C42+ROUND($E42*($D42-$C42+1),0),"█","░"),""))</f>
        <v/>
      </c>
      <c r="AG42" s="27">
        <f>IF($F42="Yes",IF(DATE(2026,10,7)=$C42,"◆",""),IF(AND(DATE(2026,10,7)&gt;=$C42,DATE(2026,10,7)&lt;=$D42),IF(DATE(2026,10,7)&lt;$C42+ROUND($E42*($D42-$C42+1),0),"█","░"),""))</f>
        <v/>
      </c>
      <c r="AH42" s="27">
        <f>IF($F42="Yes",IF(DATE(2026,10,8)=$C42,"◆",""),IF(AND(DATE(2026,10,8)&gt;=$C42,DATE(2026,10,8)&lt;=$D42),IF(DATE(2026,10,8)&lt;$C42+ROUND($E42*($D42-$C42+1),0),"█","░"),""))</f>
        <v/>
      </c>
      <c r="AI42" s="27">
        <f>IF($F42="Yes",IF(DATE(2026,10,9)=$C42,"◆",""),IF(AND(DATE(2026,10,9)&gt;=$C42,DATE(2026,10,9)&lt;=$D42),IF(DATE(2026,10,9)&lt;$C42+ROUND($E42*($D42-$C42+1),0),"█","░"),""))</f>
        <v/>
      </c>
      <c r="AJ42" s="28">
        <f>IF($F42="Yes",IF(DATE(2026,10,10)=$C42,"◆",""),IF(AND(DATE(2026,10,10)&gt;=$C42,DATE(2026,10,10)&lt;=$D42),IF(DATE(2026,10,10)&lt;$C42+ROUND($E42*($D42-$C42+1),0),"█","░"),""))</f>
        <v/>
      </c>
      <c r="AK42" s="28">
        <f>IF($F42="Yes",IF(DATE(2026,10,11)=$C42,"◆",""),IF(AND(DATE(2026,10,11)&gt;=$C42,DATE(2026,10,11)&lt;=$D42),IF(DATE(2026,10,11)&lt;$C42+ROUND($E42*($D42-$C42+1),0),"█","░"),""))</f>
        <v/>
      </c>
      <c r="AL42" s="27">
        <f>IF($F42="Yes",IF(DATE(2026,10,12)=$C42,"◆",""),IF(AND(DATE(2026,10,12)&gt;=$C42,DATE(2026,10,12)&lt;=$D42),IF(DATE(2026,10,12)&lt;$C42+ROUND($E42*($D42-$C42+1),0),"█","░"),""))</f>
        <v/>
      </c>
      <c r="AM42" s="27">
        <f>IF($F42="Yes",IF(DATE(2026,10,13)=$C42,"◆",""),IF(AND(DATE(2026,10,13)&gt;=$C42,DATE(2026,10,13)&lt;=$D42),IF(DATE(2026,10,13)&lt;$C42+ROUND($E42*($D42-$C42+1),0),"█","░"),""))</f>
        <v/>
      </c>
      <c r="AN42" s="27">
        <f>IF($F42="Yes",IF(DATE(2026,10,14)=$C42,"◆",""),IF(AND(DATE(2026,10,14)&gt;=$C42,DATE(2026,10,14)&lt;=$D42),IF(DATE(2026,10,14)&lt;$C42+ROUND($E42*($D42-$C42+1),0),"█","░"),""))</f>
        <v/>
      </c>
    </row>
    <row r="43">
      <c r="A43" s="4">
        <f>'Project Tracker'!A42</f>
        <v/>
      </c>
      <c r="B43" s="5">
        <f>'Project Tracker'!C42</f>
        <v/>
      </c>
      <c r="C43" s="7">
        <f>'Project Tracker'!E42</f>
        <v/>
      </c>
      <c r="D43" s="7">
        <f>'Project Tracker'!F42</f>
        <v/>
      </c>
      <c r="E43" s="9">
        <f>'Project Tracker'!N42</f>
        <v/>
      </c>
      <c r="F43" s="4">
        <f>'Project Tracker'!J42</f>
        <v/>
      </c>
      <c r="G43" s="27">
        <f>IF($F43="Yes",IF(DATE(2026,9,11)=$C43,"◆",""),IF(AND(DATE(2026,9,11)&gt;=$C43,DATE(2026,9,11)&lt;=$D43),IF(DATE(2026,9,11)&lt;$C43+ROUND($E43*($D43-$C43+1),0),"█","░"),""))</f>
        <v/>
      </c>
      <c r="H43" s="28">
        <f>IF($F43="Yes",IF(DATE(2026,9,12)=$C43,"◆",""),IF(AND(DATE(2026,9,12)&gt;=$C43,DATE(2026,9,12)&lt;=$D43),IF(DATE(2026,9,12)&lt;$C43+ROUND($E43*($D43-$C43+1),0),"█","░"),""))</f>
        <v/>
      </c>
      <c r="I43" s="28">
        <f>IF($F43="Yes",IF(DATE(2026,9,13)=$C43,"◆",""),IF(AND(DATE(2026,9,13)&gt;=$C43,DATE(2026,9,13)&lt;=$D43),IF(DATE(2026,9,13)&lt;$C43+ROUND($E43*($D43-$C43+1),0),"█","░"),""))</f>
        <v/>
      </c>
      <c r="J43" s="27">
        <f>IF($F43="Yes",IF(DATE(2026,9,14)=$C43,"◆",""),IF(AND(DATE(2026,9,14)&gt;=$C43,DATE(2026,9,14)&lt;=$D43),IF(DATE(2026,9,14)&lt;$C43+ROUND($E43*($D43-$C43+1),0),"█","░"),""))</f>
        <v/>
      </c>
      <c r="K43" s="27">
        <f>IF($F43="Yes",IF(DATE(2026,9,15)=$C43,"◆",""),IF(AND(DATE(2026,9,15)&gt;=$C43,DATE(2026,9,15)&lt;=$D43),IF(DATE(2026,9,15)&lt;$C43+ROUND($E43*($D43-$C43+1),0),"█","░"),""))</f>
        <v/>
      </c>
      <c r="L43" s="27">
        <f>IF($F43="Yes",IF(DATE(2026,9,16)=$C43,"◆",""),IF(AND(DATE(2026,9,16)&gt;=$C43,DATE(2026,9,16)&lt;=$D43),IF(DATE(2026,9,16)&lt;$C43+ROUND($E43*($D43-$C43+1),0),"█","░"),""))</f>
        <v/>
      </c>
      <c r="M43" s="27">
        <f>IF($F43="Yes",IF(DATE(2026,9,17)=$C43,"◆",""),IF(AND(DATE(2026,9,17)&gt;=$C43,DATE(2026,9,17)&lt;=$D43),IF(DATE(2026,9,17)&lt;$C43+ROUND($E43*($D43-$C43+1),0),"█","░"),""))</f>
        <v/>
      </c>
      <c r="N43" s="27">
        <f>IF($F43="Yes",IF(DATE(2026,9,18)=$C43,"◆",""),IF(AND(DATE(2026,9,18)&gt;=$C43,DATE(2026,9,18)&lt;=$D43),IF(DATE(2026,9,18)&lt;$C43+ROUND($E43*($D43-$C43+1),0),"█","░"),""))</f>
        <v/>
      </c>
      <c r="O43" s="28">
        <f>IF($F43="Yes",IF(DATE(2026,9,19)=$C43,"◆",""),IF(AND(DATE(2026,9,19)&gt;=$C43,DATE(2026,9,19)&lt;=$D43),IF(DATE(2026,9,19)&lt;$C43+ROUND($E43*($D43-$C43+1),0),"█","░"),""))</f>
        <v/>
      </c>
      <c r="P43" s="28">
        <f>IF($F43="Yes",IF(DATE(2026,9,20)=$C43,"◆",""),IF(AND(DATE(2026,9,20)&gt;=$C43,DATE(2026,9,20)&lt;=$D43),IF(DATE(2026,9,20)&lt;$C43+ROUND($E43*($D43-$C43+1),0),"█","░"),""))</f>
        <v/>
      </c>
      <c r="Q43" s="27">
        <f>IF($F43="Yes",IF(DATE(2026,9,21)=$C43,"◆",""),IF(AND(DATE(2026,9,21)&gt;=$C43,DATE(2026,9,21)&lt;=$D43),IF(DATE(2026,9,21)&lt;$C43+ROUND($E43*($D43-$C43+1),0),"█","░"),""))</f>
        <v/>
      </c>
      <c r="R43" s="27">
        <f>IF($F43="Yes",IF(DATE(2026,9,22)=$C43,"◆",""),IF(AND(DATE(2026,9,22)&gt;=$C43,DATE(2026,9,22)&lt;=$D43),IF(DATE(2026,9,22)&lt;$C43+ROUND($E43*($D43-$C43+1),0),"█","░"),""))</f>
        <v/>
      </c>
      <c r="S43" s="27">
        <f>IF($F43="Yes",IF(DATE(2026,9,23)=$C43,"◆",""),IF(AND(DATE(2026,9,23)&gt;=$C43,DATE(2026,9,23)&lt;=$D43),IF(DATE(2026,9,23)&lt;$C43+ROUND($E43*($D43-$C43+1),0),"█","░"),""))</f>
        <v/>
      </c>
      <c r="T43" s="27">
        <f>IF($F43="Yes",IF(DATE(2026,9,24)=$C43,"◆",""),IF(AND(DATE(2026,9,24)&gt;=$C43,DATE(2026,9,24)&lt;=$D43),IF(DATE(2026,9,24)&lt;$C43+ROUND($E43*($D43-$C43+1),0),"█","░"),""))</f>
        <v/>
      </c>
      <c r="U43" s="27">
        <f>IF($F43="Yes",IF(DATE(2026,9,25)=$C43,"◆",""),IF(AND(DATE(2026,9,25)&gt;=$C43,DATE(2026,9,25)&lt;=$D43),IF(DATE(2026,9,25)&lt;$C43+ROUND($E43*($D43-$C43+1),0),"█","░"),""))</f>
        <v/>
      </c>
      <c r="V43" s="28">
        <f>IF($F43="Yes",IF(DATE(2026,9,26)=$C43,"◆",""),IF(AND(DATE(2026,9,26)&gt;=$C43,DATE(2026,9,26)&lt;=$D43),IF(DATE(2026,9,26)&lt;$C43+ROUND($E43*($D43-$C43+1),0),"█","░"),""))</f>
        <v/>
      </c>
      <c r="W43" s="28">
        <f>IF($F43="Yes",IF(DATE(2026,9,27)=$C43,"◆",""),IF(AND(DATE(2026,9,27)&gt;=$C43,DATE(2026,9,27)&lt;=$D43),IF(DATE(2026,9,27)&lt;$C43+ROUND($E43*($D43-$C43+1),0),"█","░"),""))</f>
        <v/>
      </c>
      <c r="X43" s="27">
        <f>IF($F43="Yes",IF(DATE(2026,9,28)=$C43,"◆",""),IF(AND(DATE(2026,9,28)&gt;=$C43,DATE(2026,9,28)&lt;=$D43),IF(DATE(2026,9,28)&lt;$C43+ROUND($E43*($D43-$C43+1),0),"█","░"),""))</f>
        <v/>
      </c>
      <c r="Y43" s="27">
        <f>IF($F43="Yes",IF(DATE(2026,9,29)=$C43,"◆",""),IF(AND(DATE(2026,9,29)&gt;=$C43,DATE(2026,9,29)&lt;=$D43),IF(DATE(2026,9,29)&lt;$C43+ROUND($E43*($D43-$C43+1),0),"█","░"),""))</f>
        <v/>
      </c>
      <c r="Z43" s="27">
        <f>IF($F43="Yes",IF(DATE(2026,9,30)=$C43,"◆",""),IF(AND(DATE(2026,9,30)&gt;=$C43,DATE(2026,9,30)&lt;=$D43),IF(DATE(2026,9,30)&lt;$C43+ROUND($E43*($D43-$C43+1),0),"█","░"),""))</f>
        <v/>
      </c>
      <c r="AA43" s="27">
        <f>IF($F43="Yes",IF(DATE(2026,10,1)=$C43,"◆",""),IF(AND(DATE(2026,10,1)&gt;=$C43,DATE(2026,10,1)&lt;=$D43),IF(DATE(2026,10,1)&lt;$C43+ROUND($E43*($D43-$C43+1),0),"█","░"),""))</f>
        <v/>
      </c>
      <c r="AB43" s="27">
        <f>IF($F43="Yes",IF(DATE(2026,10,2)=$C43,"◆",""),IF(AND(DATE(2026,10,2)&gt;=$C43,DATE(2026,10,2)&lt;=$D43),IF(DATE(2026,10,2)&lt;$C43+ROUND($E43*($D43-$C43+1),0),"█","░"),""))</f>
        <v/>
      </c>
      <c r="AC43" s="28">
        <f>IF($F43="Yes",IF(DATE(2026,10,3)=$C43,"◆",""),IF(AND(DATE(2026,10,3)&gt;=$C43,DATE(2026,10,3)&lt;=$D43),IF(DATE(2026,10,3)&lt;$C43+ROUND($E43*($D43-$C43+1),0),"█","░"),""))</f>
        <v/>
      </c>
      <c r="AD43" s="28">
        <f>IF($F43="Yes",IF(DATE(2026,10,4)=$C43,"◆",""),IF(AND(DATE(2026,10,4)&gt;=$C43,DATE(2026,10,4)&lt;=$D43),IF(DATE(2026,10,4)&lt;$C43+ROUND($E43*($D43-$C43+1),0),"█","░"),""))</f>
        <v/>
      </c>
      <c r="AE43" s="27">
        <f>IF($F43="Yes",IF(DATE(2026,10,5)=$C43,"◆",""),IF(AND(DATE(2026,10,5)&gt;=$C43,DATE(2026,10,5)&lt;=$D43),IF(DATE(2026,10,5)&lt;$C43+ROUND($E43*($D43-$C43+1),0),"█","░"),""))</f>
        <v/>
      </c>
      <c r="AF43" s="27">
        <f>IF($F43="Yes",IF(DATE(2026,10,6)=$C43,"◆",""),IF(AND(DATE(2026,10,6)&gt;=$C43,DATE(2026,10,6)&lt;=$D43),IF(DATE(2026,10,6)&lt;$C43+ROUND($E43*($D43-$C43+1),0),"█","░"),""))</f>
        <v/>
      </c>
      <c r="AG43" s="27">
        <f>IF($F43="Yes",IF(DATE(2026,10,7)=$C43,"◆",""),IF(AND(DATE(2026,10,7)&gt;=$C43,DATE(2026,10,7)&lt;=$D43),IF(DATE(2026,10,7)&lt;$C43+ROUND($E43*($D43-$C43+1),0),"█","░"),""))</f>
        <v/>
      </c>
      <c r="AH43" s="27">
        <f>IF($F43="Yes",IF(DATE(2026,10,8)=$C43,"◆",""),IF(AND(DATE(2026,10,8)&gt;=$C43,DATE(2026,10,8)&lt;=$D43),IF(DATE(2026,10,8)&lt;$C43+ROUND($E43*($D43-$C43+1),0),"█","░"),""))</f>
        <v/>
      </c>
      <c r="AI43" s="27">
        <f>IF($F43="Yes",IF(DATE(2026,10,9)=$C43,"◆",""),IF(AND(DATE(2026,10,9)&gt;=$C43,DATE(2026,10,9)&lt;=$D43),IF(DATE(2026,10,9)&lt;$C43+ROUND($E43*($D43-$C43+1),0),"█","░"),""))</f>
        <v/>
      </c>
      <c r="AJ43" s="28">
        <f>IF($F43="Yes",IF(DATE(2026,10,10)=$C43,"◆",""),IF(AND(DATE(2026,10,10)&gt;=$C43,DATE(2026,10,10)&lt;=$D43),IF(DATE(2026,10,10)&lt;$C43+ROUND($E43*($D43-$C43+1),0),"█","░"),""))</f>
        <v/>
      </c>
      <c r="AK43" s="28">
        <f>IF($F43="Yes",IF(DATE(2026,10,11)=$C43,"◆",""),IF(AND(DATE(2026,10,11)&gt;=$C43,DATE(2026,10,11)&lt;=$D43),IF(DATE(2026,10,11)&lt;$C43+ROUND($E43*($D43-$C43+1),0),"█","░"),""))</f>
        <v/>
      </c>
      <c r="AL43" s="27">
        <f>IF($F43="Yes",IF(DATE(2026,10,12)=$C43,"◆",""),IF(AND(DATE(2026,10,12)&gt;=$C43,DATE(2026,10,12)&lt;=$D43),IF(DATE(2026,10,12)&lt;$C43+ROUND($E43*($D43-$C43+1),0),"█","░"),""))</f>
        <v/>
      </c>
      <c r="AM43" s="27">
        <f>IF($F43="Yes",IF(DATE(2026,10,13)=$C43,"◆",""),IF(AND(DATE(2026,10,13)&gt;=$C43,DATE(2026,10,13)&lt;=$D43),IF(DATE(2026,10,13)&lt;$C43+ROUND($E43*($D43-$C43+1),0),"█","░"),""))</f>
        <v/>
      </c>
      <c r="AN43" s="27">
        <f>IF($F43="Yes",IF(DATE(2026,10,14)=$C43,"◆",""),IF(AND(DATE(2026,10,14)&gt;=$C43,DATE(2026,10,14)&lt;=$D43),IF(DATE(2026,10,14)&lt;$C43+ROUND($E43*($D43-$C43+1),0),"█","░"),""))</f>
        <v/>
      </c>
    </row>
    <row r="44">
      <c r="A44" s="4">
        <f>'Project Tracker'!A43</f>
        <v/>
      </c>
      <c r="B44" s="5">
        <f>'Project Tracker'!C43</f>
        <v/>
      </c>
      <c r="C44" s="7">
        <f>'Project Tracker'!E43</f>
        <v/>
      </c>
      <c r="D44" s="7">
        <f>'Project Tracker'!F43</f>
        <v/>
      </c>
      <c r="E44" s="9">
        <f>'Project Tracker'!N43</f>
        <v/>
      </c>
      <c r="F44" s="4">
        <f>'Project Tracker'!J43</f>
        <v/>
      </c>
      <c r="G44" s="27">
        <f>IF($F44="Yes",IF(DATE(2026,9,11)=$C44,"◆",""),IF(AND(DATE(2026,9,11)&gt;=$C44,DATE(2026,9,11)&lt;=$D44),IF(DATE(2026,9,11)&lt;$C44+ROUND($E44*($D44-$C44+1),0),"█","░"),""))</f>
        <v/>
      </c>
      <c r="H44" s="28">
        <f>IF($F44="Yes",IF(DATE(2026,9,12)=$C44,"◆",""),IF(AND(DATE(2026,9,12)&gt;=$C44,DATE(2026,9,12)&lt;=$D44),IF(DATE(2026,9,12)&lt;$C44+ROUND($E44*($D44-$C44+1),0),"█","░"),""))</f>
        <v/>
      </c>
      <c r="I44" s="28">
        <f>IF($F44="Yes",IF(DATE(2026,9,13)=$C44,"◆",""),IF(AND(DATE(2026,9,13)&gt;=$C44,DATE(2026,9,13)&lt;=$D44),IF(DATE(2026,9,13)&lt;$C44+ROUND($E44*($D44-$C44+1),0),"█","░"),""))</f>
        <v/>
      </c>
      <c r="J44" s="27">
        <f>IF($F44="Yes",IF(DATE(2026,9,14)=$C44,"◆",""),IF(AND(DATE(2026,9,14)&gt;=$C44,DATE(2026,9,14)&lt;=$D44),IF(DATE(2026,9,14)&lt;$C44+ROUND($E44*($D44-$C44+1),0),"█","░"),""))</f>
        <v/>
      </c>
      <c r="K44" s="27">
        <f>IF($F44="Yes",IF(DATE(2026,9,15)=$C44,"◆",""),IF(AND(DATE(2026,9,15)&gt;=$C44,DATE(2026,9,15)&lt;=$D44),IF(DATE(2026,9,15)&lt;$C44+ROUND($E44*($D44-$C44+1),0),"█","░"),""))</f>
        <v/>
      </c>
      <c r="L44" s="27">
        <f>IF($F44="Yes",IF(DATE(2026,9,16)=$C44,"◆",""),IF(AND(DATE(2026,9,16)&gt;=$C44,DATE(2026,9,16)&lt;=$D44),IF(DATE(2026,9,16)&lt;$C44+ROUND($E44*($D44-$C44+1),0),"█","░"),""))</f>
        <v/>
      </c>
      <c r="M44" s="27">
        <f>IF($F44="Yes",IF(DATE(2026,9,17)=$C44,"◆",""),IF(AND(DATE(2026,9,17)&gt;=$C44,DATE(2026,9,17)&lt;=$D44),IF(DATE(2026,9,17)&lt;$C44+ROUND($E44*($D44-$C44+1),0),"█","░"),""))</f>
        <v/>
      </c>
      <c r="N44" s="27">
        <f>IF($F44="Yes",IF(DATE(2026,9,18)=$C44,"◆",""),IF(AND(DATE(2026,9,18)&gt;=$C44,DATE(2026,9,18)&lt;=$D44),IF(DATE(2026,9,18)&lt;$C44+ROUND($E44*($D44-$C44+1),0),"█","░"),""))</f>
        <v/>
      </c>
      <c r="O44" s="28">
        <f>IF($F44="Yes",IF(DATE(2026,9,19)=$C44,"◆",""),IF(AND(DATE(2026,9,19)&gt;=$C44,DATE(2026,9,19)&lt;=$D44),IF(DATE(2026,9,19)&lt;$C44+ROUND($E44*($D44-$C44+1),0),"█","░"),""))</f>
        <v/>
      </c>
      <c r="P44" s="28">
        <f>IF($F44="Yes",IF(DATE(2026,9,20)=$C44,"◆",""),IF(AND(DATE(2026,9,20)&gt;=$C44,DATE(2026,9,20)&lt;=$D44),IF(DATE(2026,9,20)&lt;$C44+ROUND($E44*($D44-$C44+1),0),"█","░"),""))</f>
        <v/>
      </c>
      <c r="Q44" s="27">
        <f>IF($F44="Yes",IF(DATE(2026,9,21)=$C44,"◆",""),IF(AND(DATE(2026,9,21)&gt;=$C44,DATE(2026,9,21)&lt;=$D44),IF(DATE(2026,9,21)&lt;$C44+ROUND($E44*($D44-$C44+1),0),"█","░"),""))</f>
        <v/>
      </c>
      <c r="R44" s="27">
        <f>IF($F44="Yes",IF(DATE(2026,9,22)=$C44,"◆",""),IF(AND(DATE(2026,9,22)&gt;=$C44,DATE(2026,9,22)&lt;=$D44),IF(DATE(2026,9,22)&lt;$C44+ROUND($E44*($D44-$C44+1),0),"█","░"),""))</f>
        <v/>
      </c>
      <c r="S44" s="27">
        <f>IF($F44="Yes",IF(DATE(2026,9,23)=$C44,"◆",""),IF(AND(DATE(2026,9,23)&gt;=$C44,DATE(2026,9,23)&lt;=$D44),IF(DATE(2026,9,23)&lt;$C44+ROUND($E44*($D44-$C44+1),0),"█","░"),""))</f>
        <v/>
      </c>
      <c r="T44" s="27">
        <f>IF($F44="Yes",IF(DATE(2026,9,24)=$C44,"◆",""),IF(AND(DATE(2026,9,24)&gt;=$C44,DATE(2026,9,24)&lt;=$D44),IF(DATE(2026,9,24)&lt;$C44+ROUND($E44*($D44-$C44+1),0),"█","░"),""))</f>
        <v/>
      </c>
      <c r="U44" s="27">
        <f>IF($F44="Yes",IF(DATE(2026,9,25)=$C44,"◆",""),IF(AND(DATE(2026,9,25)&gt;=$C44,DATE(2026,9,25)&lt;=$D44),IF(DATE(2026,9,25)&lt;$C44+ROUND($E44*($D44-$C44+1),0),"█","░"),""))</f>
        <v/>
      </c>
      <c r="V44" s="28">
        <f>IF($F44="Yes",IF(DATE(2026,9,26)=$C44,"◆",""),IF(AND(DATE(2026,9,26)&gt;=$C44,DATE(2026,9,26)&lt;=$D44),IF(DATE(2026,9,26)&lt;$C44+ROUND($E44*($D44-$C44+1),0),"█","░"),""))</f>
        <v/>
      </c>
      <c r="W44" s="28">
        <f>IF($F44="Yes",IF(DATE(2026,9,27)=$C44,"◆",""),IF(AND(DATE(2026,9,27)&gt;=$C44,DATE(2026,9,27)&lt;=$D44),IF(DATE(2026,9,27)&lt;$C44+ROUND($E44*($D44-$C44+1),0),"█","░"),""))</f>
        <v/>
      </c>
      <c r="X44" s="27">
        <f>IF($F44="Yes",IF(DATE(2026,9,28)=$C44,"◆",""),IF(AND(DATE(2026,9,28)&gt;=$C44,DATE(2026,9,28)&lt;=$D44),IF(DATE(2026,9,28)&lt;$C44+ROUND($E44*($D44-$C44+1),0),"█","░"),""))</f>
        <v/>
      </c>
      <c r="Y44" s="27">
        <f>IF($F44="Yes",IF(DATE(2026,9,29)=$C44,"◆",""),IF(AND(DATE(2026,9,29)&gt;=$C44,DATE(2026,9,29)&lt;=$D44),IF(DATE(2026,9,29)&lt;$C44+ROUND($E44*($D44-$C44+1),0),"█","░"),""))</f>
        <v/>
      </c>
      <c r="Z44" s="27">
        <f>IF($F44="Yes",IF(DATE(2026,9,30)=$C44,"◆",""),IF(AND(DATE(2026,9,30)&gt;=$C44,DATE(2026,9,30)&lt;=$D44),IF(DATE(2026,9,30)&lt;$C44+ROUND($E44*($D44-$C44+1),0),"█","░"),""))</f>
        <v/>
      </c>
      <c r="AA44" s="27">
        <f>IF($F44="Yes",IF(DATE(2026,10,1)=$C44,"◆",""),IF(AND(DATE(2026,10,1)&gt;=$C44,DATE(2026,10,1)&lt;=$D44),IF(DATE(2026,10,1)&lt;$C44+ROUND($E44*($D44-$C44+1),0),"█","░"),""))</f>
        <v/>
      </c>
      <c r="AB44" s="27">
        <f>IF($F44="Yes",IF(DATE(2026,10,2)=$C44,"◆",""),IF(AND(DATE(2026,10,2)&gt;=$C44,DATE(2026,10,2)&lt;=$D44),IF(DATE(2026,10,2)&lt;$C44+ROUND($E44*($D44-$C44+1),0),"█","░"),""))</f>
        <v/>
      </c>
      <c r="AC44" s="28">
        <f>IF($F44="Yes",IF(DATE(2026,10,3)=$C44,"◆",""),IF(AND(DATE(2026,10,3)&gt;=$C44,DATE(2026,10,3)&lt;=$D44),IF(DATE(2026,10,3)&lt;$C44+ROUND($E44*($D44-$C44+1),0),"█","░"),""))</f>
        <v/>
      </c>
      <c r="AD44" s="28">
        <f>IF($F44="Yes",IF(DATE(2026,10,4)=$C44,"◆",""),IF(AND(DATE(2026,10,4)&gt;=$C44,DATE(2026,10,4)&lt;=$D44),IF(DATE(2026,10,4)&lt;$C44+ROUND($E44*($D44-$C44+1),0),"█","░"),""))</f>
        <v/>
      </c>
      <c r="AE44" s="27">
        <f>IF($F44="Yes",IF(DATE(2026,10,5)=$C44,"◆",""),IF(AND(DATE(2026,10,5)&gt;=$C44,DATE(2026,10,5)&lt;=$D44),IF(DATE(2026,10,5)&lt;$C44+ROUND($E44*($D44-$C44+1),0),"█","░"),""))</f>
        <v/>
      </c>
      <c r="AF44" s="27">
        <f>IF($F44="Yes",IF(DATE(2026,10,6)=$C44,"◆",""),IF(AND(DATE(2026,10,6)&gt;=$C44,DATE(2026,10,6)&lt;=$D44),IF(DATE(2026,10,6)&lt;$C44+ROUND($E44*($D44-$C44+1),0),"█","░"),""))</f>
        <v/>
      </c>
      <c r="AG44" s="27">
        <f>IF($F44="Yes",IF(DATE(2026,10,7)=$C44,"◆",""),IF(AND(DATE(2026,10,7)&gt;=$C44,DATE(2026,10,7)&lt;=$D44),IF(DATE(2026,10,7)&lt;$C44+ROUND($E44*($D44-$C44+1),0),"█","░"),""))</f>
        <v/>
      </c>
      <c r="AH44" s="27">
        <f>IF($F44="Yes",IF(DATE(2026,10,8)=$C44,"◆",""),IF(AND(DATE(2026,10,8)&gt;=$C44,DATE(2026,10,8)&lt;=$D44),IF(DATE(2026,10,8)&lt;$C44+ROUND($E44*($D44-$C44+1),0),"█","░"),""))</f>
        <v/>
      </c>
      <c r="AI44" s="27">
        <f>IF($F44="Yes",IF(DATE(2026,10,9)=$C44,"◆",""),IF(AND(DATE(2026,10,9)&gt;=$C44,DATE(2026,10,9)&lt;=$D44),IF(DATE(2026,10,9)&lt;$C44+ROUND($E44*($D44-$C44+1),0),"█","░"),""))</f>
        <v/>
      </c>
      <c r="AJ44" s="28">
        <f>IF($F44="Yes",IF(DATE(2026,10,10)=$C44,"◆",""),IF(AND(DATE(2026,10,10)&gt;=$C44,DATE(2026,10,10)&lt;=$D44),IF(DATE(2026,10,10)&lt;$C44+ROUND($E44*($D44-$C44+1),0),"█","░"),""))</f>
        <v/>
      </c>
      <c r="AK44" s="28">
        <f>IF($F44="Yes",IF(DATE(2026,10,11)=$C44,"◆",""),IF(AND(DATE(2026,10,11)&gt;=$C44,DATE(2026,10,11)&lt;=$D44),IF(DATE(2026,10,11)&lt;$C44+ROUND($E44*($D44-$C44+1),0),"█","░"),""))</f>
        <v/>
      </c>
      <c r="AL44" s="27">
        <f>IF($F44="Yes",IF(DATE(2026,10,12)=$C44,"◆",""),IF(AND(DATE(2026,10,12)&gt;=$C44,DATE(2026,10,12)&lt;=$D44),IF(DATE(2026,10,12)&lt;$C44+ROUND($E44*($D44-$C44+1),0),"█","░"),""))</f>
        <v/>
      </c>
      <c r="AM44" s="27">
        <f>IF($F44="Yes",IF(DATE(2026,10,13)=$C44,"◆",""),IF(AND(DATE(2026,10,13)&gt;=$C44,DATE(2026,10,13)&lt;=$D44),IF(DATE(2026,10,13)&lt;$C44+ROUND($E44*($D44-$C44+1),0),"█","░"),""))</f>
        <v/>
      </c>
      <c r="AN44" s="27">
        <f>IF($F44="Yes",IF(DATE(2026,10,14)=$C44,"◆",""),IF(AND(DATE(2026,10,14)&gt;=$C44,DATE(2026,10,14)&lt;=$D44),IF(DATE(2026,10,14)&lt;$C44+ROUND($E44*($D44-$C44+1),0),"█","░"),""))</f>
        <v/>
      </c>
    </row>
    <row r="45">
      <c r="A45" s="4">
        <f>'Project Tracker'!A44</f>
        <v/>
      </c>
      <c r="B45" s="5">
        <f>'Project Tracker'!C44</f>
        <v/>
      </c>
      <c r="C45" s="7">
        <f>'Project Tracker'!E44</f>
        <v/>
      </c>
      <c r="D45" s="7">
        <f>'Project Tracker'!F44</f>
        <v/>
      </c>
      <c r="E45" s="9">
        <f>'Project Tracker'!N44</f>
        <v/>
      </c>
      <c r="F45" s="4">
        <f>'Project Tracker'!J44</f>
        <v/>
      </c>
      <c r="G45" s="27">
        <f>IF($F45="Yes",IF(DATE(2026,9,11)=$C45,"◆",""),IF(AND(DATE(2026,9,11)&gt;=$C45,DATE(2026,9,11)&lt;=$D45),IF(DATE(2026,9,11)&lt;$C45+ROUND($E45*($D45-$C45+1),0),"█","░"),""))</f>
        <v/>
      </c>
      <c r="H45" s="28">
        <f>IF($F45="Yes",IF(DATE(2026,9,12)=$C45,"◆",""),IF(AND(DATE(2026,9,12)&gt;=$C45,DATE(2026,9,12)&lt;=$D45),IF(DATE(2026,9,12)&lt;$C45+ROUND($E45*($D45-$C45+1),0),"█","░"),""))</f>
        <v/>
      </c>
      <c r="I45" s="28">
        <f>IF($F45="Yes",IF(DATE(2026,9,13)=$C45,"◆",""),IF(AND(DATE(2026,9,13)&gt;=$C45,DATE(2026,9,13)&lt;=$D45),IF(DATE(2026,9,13)&lt;$C45+ROUND($E45*($D45-$C45+1),0),"█","░"),""))</f>
        <v/>
      </c>
      <c r="J45" s="27">
        <f>IF($F45="Yes",IF(DATE(2026,9,14)=$C45,"◆",""),IF(AND(DATE(2026,9,14)&gt;=$C45,DATE(2026,9,14)&lt;=$D45),IF(DATE(2026,9,14)&lt;$C45+ROUND($E45*($D45-$C45+1),0),"█","░"),""))</f>
        <v/>
      </c>
      <c r="K45" s="27">
        <f>IF($F45="Yes",IF(DATE(2026,9,15)=$C45,"◆",""),IF(AND(DATE(2026,9,15)&gt;=$C45,DATE(2026,9,15)&lt;=$D45),IF(DATE(2026,9,15)&lt;$C45+ROUND($E45*($D45-$C45+1),0),"█","░"),""))</f>
        <v/>
      </c>
      <c r="L45" s="27">
        <f>IF($F45="Yes",IF(DATE(2026,9,16)=$C45,"◆",""),IF(AND(DATE(2026,9,16)&gt;=$C45,DATE(2026,9,16)&lt;=$D45),IF(DATE(2026,9,16)&lt;$C45+ROUND($E45*($D45-$C45+1),0),"█","░"),""))</f>
        <v/>
      </c>
      <c r="M45" s="27">
        <f>IF($F45="Yes",IF(DATE(2026,9,17)=$C45,"◆",""),IF(AND(DATE(2026,9,17)&gt;=$C45,DATE(2026,9,17)&lt;=$D45),IF(DATE(2026,9,17)&lt;$C45+ROUND($E45*($D45-$C45+1),0),"█","░"),""))</f>
        <v/>
      </c>
      <c r="N45" s="27">
        <f>IF($F45="Yes",IF(DATE(2026,9,18)=$C45,"◆",""),IF(AND(DATE(2026,9,18)&gt;=$C45,DATE(2026,9,18)&lt;=$D45),IF(DATE(2026,9,18)&lt;$C45+ROUND($E45*($D45-$C45+1),0),"█","░"),""))</f>
        <v/>
      </c>
      <c r="O45" s="28">
        <f>IF($F45="Yes",IF(DATE(2026,9,19)=$C45,"◆",""),IF(AND(DATE(2026,9,19)&gt;=$C45,DATE(2026,9,19)&lt;=$D45),IF(DATE(2026,9,19)&lt;$C45+ROUND($E45*($D45-$C45+1),0),"█","░"),""))</f>
        <v/>
      </c>
      <c r="P45" s="28">
        <f>IF($F45="Yes",IF(DATE(2026,9,20)=$C45,"◆",""),IF(AND(DATE(2026,9,20)&gt;=$C45,DATE(2026,9,20)&lt;=$D45),IF(DATE(2026,9,20)&lt;$C45+ROUND($E45*($D45-$C45+1),0),"█","░"),""))</f>
        <v/>
      </c>
      <c r="Q45" s="27">
        <f>IF($F45="Yes",IF(DATE(2026,9,21)=$C45,"◆",""),IF(AND(DATE(2026,9,21)&gt;=$C45,DATE(2026,9,21)&lt;=$D45),IF(DATE(2026,9,21)&lt;$C45+ROUND($E45*($D45-$C45+1),0),"█","░"),""))</f>
        <v/>
      </c>
      <c r="R45" s="27">
        <f>IF($F45="Yes",IF(DATE(2026,9,22)=$C45,"◆",""),IF(AND(DATE(2026,9,22)&gt;=$C45,DATE(2026,9,22)&lt;=$D45),IF(DATE(2026,9,22)&lt;$C45+ROUND($E45*($D45-$C45+1),0),"█","░"),""))</f>
        <v/>
      </c>
      <c r="S45" s="27">
        <f>IF($F45="Yes",IF(DATE(2026,9,23)=$C45,"◆",""),IF(AND(DATE(2026,9,23)&gt;=$C45,DATE(2026,9,23)&lt;=$D45),IF(DATE(2026,9,23)&lt;$C45+ROUND($E45*($D45-$C45+1),0),"█","░"),""))</f>
        <v/>
      </c>
      <c r="T45" s="27">
        <f>IF($F45="Yes",IF(DATE(2026,9,24)=$C45,"◆",""),IF(AND(DATE(2026,9,24)&gt;=$C45,DATE(2026,9,24)&lt;=$D45),IF(DATE(2026,9,24)&lt;$C45+ROUND($E45*($D45-$C45+1),0),"█","░"),""))</f>
        <v/>
      </c>
      <c r="U45" s="27">
        <f>IF($F45="Yes",IF(DATE(2026,9,25)=$C45,"◆",""),IF(AND(DATE(2026,9,25)&gt;=$C45,DATE(2026,9,25)&lt;=$D45),IF(DATE(2026,9,25)&lt;$C45+ROUND($E45*($D45-$C45+1),0),"█","░"),""))</f>
        <v/>
      </c>
      <c r="V45" s="28">
        <f>IF($F45="Yes",IF(DATE(2026,9,26)=$C45,"◆",""),IF(AND(DATE(2026,9,26)&gt;=$C45,DATE(2026,9,26)&lt;=$D45),IF(DATE(2026,9,26)&lt;$C45+ROUND($E45*($D45-$C45+1),0),"█","░"),""))</f>
        <v/>
      </c>
      <c r="W45" s="28">
        <f>IF($F45="Yes",IF(DATE(2026,9,27)=$C45,"◆",""),IF(AND(DATE(2026,9,27)&gt;=$C45,DATE(2026,9,27)&lt;=$D45),IF(DATE(2026,9,27)&lt;$C45+ROUND($E45*($D45-$C45+1),0),"█","░"),""))</f>
        <v/>
      </c>
      <c r="X45" s="27">
        <f>IF($F45="Yes",IF(DATE(2026,9,28)=$C45,"◆",""),IF(AND(DATE(2026,9,28)&gt;=$C45,DATE(2026,9,28)&lt;=$D45),IF(DATE(2026,9,28)&lt;$C45+ROUND($E45*($D45-$C45+1),0),"█","░"),""))</f>
        <v/>
      </c>
      <c r="Y45" s="27">
        <f>IF($F45="Yes",IF(DATE(2026,9,29)=$C45,"◆",""),IF(AND(DATE(2026,9,29)&gt;=$C45,DATE(2026,9,29)&lt;=$D45),IF(DATE(2026,9,29)&lt;$C45+ROUND($E45*($D45-$C45+1),0),"█","░"),""))</f>
        <v/>
      </c>
      <c r="Z45" s="27">
        <f>IF($F45="Yes",IF(DATE(2026,9,30)=$C45,"◆",""),IF(AND(DATE(2026,9,30)&gt;=$C45,DATE(2026,9,30)&lt;=$D45),IF(DATE(2026,9,30)&lt;$C45+ROUND($E45*($D45-$C45+1),0),"█","░"),""))</f>
        <v/>
      </c>
      <c r="AA45" s="27">
        <f>IF($F45="Yes",IF(DATE(2026,10,1)=$C45,"◆",""),IF(AND(DATE(2026,10,1)&gt;=$C45,DATE(2026,10,1)&lt;=$D45),IF(DATE(2026,10,1)&lt;$C45+ROUND($E45*($D45-$C45+1),0),"█","░"),""))</f>
        <v/>
      </c>
      <c r="AB45" s="27">
        <f>IF($F45="Yes",IF(DATE(2026,10,2)=$C45,"◆",""),IF(AND(DATE(2026,10,2)&gt;=$C45,DATE(2026,10,2)&lt;=$D45),IF(DATE(2026,10,2)&lt;$C45+ROUND($E45*($D45-$C45+1),0),"█","░"),""))</f>
        <v/>
      </c>
      <c r="AC45" s="28">
        <f>IF($F45="Yes",IF(DATE(2026,10,3)=$C45,"◆",""),IF(AND(DATE(2026,10,3)&gt;=$C45,DATE(2026,10,3)&lt;=$D45),IF(DATE(2026,10,3)&lt;$C45+ROUND($E45*($D45-$C45+1),0),"█","░"),""))</f>
        <v/>
      </c>
      <c r="AD45" s="28">
        <f>IF($F45="Yes",IF(DATE(2026,10,4)=$C45,"◆",""),IF(AND(DATE(2026,10,4)&gt;=$C45,DATE(2026,10,4)&lt;=$D45),IF(DATE(2026,10,4)&lt;$C45+ROUND($E45*($D45-$C45+1),0),"█","░"),""))</f>
        <v/>
      </c>
      <c r="AE45" s="27">
        <f>IF($F45="Yes",IF(DATE(2026,10,5)=$C45,"◆",""),IF(AND(DATE(2026,10,5)&gt;=$C45,DATE(2026,10,5)&lt;=$D45),IF(DATE(2026,10,5)&lt;$C45+ROUND($E45*($D45-$C45+1),0),"█","░"),""))</f>
        <v/>
      </c>
      <c r="AF45" s="27">
        <f>IF($F45="Yes",IF(DATE(2026,10,6)=$C45,"◆",""),IF(AND(DATE(2026,10,6)&gt;=$C45,DATE(2026,10,6)&lt;=$D45),IF(DATE(2026,10,6)&lt;$C45+ROUND($E45*($D45-$C45+1),0),"█","░"),""))</f>
        <v/>
      </c>
      <c r="AG45" s="27">
        <f>IF($F45="Yes",IF(DATE(2026,10,7)=$C45,"◆",""),IF(AND(DATE(2026,10,7)&gt;=$C45,DATE(2026,10,7)&lt;=$D45),IF(DATE(2026,10,7)&lt;$C45+ROUND($E45*($D45-$C45+1),0),"█","░"),""))</f>
        <v/>
      </c>
      <c r="AH45" s="27">
        <f>IF($F45="Yes",IF(DATE(2026,10,8)=$C45,"◆",""),IF(AND(DATE(2026,10,8)&gt;=$C45,DATE(2026,10,8)&lt;=$D45),IF(DATE(2026,10,8)&lt;$C45+ROUND($E45*($D45-$C45+1),0),"█","░"),""))</f>
        <v/>
      </c>
      <c r="AI45" s="27">
        <f>IF($F45="Yes",IF(DATE(2026,10,9)=$C45,"◆",""),IF(AND(DATE(2026,10,9)&gt;=$C45,DATE(2026,10,9)&lt;=$D45),IF(DATE(2026,10,9)&lt;$C45+ROUND($E45*($D45-$C45+1),0),"█","░"),""))</f>
        <v/>
      </c>
      <c r="AJ45" s="28">
        <f>IF($F45="Yes",IF(DATE(2026,10,10)=$C45,"◆",""),IF(AND(DATE(2026,10,10)&gt;=$C45,DATE(2026,10,10)&lt;=$D45),IF(DATE(2026,10,10)&lt;$C45+ROUND($E45*($D45-$C45+1),0),"█","░"),""))</f>
        <v/>
      </c>
      <c r="AK45" s="28">
        <f>IF($F45="Yes",IF(DATE(2026,10,11)=$C45,"◆",""),IF(AND(DATE(2026,10,11)&gt;=$C45,DATE(2026,10,11)&lt;=$D45),IF(DATE(2026,10,11)&lt;$C45+ROUND($E45*($D45-$C45+1),0),"█","░"),""))</f>
        <v/>
      </c>
      <c r="AL45" s="27">
        <f>IF($F45="Yes",IF(DATE(2026,10,12)=$C45,"◆",""),IF(AND(DATE(2026,10,12)&gt;=$C45,DATE(2026,10,12)&lt;=$D45),IF(DATE(2026,10,12)&lt;$C45+ROUND($E45*($D45-$C45+1),0),"█","░"),""))</f>
        <v/>
      </c>
      <c r="AM45" s="27">
        <f>IF($F45="Yes",IF(DATE(2026,10,13)=$C45,"◆",""),IF(AND(DATE(2026,10,13)&gt;=$C45,DATE(2026,10,13)&lt;=$D45),IF(DATE(2026,10,13)&lt;$C45+ROUND($E45*($D45-$C45+1),0),"█","░"),""))</f>
        <v/>
      </c>
      <c r="AN45" s="27">
        <f>IF($F45="Yes",IF(DATE(2026,10,14)=$C45,"◆",""),IF(AND(DATE(2026,10,14)&gt;=$C45,DATE(2026,10,14)&lt;=$D45),IF(DATE(2026,10,14)&lt;$C45+ROUND($E45*($D45-$C45+1),0),"█","░"),""))</f>
        <v/>
      </c>
    </row>
    <row r="46">
      <c r="A46" s="4">
        <f>'Project Tracker'!A45</f>
        <v/>
      </c>
      <c r="B46" s="5">
        <f>'Project Tracker'!C45</f>
        <v/>
      </c>
      <c r="C46" s="7">
        <f>'Project Tracker'!E45</f>
        <v/>
      </c>
      <c r="D46" s="7">
        <f>'Project Tracker'!F45</f>
        <v/>
      </c>
      <c r="E46" s="9">
        <f>'Project Tracker'!N45</f>
        <v/>
      </c>
      <c r="F46" s="4">
        <f>'Project Tracker'!J45</f>
        <v/>
      </c>
      <c r="G46" s="27">
        <f>IF($F46="Yes",IF(DATE(2026,9,11)=$C46,"◆",""),IF(AND(DATE(2026,9,11)&gt;=$C46,DATE(2026,9,11)&lt;=$D46),IF(DATE(2026,9,11)&lt;$C46+ROUND($E46*($D46-$C46+1),0),"█","░"),""))</f>
        <v/>
      </c>
      <c r="H46" s="28">
        <f>IF($F46="Yes",IF(DATE(2026,9,12)=$C46,"◆",""),IF(AND(DATE(2026,9,12)&gt;=$C46,DATE(2026,9,12)&lt;=$D46),IF(DATE(2026,9,12)&lt;$C46+ROUND($E46*($D46-$C46+1),0),"█","░"),""))</f>
        <v/>
      </c>
      <c r="I46" s="28">
        <f>IF($F46="Yes",IF(DATE(2026,9,13)=$C46,"◆",""),IF(AND(DATE(2026,9,13)&gt;=$C46,DATE(2026,9,13)&lt;=$D46),IF(DATE(2026,9,13)&lt;$C46+ROUND($E46*($D46-$C46+1),0),"█","░"),""))</f>
        <v/>
      </c>
      <c r="J46" s="27">
        <f>IF($F46="Yes",IF(DATE(2026,9,14)=$C46,"◆",""),IF(AND(DATE(2026,9,14)&gt;=$C46,DATE(2026,9,14)&lt;=$D46),IF(DATE(2026,9,14)&lt;$C46+ROUND($E46*($D46-$C46+1),0),"█","░"),""))</f>
        <v/>
      </c>
      <c r="K46" s="27">
        <f>IF($F46="Yes",IF(DATE(2026,9,15)=$C46,"◆",""),IF(AND(DATE(2026,9,15)&gt;=$C46,DATE(2026,9,15)&lt;=$D46),IF(DATE(2026,9,15)&lt;$C46+ROUND($E46*($D46-$C46+1),0),"█","░"),""))</f>
        <v/>
      </c>
      <c r="L46" s="27">
        <f>IF($F46="Yes",IF(DATE(2026,9,16)=$C46,"◆",""),IF(AND(DATE(2026,9,16)&gt;=$C46,DATE(2026,9,16)&lt;=$D46),IF(DATE(2026,9,16)&lt;$C46+ROUND($E46*($D46-$C46+1),0),"█","░"),""))</f>
        <v/>
      </c>
      <c r="M46" s="27">
        <f>IF($F46="Yes",IF(DATE(2026,9,17)=$C46,"◆",""),IF(AND(DATE(2026,9,17)&gt;=$C46,DATE(2026,9,17)&lt;=$D46),IF(DATE(2026,9,17)&lt;$C46+ROUND($E46*($D46-$C46+1),0),"█","░"),""))</f>
        <v/>
      </c>
      <c r="N46" s="27">
        <f>IF($F46="Yes",IF(DATE(2026,9,18)=$C46,"◆",""),IF(AND(DATE(2026,9,18)&gt;=$C46,DATE(2026,9,18)&lt;=$D46),IF(DATE(2026,9,18)&lt;$C46+ROUND($E46*($D46-$C46+1),0),"█","░"),""))</f>
        <v/>
      </c>
      <c r="O46" s="28">
        <f>IF($F46="Yes",IF(DATE(2026,9,19)=$C46,"◆",""),IF(AND(DATE(2026,9,19)&gt;=$C46,DATE(2026,9,19)&lt;=$D46),IF(DATE(2026,9,19)&lt;$C46+ROUND($E46*($D46-$C46+1),0),"█","░"),""))</f>
        <v/>
      </c>
      <c r="P46" s="28">
        <f>IF($F46="Yes",IF(DATE(2026,9,20)=$C46,"◆",""),IF(AND(DATE(2026,9,20)&gt;=$C46,DATE(2026,9,20)&lt;=$D46),IF(DATE(2026,9,20)&lt;$C46+ROUND($E46*($D46-$C46+1),0),"█","░"),""))</f>
        <v/>
      </c>
      <c r="Q46" s="27">
        <f>IF($F46="Yes",IF(DATE(2026,9,21)=$C46,"◆",""),IF(AND(DATE(2026,9,21)&gt;=$C46,DATE(2026,9,21)&lt;=$D46),IF(DATE(2026,9,21)&lt;$C46+ROUND($E46*($D46-$C46+1),0),"█","░"),""))</f>
        <v/>
      </c>
      <c r="R46" s="27">
        <f>IF($F46="Yes",IF(DATE(2026,9,22)=$C46,"◆",""),IF(AND(DATE(2026,9,22)&gt;=$C46,DATE(2026,9,22)&lt;=$D46),IF(DATE(2026,9,22)&lt;$C46+ROUND($E46*($D46-$C46+1),0),"█","░"),""))</f>
        <v/>
      </c>
      <c r="S46" s="27">
        <f>IF($F46="Yes",IF(DATE(2026,9,23)=$C46,"◆",""),IF(AND(DATE(2026,9,23)&gt;=$C46,DATE(2026,9,23)&lt;=$D46),IF(DATE(2026,9,23)&lt;$C46+ROUND($E46*($D46-$C46+1),0),"█","░"),""))</f>
        <v/>
      </c>
      <c r="T46" s="27">
        <f>IF($F46="Yes",IF(DATE(2026,9,24)=$C46,"◆",""),IF(AND(DATE(2026,9,24)&gt;=$C46,DATE(2026,9,24)&lt;=$D46),IF(DATE(2026,9,24)&lt;$C46+ROUND($E46*($D46-$C46+1),0),"█","░"),""))</f>
        <v/>
      </c>
      <c r="U46" s="27">
        <f>IF($F46="Yes",IF(DATE(2026,9,25)=$C46,"◆",""),IF(AND(DATE(2026,9,25)&gt;=$C46,DATE(2026,9,25)&lt;=$D46),IF(DATE(2026,9,25)&lt;$C46+ROUND($E46*($D46-$C46+1),0),"█","░"),""))</f>
        <v/>
      </c>
      <c r="V46" s="28">
        <f>IF($F46="Yes",IF(DATE(2026,9,26)=$C46,"◆",""),IF(AND(DATE(2026,9,26)&gt;=$C46,DATE(2026,9,26)&lt;=$D46),IF(DATE(2026,9,26)&lt;$C46+ROUND($E46*($D46-$C46+1),0),"█","░"),""))</f>
        <v/>
      </c>
      <c r="W46" s="28">
        <f>IF($F46="Yes",IF(DATE(2026,9,27)=$C46,"◆",""),IF(AND(DATE(2026,9,27)&gt;=$C46,DATE(2026,9,27)&lt;=$D46),IF(DATE(2026,9,27)&lt;$C46+ROUND($E46*($D46-$C46+1),0),"█","░"),""))</f>
        <v/>
      </c>
      <c r="X46" s="27">
        <f>IF($F46="Yes",IF(DATE(2026,9,28)=$C46,"◆",""),IF(AND(DATE(2026,9,28)&gt;=$C46,DATE(2026,9,28)&lt;=$D46),IF(DATE(2026,9,28)&lt;$C46+ROUND($E46*($D46-$C46+1),0),"█","░"),""))</f>
        <v/>
      </c>
      <c r="Y46" s="27">
        <f>IF($F46="Yes",IF(DATE(2026,9,29)=$C46,"◆",""),IF(AND(DATE(2026,9,29)&gt;=$C46,DATE(2026,9,29)&lt;=$D46),IF(DATE(2026,9,29)&lt;$C46+ROUND($E46*($D46-$C46+1),0),"█","░"),""))</f>
        <v/>
      </c>
      <c r="Z46" s="27">
        <f>IF($F46="Yes",IF(DATE(2026,9,30)=$C46,"◆",""),IF(AND(DATE(2026,9,30)&gt;=$C46,DATE(2026,9,30)&lt;=$D46),IF(DATE(2026,9,30)&lt;$C46+ROUND($E46*($D46-$C46+1),0),"█","░"),""))</f>
        <v/>
      </c>
      <c r="AA46" s="27">
        <f>IF($F46="Yes",IF(DATE(2026,10,1)=$C46,"◆",""),IF(AND(DATE(2026,10,1)&gt;=$C46,DATE(2026,10,1)&lt;=$D46),IF(DATE(2026,10,1)&lt;$C46+ROUND($E46*($D46-$C46+1),0),"█","░"),""))</f>
        <v/>
      </c>
      <c r="AB46" s="27">
        <f>IF($F46="Yes",IF(DATE(2026,10,2)=$C46,"◆",""),IF(AND(DATE(2026,10,2)&gt;=$C46,DATE(2026,10,2)&lt;=$D46),IF(DATE(2026,10,2)&lt;$C46+ROUND($E46*($D46-$C46+1),0),"█","░"),""))</f>
        <v/>
      </c>
      <c r="AC46" s="28">
        <f>IF($F46="Yes",IF(DATE(2026,10,3)=$C46,"◆",""),IF(AND(DATE(2026,10,3)&gt;=$C46,DATE(2026,10,3)&lt;=$D46),IF(DATE(2026,10,3)&lt;$C46+ROUND($E46*($D46-$C46+1),0),"█","░"),""))</f>
        <v/>
      </c>
      <c r="AD46" s="28">
        <f>IF($F46="Yes",IF(DATE(2026,10,4)=$C46,"◆",""),IF(AND(DATE(2026,10,4)&gt;=$C46,DATE(2026,10,4)&lt;=$D46),IF(DATE(2026,10,4)&lt;$C46+ROUND($E46*($D46-$C46+1),0),"█","░"),""))</f>
        <v/>
      </c>
      <c r="AE46" s="27">
        <f>IF($F46="Yes",IF(DATE(2026,10,5)=$C46,"◆",""),IF(AND(DATE(2026,10,5)&gt;=$C46,DATE(2026,10,5)&lt;=$D46),IF(DATE(2026,10,5)&lt;$C46+ROUND($E46*($D46-$C46+1),0),"█","░"),""))</f>
        <v/>
      </c>
      <c r="AF46" s="27">
        <f>IF($F46="Yes",IF(DATE(2026,10,6)=$C46,"◆",""),IF(AND(DATE(2026,10,6)&gt;=$C46,DATE(2026,10,6)&lt;=$D46),IF(DATE(2026,10,6)&lt;$C46+ROUND($E46*($D46-$C46+1),0),"█","░"),""))</f>
        <v/>
      </c>
      <c r="AG46" s="27">
        <f>IF($F46="Yes",IF(DATE(2026,10,7)=$C46,"◆",""),IF(AND(DATE(2026,10,7)&gt;=$C46,DATE(2026,10,7)&lt;=$D46),IF(DATE(2026,10,7)&lt;$C46+ROUND($E46*($D46-$C46+1),0),"█","░"),""))</f>
        <v/>
      </c>
      <c r="AH46" s="27">
        <f>IF($F46="Yes",IF(DATE(2026,10,8)=$C46,"◆",""),IF(AND(DATE(2026,10,8)&gt;=$C46,DATE(2026,10,8)&lt;=$D46),IF(DATE(2026,10,8)&lt;$C46+ROUND($E46*($D46-$C46+1),0),"█","░"),""))</f>
        <v/>
      </c>
      <c r="AI46" s="27">
        <f>IF($F46="Yes",IF(DATE(2026,10,9)=$C46,"◆",""),IF(AND(DATE(2026,10,9)&gt;=$C46,DATE(2026,10,9)&lt;=$D46),IF(DATE(2026,10,9)&lt;$C46+ROUND($E46*($D46-$C46+1),0),"█","░"),""))</f>
        <v/>
      </c>
      <c r="AJ46" s="28">
        <f>IF($F46="Yes",IF(DATE(2026,10,10)=$C46,"◆",""),IF(AND(DATE(2026,10,10)&gt;=$C46,DATE(2026,10,10)&lt;=$D46),IF(DATE(2026,10,10)&lt;$C46+ROUND($E46*($D46-$C46+1),0),"█","░"),""))</f>
        <v/>
      </c>
      <c r="AK46" s="28">
        <f>IF($F46="Yes",IF(DATE(2026,10,11)=$C46,"◆",""),IF(AND(DATE(2026,10,11)&gt;=$C46,DATE(2026,10,11)&lt;=$D46),IF(DATE(2026,10,11)&lt;$C46+ROUND($E46*($D46-$C46+1),0),"█","░"),""))</f>
        <v/>
      </c>
      <c r="AL46" s="27">
        <f>IF($F46="Yes",IF(DATE(2026,10,12)=$C46,"◆",""),IF(AND(DATE(2026,10,12)&gt;=$C46,DATE(2026,10,12)&lt;=$D46),IF(DATE(2026,10,12)&lt;$C46+ROUND($E46*($D46-$C46+1),0),"█","░"),""))</f>
        <v/>
      </c>
      <c r="AM46" s="27">
        <f>IF($F46="Yes",IF(DATE(2026,10,13)=$C46,"◆",""),IF(AND(DATE(2026,10,13)&gt;=$C46,DATE(2026,10,13)&lt;=$D46),IF(DATE(2026,10,13)&lt;$C46+ROUND($E46*($D46-$C46+1),0),"█","░"),""))</f>
        <v/>
      </c>
      <c r="AN46" s="27">
        <f>IF($F46="Yes",IF(DATE(2026,10,14)=$C46,"◆",""),IF(AND(DATE(2026,10,14)&gt;=$C46,DATE(2026,10,14)&lt;=$D46),IF(DATE(2026,10,14)&lt;$C46+ROUND($E46*($D46-$C46+1),0),"█","░"),""))</f>
        <v/>
      </c>
    </row>
  </sheetData>
  <mergeCells count="2">
    <mergeCell ref="AA3:AN3"/>
    <mergeCell ref="G3:Z3"/>
  </mergeCells>
  <conditionalFormatting sqref="G6:AN46">
    <cfRule type="cellIs" priority="1" operator="equal" dxfId="0" stopIfTrue="1">
      <formula>"█"</formula>
    </cfRule>
    <cfRule type="cellIs" priority="2" operator="equal" dxfId="1" stopIfTrue="1">
      <formula>"░"</formula>
    </cfRule>
    <cfRule type="cellIs" priority="3" operator="equal" dxfId="2" stopIfTrue="1">
      <formula>"◆"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6" customWidth="1" min="4" max="4"/>
    <col width="14" customWidth="1" min="5" max="5"/>
    <col width="32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</cols>
  <sheetData>
    <row r="2">
      <c r="B2" s="1" t="inlineStr">
        <is>
          <t>Governed Multi-Brand Agentic System — Executive Program Dashboard</t>
        </is>
      </c>
    </row>
    <row r="3">
      <c r="B3" s="2" t="inlineStr">
        <is>
          <t>Live Project Window: 2026-09-11 to 2026-10-14 | All Metrics Update Dynamically via Structured Formulas</t>
        </is>
      </c>
    </row>
    <row r="5">
      <c r="B5" s="29" t="inlineStr">
        <is>
          <t>TOTAL TASKS</t>
        </is>
      </c>
      <c r="C5" s="30" t="n"/>
      <c r="D5" s="29" t="inlineStr">
        <is>
          <t>COMPLETED TASKS</t>
        </is>
      </c>
      <c r="E5" s="30" t="n"/>
      <c r="F5" s="29" t="inlineStr">
        <is>
          <t>IN-PROGRESS TASKS</t>
        </is>
      </c>
      <c r="G5" s="30" t="n"/>
      <c r="H5" s="29" t="inlineStr">
        <is>
          <t>NOT STARTED</t>
        </is>
      </c>
      <c r="I5" s="30" t="n"/>
      <c r="J5" s="29" t="inlineStr">
        <is>
          <t>OVERALL PROGRESS</t>
        </is>
      </c>
      <c r="K5" s="30" t="n"/>
    </row>
    <row r="6">
      <c r="B6" s="31">
        <f>COUNTIF('Project Tracker'!J5:J45, "No")</f>
        <v/>
      </c>
      <c r="C6" s="30" t="n"/>
      <c r="D6" s="31">
        <f>COUNTIFS('Project Tracker'!J5:J45, "No", 'Project Tracker'!M5:M45, "Completed")</f>
        <v/>
      </c>
      <c r="E6" s="30" t="n"/>
      <c r="F6" s="31">
        <f>COUNTIFS('Project Tracker'!J5:J45, "No", 'Project Tracker'!M5:M45, "In Progress")</f>
        <v/>
      </c>
      <c r="G6" s="30" t="n"/>
      <c r="H6" s="31">
        <f>COUNTIFS('Project Tracker'!J5:J45, "No", 'Project Tracker'!M5:M45, "Not Started")</f>
        <v/>
      </c>
      <c r="I6" s="30" t="n"/>
      <c r="J6" s="32">
        <f>AVERAGEIFS('Project Tracker'!N5:N45, 'Project Tracker'!J5:J45, "No")</f>
        <v/>
      </c>
      <c r="K6" s="30" t="n"/>
    </row>
    <row r="8">
      <c r="B8" s="29" t="inlineStr">
        <is>
          <t>TOTAL MILESTONES</t>
        </is>
      </c>
      <c r="C8" s="30" t="n"/>
      <c r="D8" s="29" t="inlineStr">
        <is>
          <t>CLEARED MILESTONES</t>
        </is>
      </c>
      <c r="E8" s="30" t="n"/>
      <c r="F8" s="29" t="inlineStr">
        <is>
          <t>REMAINING MILESTONES</t>
        </is>
      </c>
      <c r="G8" s="30" t="n"/>
      <c r="H8" s="29" t="inlineStr">
        <is>
          <t>PROJECT WINDOW</t>
        </is>
      </c>
      <c r="I8" s="30" t="n"/>
      <c r="J8" s="29" t="inlineStr">
        <is>
          <t>DAYS REMAINING</t>
        </is>
      </c>
      <c r="K8" s="30" t="n"/>
    </row>
    <row r="9">
      <c r="B9" s="31">
        <f>COUNTIF('Project Tracker'!J5:J45, "Yes")</f>
        <v/>
      </c>
      <c r="C9" s="30" t="n"/>
      <c r="D9" s="31">
        <f>COUNTIFS('Project Tracker'!J5:J45, "Yes", 'Project Tracker'!M5:M45, "Completed")</f>
        <v/>
      </c>
      <c r="E9" s="30" t="n"/>
      <c r="F9" s="31">
        <f>COUNTIFS('Project Tracker'!J5:J45, "Yes", 'Project Tracker'!M5:M45, "&lt;&gt;Completed")</f>
        <v/>
      </c>
      <c r="G9" s="30" t="n"/>
      <c r="H9" s="33">
        <f>MAX(0, DATE(2026,10,14) - DATE(2026,9,11) + 1)</f>
        <v/>
      </c>
      <c r="I9" s="30" t="n"/>
      <c r="J9" s="33">
        <f>MAX(0, DATE(2026,10,14) - TODAY())</f>
        <v/>
      </c>
      <c r="K9" s="30" t="n"/>
    </row>
    <row r="12">
      <c r="B12" s="34" t="inlineStr">
        <is>
          <t>Workstream Status Breakdown</t>
        </is>
      </c>
      <c r="F12" s="34" t="inlineStr">
        <is>
          <t>Phase Execution &amp; Governance Health</t>
        </is>
      </c>
    </row>
    <row r="13">
      <c r="B13" s="24" t="inlineStr">
        <is>
          <t>Status</t>
        </is>
      </c>
      <c r="C13" s="24" t="inlineStr">
        <is>
          <t>Task Count</t>
        </is>
      </c>
      <c r="D13" s="24" t="inlineStr">
        <is>
          <t>% of Total</t>
        </is>
      </c>
      <c r="F13" s="24" t="inlineStr">
        <is>
          <t>Phase / Workstream</t>
        </is>
      </c>
      <c r="G13" s="24" t="inlineStr">
        <is>
          <t>Tasks</t>
        </is>
      </c>
      <c r="H13" s="24" t="inlineStr">
        <is>
          <t>Avg Progress</t>
        </is>
      </c>
    </row>
    <row r="14">
      <c r="B14" s="35" t="inlineStr">
        <is>
          <t>Not Started</t>
        </is>
      </c>
      <c r="C14" s="36">
        <f>COUNTIFS('Project Tracker'!$J$5:$J$45, "No", 'Project Tracker'!$M$5:$M$45, "Not Started")</f>
        <v/>
      </c>
      <c r="D14" s="37">
        <f>IF($B$5=0,0,C14/$B$5)</f>
        <v/>
      </c>
      <c r="F14" s="35" t="inlineStr">
        <is>
          <t>Phase 1: Governance &amp; Authority</t>
        </is>
      </c>
      <c r="G14" s="36">
        <f>COUNTIFS('Project Tracker'!$B$5:$B$45, "Phase 1*", 'Project Tracker'!$J$5:$J$45, "No")</f>
        <v/>
      </c>
      <c r="H14" s="37">
        <f>IFERROR(AVERAGEIFS('Project Tracker'!$N$5:$N$45, 'Project Tracker'!$B$5:$B$45, "Phase 1*", 'Project Tracker'!$J$5:$J$45, "No"), 0)</f>
        <v/>
      </c>
    </row>
    <row r="15">
      <c r="B15" s="35" t="inlineStr">
        <is>
          <t>In Progress</t>
        </is>
      </c>
      <c r="C15" s="36">
        <f>COUNTIFS('Project Tracker'!$J$5:$J$45, "No", 'Project Tracker'!$M$5:$M$45, "In Progress")</f>
        <v/>
      </c>
      <c r="D15" s="37">
        <f>IF($B$5=0,0,C15/$B$5)</f>
        <v/>
      </c>
      <c r="F15" s="35" t="inlineStr">
        <is>
          <t>Phase 2: Governed Data Plane</t>
        </is>
      </c>
      <c r="G15" s="36">
        <f>COUNTIFS('Project Tracker'!$B$5:$B$45, "Phase 2*", 'Project Tracker'!$J$5:$J$45, "No")</f>
        <v/>
      </c>
      <c r="H15" s="37">
        <f>IFERROR(AVERAGEIFS('Project Tracker'!$N$5:$N$45, 'Project Tracker'!$B$5:$B$45, "Phase 2*", 'Project Tracker'!$J$5:$J$45, "No"), 0)</f>
        <v/>
      </c>
    </row>
    <row r="16">
      <c r="B16" s="35" t="inlineStr">
        <is>
          <t>Completed</t>
        </is>
      </c>
      <c r="C16" s="36">
        <f>COUNTIFS('Project Tracker'!$J$5:$J$45, "No", 'Project Tracker'!$M$5:$M$45, "Completed")</f>
        <v/>
      </c>
      <c r="D16" s="37">
        <f>IF($B$5=0,0,C16/$B$5)</f>
        <v/>
      </c>
      <c r="F16" s="35" t="inlineStr">
        <is>
          <t>Phase 3: Sandbox Isolation</t>
        </is>
      </c>
      <c r="G16" s="36">
        <f>COUNTIFS('Project Tracker'!$B$5:$B$45, "Phase 3*", 'Project Tracker'!$J$5:$J$45, "No")</f>
        <v/>
      </c>
      <c r="H16" s="37">
        <f>IFERROR(AVERAGEIFS('Project Tracker'!$N$5:$N$45, 'Project Tracker'!$B$5:$B$45, "Phase 3*", 'Project Tracker'!$J$5:$J$45, "No"), 0)</f>
        <v/>
      </c>
    </row>
    <row r="17">
      <c r="B17" s="35" t="inlineStr">
        <is>
          <t>On Hold</t>
        </is>
      </c>
      <c r="C17" s="36">
        <f>COUNTIFS('Project Tracker'!$J$5:$J$45, "No", 'Project Tracker'!$M$5:$M$45, "On Hold")</f>
        <v/>
      </c>
      <c r="D17" s="37">
        <f>IF($B$5=0,0,C17/$B$5)</f>
        <v/>
      </c>
      <c r="F17" s="35" t="inlineStr">
        <is>
          <t>Phase 4: Domain Intelligence</t>
        </is>
      </c>
      <c r="G17" s="36">
        <f>COUNTIFS('Project Tracker'!$B$5:$B$45, "Phase 4*", 'Project Tracker'!$J$5:$J$45, "No")</f>
        <v/>
      </c>
      <c r="H17" s="37">
        <f>IFERROR(AVERAGEIFS('Project Tracker'!$N$5:$N$45, 'Project Tracker'!$B$5:$B$45, "Phase 4*", 'Project Tracker'!$J$5:$J$45, "No"), 0)</f>
        <v/>
      </c>
    </row>
    <row r="18">
      <c r="B18" s="35" t="inlineStr">
        <is>
          <t>Delayed</t>
        </is>
      </c>
      <c r="C18" s="36">
        <f>COUNTIFS('Project Tracker'!$J$5:$J$45, "No", 'Project Tracker'!$M$5:$M$45, "Delayed")</f>
        <v/>
      </c>
      <c r="D18" s="37">
        <f>IF($B$5=0,0,C18/$B$5)</f>
        <v/>
      </c>
      <c r="F18" s="35" t="inlineStr">
        <is>
          <t>Phase 5: Synthesis &amp; HITL Gate</t>
        </is>
      </c>
      <c r="G18" s="36">
        <f>COUNTIFS('Project Tracker'!$B$5:$B$45, "Phase 5*", 'Project Tracker'!$J$5:$J$45, "No")</f>
        <v/>
      </c>
      <c r="H18" s="37">
        <f>IFERROR(AVERAGEIFS('Project Tracker'!$N$5:$N$45, 'Project Tracker'!$B$5:$B$45, "Phase 5*", 'Project Tracker'!$J$5:$J$45, "No"), 0)</f>
        <v/>
      </c>
    </row>
    <row r="19">
      <c r="F19" s="35" t="inlineStr">
        <is>
          <t>Phase 6: Outbound Actuation</t>
        </is>
      </c>
      <c r="G19" s="36">
        <f>COUNTIFS('Project Tracker'!$B$5:$B$45, "Phase 6*", 'Project Tracker'!$J$5:$J$45, "No")</f>
        <v/>
      </c>
      <c r="H19" s="37">
        <f>IFERROR(AVERAGEIFS('Project Tracker'!$N$5:$N$45, 'Project Tracker'!$B$5:$B$45, "Phase 6*", 'Project Tracker'!$J$5:$J$45, "No"), 0)</f>
        <v/>
      </c>
    </row>
    <row r="20">
      <c r="F20" s="35" t="inlineStr">
        <is>
          <t>Phase 7: Closed-Loop Telemetry</t>
        </is>
      </c>
      <c r="G20" s="36">
        <f>COUNTIFS('Project Tracker'!$B$5:$B$45, "Phase 7*", 'Project Tracker'!$J$5:$J$45, "No")</f>
        <v/>
      </c>
      <c r="H20" s="37">
        <f>IFERROR(AVERAGEIFS('Project Tracker'!$N$5:$N$45, 'Project Tracker'!$B$5:$B$45, "Phase 7*", 'Project Tracker'!$J$5:$J$45, "No"), 0)</f>
        <v/>
      </c>
    </row>
    <row r="21">
      <c r="B21" s="34" t="inlineStr">
        <is>
          <t>Key Program Milestones &amp; Status</t>
        </is>
      </c>
    </row>
    <row r="22">
      <c r="B22" s="3" t="inlineStr">
        <is>
          <t>Milestone ID</t>
        </is>
      </c>
      <c r="C22" s="3" t="inlineStr">
        <is>
          <t>Checkpoint Name</t>
        </is>
      </c>
      <c r="D22" s="3" t="inlineStr">
        <is>
          <t>Scheduled Date</t>
        </is>
      </c>
      <c r="E22" s="3" t="inlineStr">
        <is>
          <t>Status</t>
        </is>
      </c>
      <c r="F22" s="3" t="inlineStr">
        <is>
          <t>Health</t>
        </is>
      </c>
    </row>
    <row r="23">
      <c r="B23" s="38">
        <f>'Project Tracker'!A9</f>
        <v/>
      </c>
      <c r="C23" s="39">
        <f>'Project Tracker'!C9</f>
        <v/>
      </c>
      <c r="D23" s="40">
        <f>'Project Tracker'!E9</f>
        <v/>
      </c>
      <c r="E23" s="38">
        <f>'Project Tracker'!M9</f>
        <v/>
      </c>
      <c r="F23" s="38">
        <f>'Project Tracker'!O9</f>
        <v/>
      </c>
    </row>
    <row r="24">
      <c r="B24" s="38">
        <f>'Project Tracker'!A16</f>
        <v/>
      </c>
      <c r="C24" s="39">
        <f>'Project Tracker'!C16</f>
        <v/>
      </c>
      <c r="D24" s="40">
        <f>'Project Tracker'!E16</f>
        <v/>
      </c>
      <c r="E24" s="38">
        <f>'Project Tracker'!M16</f>
        <v/>
      </c>
      <c r="F24" s="38">
        <f>'Project Tracker'!O16</f>
        <v/>
      </c>
    </row>
    <row r="25">
      <c r="B25" s="38">
        <f>'Project Tracker'!A21</f>
        <v/>
      </c>
      <c r="C25" s="39">
        <f>'Project Tracker'!C21</f>
        <v/>
      </c>
      <c r="D25" s="40">
        <f>'Project Tracker'!E21</f>
        <v/>
      </c>
      <c r="E25" s="38">
        <f>'Project Tracker'!M21</f>
        <v/>
      </c>
      <c r="F25" s="38">
        <f>'Project Tracker'!O21</f>
        <v/>
      </c>
    </row>
    <row r="26">
      <c r="B26" s="38">
        <f>'Project Tracker'!A29</f>
        <v/>
      </c>
      <c r="C26" s="39">
        <f>'Project Tracker'!C29</f>
        <v/>
      </c>
      <c r="D26" s="40">
        <f>'Project Tracker'!E29</f>
        <v/>
      </c>
      <c r="E26" s="38">
        <f>'Project Tracker'!M29</f>
        <v/>
      </c>
      <c r="F26" s="38">
        <f>'Project Tracker'!O29</f>
        <v/>
      </c>
    </row>
    <row r="27">
      <c r="B27" s="38">
        <f>'Project Tracker'!A33</f>
        <v/>
      </c>
      <c r="C27" s="39">
        <f>'Project Tracker'!C33</f>
        <v/>
      </c>
      <c r="D27" s="40">
        <f>'Project Tracker'!E33</f>
        <v/>
      </c>
      <c r="E27" s="38">
        <f>'Project Tracker'!M33</f>
        <v/>
      </c>
      <c r="F27" s="38">
        <f>'Project Tracker'!O33</f>
        <v/>
      </c>
    </row>
    <row r="28">
      <c r="B28" s="38">
        <f>'Project Tracker'!A39</f>
        <v/>
      </c>
      <c r="C28" s="39">
        <f>'Project Tracker'!C39</f>
        <v/>
      </c>
      <c r="D28" s="40">
        <f>'Project Tracker'!E39</f>
        <v/>
      </c>
      <c r="E28" s="38">
        <f>'Project Tracker'!M39</f>
        <v/>
      </c>
      <c r="F28" s="38">
        <f>'Project Tracker'!O39</f>
        <v/>
      </c>
    </row>
    <row r="29">
      <c r="B29" s="38">
        <f>'Project Tracker'!A45</f>
        <v/>
      </c>
      <c r="C29" s="39">
        <f>'Project Tracker'!C45</f>
        <v/>
      </c>
      <c r="D29" s="40">
        <f>'Project Tracker'!E45</f>
        <v/>
      </c>
      <c r="E29" s="38">
        <f>'Project Tracker'!M45</f>
        <v/>
      </c>
      <c r="F29" s="38">
        <f>'Project Tracker'!O45</f>
        <v/>
      </c>
    </row>
  </sheetData>
  <mergeCells count="20">
    <mergeCell ref="J5:K5"/>
    <mergeCell ref="F6:G6"/>
    <mergeCell ref="H9:I9"/>
    <mergeCell ref="J9:K9"/>
    <mergeCell ref="D6:E6"/>
    <mergeCell ref="H6:I6"/>
    <mergeCell ref="J6:K6"/>
    <mergeCell ref="F5:G5"/>
    <mergeCell ref="B8:C8"/>
    <mergeCell ref="F8:G8"/>
    <mergeCell ref="B9:C9"/>
    <mergeCell ref="D9:E9"/>
    <mergeCell ref="F9:G9"/>
    <mergeCell ref="D8:E8"/>
    <mergeCell ref="B6:C6"/>
    <mergeCell ref="B5:C5"/>
    <mergeCell ref="D5:E5"/>
    <mergeCell ref="H5:I5"/>
    <mergeCell ref="H8:I8"/>
    <mergeCell ref="J8:K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28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6" customWidth="1" min="6" max="6"/>
    <col width="55" customWidth="1" min="7" max="7"/>
  </cols>
  <sheetData>
    <row r="2">
      <c r="A2" s="1" t="inlineStr">
        <is>
          <t>Governed Multi-Brand Agentic System — Resource Matrix &amp; Utilization</t>
        </is>
      </c>
    </row>
    <row r="3">
      <c r="A3" s="2" t="inlineStr">
        <is>
          <t>Aggregates workload across human owners, control nodes, worker agents, and sandbox components</t>
        </is>
      </c>
    </row>
    <row r="4">
      <c r="A4" s="3" t="inlineStr">
        <is>
          <t>Resource Name</t>
        </is>
      </c>
      <c r="B4" s="3" t="inlineStr">
        <is>
          <t>Total Assigned Tasks</t>
        </is>
      </c>
      <c r="C4" s="3" t="inlineStr">
        <is>
          <t>Completed</t>
        </is>
      </c>
      <c r="D4" s="3" t="inlineStr">
        <is>
          <t>In Progress</t>
        </is>
      </c>
      <c r="E4" s="3" t="inlineStr">
        <is>
          <t>Remaining</t>
        </is>
      </c>
      <c r="F4" s="3" t="inlineStr">
        <is>
          <t>Average Progress</t>
        </is>
      </c>
      <c r="G4" s="3" t="inlineStr">
        <is>
          <t>Operational Role &amp; Allocation Notes</t>
        </is>
      </c>
    </row>
    <row r="5">
      <c r="A5" s="41" t="inlineStr">
        <is>
          <t>Brand Stakeholder / Portfolio Owner</t>
        </is>
      </c>
      <c r="B5" s="36">
        <f>COUNTIFS('Project Tracker'!$K$5:$K$45, "*" &amp; A5 &amp; "*", 'Project Tracker'!$J$5:$J$45, "No")</f>
        <v/>
      </c>
      <c r="C5" s="36">
        <f>COUNTIFS('Project Tracker'!$K$5:$K$45, "*" &amp; A5 &amp; "*", 'Project Tracker'!$M$5:$M$45, "Completed", 'Project Tracker'!$J$5:$J$45, "No")</f>
        <v/>
      </c>
      <c r="D5" s="36">
        <f>COUNTIFS('Project Tracker'!$K$5:$K$45, "*" &amp; A5 &amp; "*", 'Project Tracker'!$M$5:$M$45, "In Progress", 'Project Tracker'!$J$5:$J$45, "No")</f>
        <v/>
      </c>
      <c r="E5" s="36">
        <f>COUNTIFS('Project Tracker'!$K$5:$K$45, "*" &amp; A5 &amp; "*", 'Project Tracker'!$M$5:$M$45, "&lt;&gt;Completed", 'Project Tracker'!$J$5:$J$45, "No")</f>
        <v/>
      </c>
      <c r="F5" s="37">
        <f>IFERROR(AVERAGEIFS('Project Tracker'!$N$5:$N$45, 'Project Tracker'!$K$5:$K$45, "*" &amp; A5 &amp; "*", 'Project Tracker'!$J$5:$J$45, "No"), 0)</f>
        <v/>
      </c>
      <c r="G5" s="6" t="inlineStr">
        <is>
          <t>Governance authority; strategic directive inputs at project launch and acceptance sign-off at project close.</t>
        </is>
      </c>
    </row>
    <row r="6">
      <c r="A6" s="42" t="inlineStr">
        <is>
          <t>Enterprise Policy Engine</t>
        </is>
      </c>
      <c r="B6" s="43">
        <f>COUNTIFS('Project Tracker'!$K$5:$K$45, "*" &amp; A6 &amp; "*", 'Project Tracker'!$J$5:$J$45, "No")</f>
        <v/>
      </c>
      <c r="C6" s="43">
        <f>COUNTIFS('Project Tracker'!$K$5:$K$45, "*" &amp; A6 &amp; "*", 'Project Tracker'!$M$5:$M$45, "Completed", 'Project Tracker'!$J$5:$J$45, "No")</f>
        <v/>
      </c>
      <c r="D6" s="43">
        <f>COUNTIFS('Project Tracker'!$K$5:$K$45, "*" &amp; A6 &amp; "*", 'Project Tracker'!$M$5:$M$45, "In Progress", 'Project Tracker'!$J$5:$J$45, "No")</f>
        <v/>
      </c>
      <c r="E6" s="43">
        <f>COUNTIFS('Project Tracker'!$K$5:$K$45, "*" &amp; A6 &amp; "*", 'Project Tracker'!$M$5:$M$45, "&lt;&gt;Completed", 'Project Tracker'!$J$5:$J$45, "No")</f>
        <v/>
      </c>
      <c r="F6" s="44">
        <f>IFERROR(AVERAGEIFS('Project Tracker'!$N$5:$N$45, 'Project Tracker'!$K$5:$K$45, "*" &amp; A6 &amp; "*", 'Project Tracker'!$J$5:$J$45, "No"), 0)</f>
        <v/>
      </c>
      <c r="G6" s="12" t="inlineStr">
        <is>
          <t>Automated compliance engine; versioned policy envelope publication and tenant claim boundary enforcement.</t>
        </is>
      </c>
    </row>
    <row r="7">
      <c r="A7" s="41" t="inlineStr">
        <is>
          <t>Policy &amp; Authorization Boundary (PAB)</t>
        </is>
      </c>
      <c r="B7" s="36">
        <f>COUNTIFS('Project Tracker'!$K$5:$K$45, "*" &amp; A7 &amp; "*", 'Project Tracker'!$J$5:$J$45, "No")</f>
        <v/>
      </c>
      <c r="C7" s="36">
        <f>COUNTIFS('Project Tracker'!$K$5:$K$45, "*" &amp; A7 &amp; "*", 'Project Tracker'!$M$5:$M$45, "Completed", 'Project Tracker'!$J$5:$J$45, "No")</f>
        <v/>
      </c>
      <c r="D7" s="36">
        <f>COUNTIFS('Project Tracker'!$K$5:$K$45, "*" &amp; A7 &amp; "*", 'Project Tracker'!$M$5:$M$45, "In Progress", 'Project Tracker'!$J$5:$J$45, "No")</f>
        <v/>
      </c>
      <c r="E7" s="36">
        <f>COUNTIFS('Project Tracker'!$K$5:$K$45, "*" &amp; A7 &amp; "*", 'Project Tracker'!$M$5:$M$45, "&lt;&gt;Completed", 'Project Tracker'!$J$5:$J$45, "No")</f>
        <v/>
      </c>
      <c r="F7" s="37">
        <f>IFERROR(AVERAGEIFS('Project Tracker'!$N$5:$N$45, 'Project Tracker'!$K$5:$K$45, "*" &amp; A7 &amp; "*", 'Project Tracker'!$J$5:$J$45, "No"), 0)</f>
        <v/>
      </c>
      <c r="G7" s="6" t="inlineStr">
        <is>
          <t>Security proxy; caller ID evaluation, monotonic attenuation verification, and cryptographic delegation checks.</t>
        </is>
      </c>
    </row>
    <row r="8">
      <c r="A8" s="42" t="inlineStr">
        <is>
          <t>Canonical Task State Machine (CTS)</t>
        </is>
      </c>
      <c r="B8" s="43">
        <f>COUNTIFS('Project Tracker'!$K$5:$K$45, "*" &amp; A8 &amp; "*", 'Project Tracker'!$J$5:$J$45, "No")</f>
        <v/>
      </c>
      <c r="C8" s="43">
        <f>COUNTIFS('Project Tracker'!$K$5:$K$45, "*" &amp; A8 &amp; "*", 'Project Tracker'!$M$5:$M$45, "Completed", 'Project Tracker'!$J$5:$J$45, "No")</f>
        <v/>
      </c>
      <c r="D8" s="43">
        <f>COUNTIFS('Project Tracker'!$K$5:$K$45, "*" &amp; A8 &amp; "*", 'Project Tracker'!$M$5:$M$45, "In Progress", 'Project Tracker'!$J$5:$J$45, "No")</f>
        <v/>
      </c>
      <c r="E8" s="43">
        <f>COUNTIFS('Project Tracker'!$K$5:$K$45, "*" &amp; A8 &amp; "*", 'Project Tracker'!$M$5:$M$45, "&lt;&gt;Completed", 'Project Tracker'!$J$5:$J$45, "No")</f>
        <v/>
      </c>
      <c r="F8" s="44">
        <f>IFERROR(AVERAGEIFS('Project Tracker'!$N$5:$N$45, 'Project Tracker'!$K$5:$K$45, "*" &amp; A8 &amp; "*", 'Project Tracker'!$J$5:$J$45, "No"), 0)</f>
        <v/>
      </c>
      <c r="G8" s="12" t="inlineStr">
        <is>
          <t>Control state engine; maintains task DAG transitions, hold gates, and dependency locks.</t>
        </is>
      </c>
    </row>
    <row r="9">
      <c r="A9" s="41" t="inlineStr">
        <is>
          <t>Central Enterprise Database (CDB)</t>
        </is>
      </c>
      <c r="B9" s="36">
        <f>COUNTIFS('Project Tracker'!$K$5:$K$45, "*" &amp; A9 &amp; "*", 'Project Tracker'!$J$5:$J$45, "No")</f>
        <v/>
      </c>
      <c r="C9" s="36">
        <f>COUNTIFS('Project Tracker'!$K$5:$K$45, "*" &amp; A9 &amp; "*", 'Project Tracker'!$M$5:$M$45, "Completed", 'Project Tracker'!$J$5:$J$45, "No")</f>
        <v/>
      </c>
      <c r="D9" s="36">
        <f>COUNTIFS('Project Tracker'!$K$5:$K$45, "*" &amp; A9 &amp; "*", 'Project Tracker'!$M$5:$M$45, "In Progress", 'Project Tracker'!$J$5:$J$45, "No")</f>
        <v/>
      </c>
      <c r="E9" s="36">
        <f>COUNTIFS('Project Tracker'!$K$5:$K$45, "*" &amp; A9 &amp; "*", 'Project Tracker'!$M$5:$M$45, "&lt;&gt;Completed", 'Project Tracker'!$J$5:$J$45, "No")</f>
        <v/>
      </c>
      <c r="F9" s="37">
        <f>IFERROR(AVERAGEIFS('Project Tracker'!$N$5:$N$45, 'Project Tracker'!$K$5:$K$45, "*" &amp; A9 &amp; "*", 'Project Tracker'!$J$5:$J$45, "No"), 0)</f>
        <v/>
      </c>
      <c r="G9" s="6" t="inlineStr">
        <is>
          <t>Persistent system of record; relational tables, vector spaces, and timeseries telemetry ingestion.</t>
        </is>
      </c>
    </row>
    <row r="10">
      <c r="A10" s="42" t="inlineStr">
        <is>
          <t>Headless CMS &amp; Web Store (CMS)</t>
        </is>
      </c>
      <c r="B10" s="43">
        <f>COUNTIFS('Project Tracker'!$K$5:$K$45, "*" &amp; A10 &amp; "*", 'Project Tracker'!$J$5:$J$45, "No")</f>
        <v/>
      </c>
      <c r="C10" s="43">
        <f>COUNTIFS('Project Tracker'!$K$5:$K$45, "*" &amp; A10 &amp; "*", 'Project Tracker'!$M$5:$M$45, "Completed", 'Project Tracker'!$J$5:$J$45, "No")</f>
        <v/>
      </c>
      <c r="D10" s="43">
        <f>COUNTIFS('Project Tracker'!$K$5:$K$45, "*" &amp; A10 &amp; "*", 'Project Tracker'!$M$5:$M$45, "In Progress", 'Project Tracker'!$J$5:$J$45, "No")</f>
        <v/>
      </c>
      <c r="E10" s="43">
        <f>COUNTIFS('Project Tracker'!$K$5:$K$45, "*" &amp; A10 &amp; "*", 'Project Tracker'!$M$5:$M$45, "&lt;&gt;Completed", 'Project Tracker'!$J$5:$J$45, "No")</f>
        <v/>
      </c>
      <c r="F10" s="44">
        <f>IFERROR(AVERAGEIFS('Project Tracker'!$N$5:$N$45, 'Project Tracker'!$K$5:$K$45, "*" &amp; A10 &amp; "*", 'Project Tracker'!$J$5:$J$45, "No"), 0)</f>
        <v/>
      </c>
      <c r="G10" s="12" t="inlineStr">
        <is>
          <t>Content store; staged page layout schemas, catalog diffs, and production frontend models.</t>
        </is>
      </c>
    </row>
    <row r="11">
      <c r="A11" s="41" t="inlineStr">
        <is>
          <t>Institutional Memory Store (MEM)</t>
        </is>
      </c>
      <c r="B11" s="36">
        <f>COUNTIFS('Project Tracker'!$K$5:$K$45, "*" &amp; A11 &amp; "*", 'Project Tracker'!$J$5:$J$45, "No")</f>
        <v/>
      </c>
      <c r="C11" s="36">
        <f>COUNTIFS('Project Tracker'!$K$5:$K$45, "*" &amp; A11 &amp; "*", 'Project Tracker'!$M$5:$M$45, "Completed", 'Project Tracker'!$J$5:$J$45, "No")</f>
        <v/>
      </c>
      <c r="D11" s="36">
        <f>COUNTIFS('Project Tracker'!$K$5:$K$45, "*" &amp; A11 &amp; "*", 'Project Tracker'!$M$5:$M$45, "In Progress", 'Project Tracker'!$J$5:$J$45, "No")</f>
        <v/>
      </c>
      <c r="E11" s="36">
        <f>COUNTIFS('Project Tracker'!$K$5:$K$45, "*" &amp; A11 &amp; "*", 'Project Tracker'!$M$5:$M$45, "&lt;&gt;Completed", 'Project Tracker'!$J$5:$J$45, "No")</f>
        <v/>
      </c>
      <c r="F11" s="37">
        <f>IFERROR(AVERAGEIFS('Project Tracker'!$N$5:$N$45, 'Project Tracker'!$K$5:$K$45, "*" &amp; A11 &amp; "*", 'Project Tracker'!$J$5:$J$45, "No"), 0)</f>
        <v/>
      </c>
      <c r="G11" s="6" t="inlineStr">
        <is>
          <t>Institutional knowledge base; promoted heuristics, brand persona parameters, and optimization weights.</t>
        </is>
      </c>
    </row>
    <row r="12">
      <c r="A12" s="42" t="inlineStr">
        <is>
          <t>Artifact &amp; Evidence Registry (ART)</t>
        </is>
      </c>
      <c r="B12" s="43">
        <f>COUNTIFS('Project Tracker'!$K$5:$K$45, "*" &amp; A12 &amp; "*", 'Project Tracker'!$J$5:$J$45, "No")</f>
        <v/>
      </c>
      <c r="C12" s="43">
        <f>COUNTIFS('Project Tracker'!$K$5:$K$45, "*" &amp; A12 &amp; "*", 'Project Tracker'!$M$5:$M$45, "Completed", 'Project Tracker'!$J$5:$J$45, "No")</f>
        <v/>
      </c>
      <c r="D12" s="43">
        <f>COUNTIFS('Project Tracker'!$K$5:$K$45, "*" &amp; A12 &amp; "*", 'Project Tracker'!$M$5:$M$45, "In Progress", 'Project Tracker'!$J$5:$J$45, "No")</f>
        <v/>
      </c>
      <c r="E12" s="43">
        <f>COUNTIFS('Project Tracker'!$K$5:$K$45, "*" &amp; A12 &amp; "*", 'Project Tracker'!$M$5:$M$45, "&lt;&gt;Completed", 'Project Tracker'!$J$5:$J$45, "No")</f>
        <v/>
      </c>
      <c r="F12" s="44">
        <f>IFERROR(AVERAGEIFS('Project Tracker'!$N$5:$N$45, 'Project Tracker'!$K$5:$K$45, "*" &amp; A12 &amp; "*", 'Project Tracker'!$J$5:$J$45, "No"), 0)</f>
        <v/>
      </c>
      <c r="G12" s="12" t="inlineStr">
        <is>
          <t>Content-addressable storage; UUID and SHA-256 versioned diffs, proof dossiers, and asset packs.</t>
        </is>
      </c>
    </row>
    <row r="13">
      <c r="A13" s="41" t="inlineStr">
        <is>
          <t>Governed MCP Data Boundary</t>
        </is>
      </c>
      <c r="B13" s="36">
        <f>COUNTIFS('Project Tracker'!$K$5:$K$45, "*" &amp; A13 &amp; "*", 'Project Tracker'!$J$5:$J$45, "No")</f>
        <v/>
      </c>
      <c r="C13" s="36">
        <f>COUNTIFS('Project Tracker'!$K$5:$K$45, "*" &amp; A13 &amp; "*", 'Project Tracker'!$M$5:$M$45, "Completed", 'Project Tracker'!$J$5:$J$45, "No")</f>
        <v/>
      </c>
      <c r="D13" s="36">
        <f>COUNTIFS('Project Tracker'!$K$5:$K$45, "*" &amp; A13 &amp; "*", 'Project Tracker'!$M$5:$M$45, "In Progress", 'Project Tracker'!$J$5:$J$45, "No")</f>
        <v/>
      </c>
      <c r="E13" s="36">
        <f>COUNTIFS('Project Tracker'!$K$5:$K$45, "*" &amp; A13 &amp; "*", 'Project Tracker'!$M$5:$M$45, "&lt;&gt;Completed", 'Project Tracker'!$J$5:$J$45, "No")</f>
        <v/>
      </c>
      <c r="F13" s="37">
        <f>IFERROR(AVERAGEIFS('Project Tracker'!$N$5:$N$45, 'Project Tracker'!$K$5:$K$45, "*" &amp; A13 &amp; "*", 'Project Tracker'!$J$5:$J$45, "No"), 0)</f>
        <v/>
      </c>
      <c r="G13" s="6" t="inlineStr">
        <is>
          <t>Protocol capability gateway; CRUD adapters and schema-validated access to enterprise storage.</t>
        </is>
      </c>
    </row>
    <row r="14">
      <c r="A14" s="42" t="inlineStr">
        <is>
          <t>Agentic RAG Controller</t>
        </is>
      </c>
      <c r="B14" s="43">
        <f>COUNTIFS('Project Tracker'!$K$5:$K$45, "*" &amp; A14 &amp; "*", 'Project Tracker'!$J$5:$J$45, "No")</f>
        <v/>
      </c>
      <c r="C14" s="43">
        <f>COUNTIFS('Project Tracker'!$K$5:$K$45, "*" &amp; A14 &amp; "*", 'Project Tracker'!$M$5:$M$45, "Completed", 'Project Tracker'!$J$5:$J$45, "No")</f>
        <v/>
      </c>
      <c r="D14" s="43">
        <f>COUNTIFS('Project Tracker'!$K$5:$K$45, "*" &amp; A14 &amp; "*", 'Project Tracker'!$M$5:$M$45, "In Progress", 'Project Tracker'!$J$5:$J$45, "No")</f>
        <v/>
      </c>
      <c r="E14" s="43">
        <f>COUNTIFS('Project Tracker'!$K$5:$K$45, "*" &amp; A14 &amp; "*", 'Project Tracker'!$M$5:$M$45, "&lt;&gt;Completed", 'Project Tracker'!$J$5:$J$45, "No")</f>
        <v/>
      </c>
      <c r="F14" s="44">
        <f>IFERROR(AVERAGEIFS('Project Tracker'!$N$5:$N$45, 'Project Tracker'!$K$5:$K$45, "*" &amp; A14 &amp; "*", 'Project Tracker'!$J$5:$J$45, "No"), 0)</f>
        <v/>
      </c>
      <c r="G14" s="12" t="inlineStr">
        <is>
          <t>Exclusive Model A data retrieval broker for the Intelligence Engine; semantic search &amp; freshness checks.</t>
        </is>
      </c>
    </row>
    <row r="15">
      <c r="A15" s="41" t="inlineStr">
        <is>
          <t>Sandbox Controller (agent_sandbox)</t>
        </is>
      </c>
      <c r="B15" s="36">
        <f>COUNTIFS('Project Tracker'!$K$5:$K$45, "*" &amp; A15 &amp; "*", 'Project Tracker'!$J$5:$J$45, "No")</f>
        <v/>
      </c>
      <c r="C15" s="36">
        <f>COUNTIFS('Project Tracker'!$K$5:$K$45, "*" &amp; A15 &amp; "*", 'Project Tracker'!$M$5:$M$45, "Completed", 'Project Tracker'!$J$5:$J$45, "No")</f>
        <v/>
      </c>
      <c r="D15" s="36">
        <f>COUNTIFS('Project Tracker'!$K$5:$K$45, "*" &amp; A15 &amp; "*", 'Project Tracker'!$M$5:$M$45, "In Progress", 'Project Tracker'!$J$5:$J$45, "No")</f>
        <v/>
      </c>
      <c r="E15" s="36">
        <f>COUNTIFS('Project Tracker'!$K$5:$K$45, "*" &amp; A15 &amp; "*", 'Project Tracker'!$M$5:$M$45, "&lt;&gt;Completed", 'Project Tracker'!$J$5:$J$45, "No")</f>
        <v/>
      </c>
      <c r="F15" s="37">
        <f>IFERROR(AVERAGEIFS('Project Tracker'!$N$5:$N$45, 'Project Tracker'!$K$5:$K$45, "*" &amp; A15 &amp; "*", 'Project Tracker'!$J$5:$J$45, "No"), 0)</f>
        <v/>
      </c>
      <c r="G15" s="6" t="inlineStr">
        <is>
          <t>Micro-virtualization boundary; cgroups memory limits, seccomp profiles, and strict egress proxying.</t>
        </is>
      </c>
    </row>
    <row r="16">
      <c r="A16" s="42" t="inlineStr">
        <is>
          <t>Specialist Sub-Agents (L4_SUBS)</t>
        </is>
      </c>
      <c r="B16" s="43">
        <f>COUNTIFS('Project Tracker'!$K$5:$K$45, "*" &amp; A16 &amp; "*", 'Project Tracker'!$J$5:$J$45, "No")</f>
        <v/>
      </c>
      <c r="C16" s="43">
        <f>COUNTIFS('Project Tracker'!$K$5:$K$45, "*" &amp; A16 &amp; "*", 'Project Tracker'!$M$5:$M$45, "Completed", 'Project Tracker'!$J$5:$J$45, "No")</f>
        <v/>
      </c>
      <c r="D16" s="43">
        <f>COUNTIFS('Project Tracker'!$K$5:$K$45, "*" &amp; A16 &amp; "*", 'Project Tracker'!$M$5:$M$45, "In Progress", 'Project Tracker'!$J$5:$J$45, "No")</f>
        <v/>
      </c>
      <c r="E16" s="43">
        <f>COUNTIFS('Project Tracker'!$K$5:$K$45, "*" &amp; A16 &amp; "*", 'Project Tracker'!$M$5:$M$45, "&lt;&gt;Completed", 'Project Tracker'!$J$5:$J$45, "No")</f>
        <v/>
      </c>
      <c r="F16" s="44">
        <f>IFERROR(AVERAGEIFS('Project Tracker'!$N$5:$N$45, 'Project Tracker'!$K$5:$K$45, "*" &amp; A16 &amp; "*", 'Project Tracker'!$J$5:$J$45, "No"), 0)</f>
        <v/>
      </c>
      <c r="G16" s="12" t="inlineStr">
        <is>
          <t>Ephemeral micro-tools (S_CODE, S_ALLOC, S_COPY, S_VAL, S_SCRAPE, S_PARSE, S_ATTR) executed in sandbox.</t>
        </is>
      </c>
    </row>
    <row r="17">
      <c r="A17" s="41" t="inlineStr">
        <is>
          <t>Intelligence Engine (IE)</t>
        </is>
      </c>
      <c r="B17" s="36">
        <f>COUNTIFS('Project Tracker'!$K$5:$K$45, "*" &amp; A17 &amp; "*", 'Project Tracker'!$J$5:$J$45, "No")</f>
        <v/>
      </c>
      <c r="C17" s="36">
        <f>COUNTIFS('Project Tracker'!$K$5:$K$45, "*" &amp; A17 &amp; "*", 'Project Tracker'!$M$5:$M$45, "Completed", 'Project Tracker'!$J$5:$J$45, "No")</f>
        <v/>
      </c>
      <c r="D17" s="36">
        <f>COUNTIFS('Project Tracker'!$K$5:$K$45, "*" &amp; A17 &amp; "*", 'Project Tracker'!$M$5:$M$45, "In Progress", 'Project Tracker'!$J$5:$J$45, "No")</f>
        <v/>
      </c>
      <c r="E17" s="36">
        <f>COUNTIFS('Project Tracker'!$K$5:$K$45, "*" &amp; A17 &amp; "*", 'Project Tracker'!$M$5:$M$45, "&lt;&gt;Completed", 'Project Tracker'!$J$5:$J$45, "No")</f>
        <v/>
      </c>
      <c r="F17" s="37">
        <f>IFERROR(AVERAGEIFS('Project Tracker'!$N$5:$N$45, 'Project Tracker'!$K$5:$K$45, "*" &amp; A17 &amp; "*", 'Project Tracker'!$J$5:$J$45, "No"), 0)</f>
        <v/>
      </c>
      <c r="G17" s="6" t="inlineStr">
        <is>
          <t>Central Orchestrator; context assembly, DAG execution, upward evidence synthesis, and action previews.</t>
        </is>
      </c>
    </row>
    <row r="18">
      <c r="A18" s="42" t="inlineStr">
        <is>
          <t>Product / Evidence Engine &amp; S_VAL</t>
        </is>
      </c>
      <c r="B18" s="43">
        <f>COUNTIFS('Project Tracker'!$K$5:$K$45, "*" &amp; A18 &amp; "*", 'Project Tracker'!$J$5:$J$45, "No")</f>
        <v/>
      </c>
      <c r="C18" s="43">
        <f>COUNTIFS('Project Tracker'!$K$5:$K$45, "*" &amp; A18 &amp; "*", 'Project Tracker'!$M$5:$M$45, "Completed", 'Project Tracker'!$J$5:$J$45, "No")</f>
        <v/>
      </c>
      <c r="D18" s="43">
        <f>COUNTIFS('Project Tracker'!$K$5:$K$45, "*" &amp; A18 &amp; "*", 'Project Tracker'!$M$5:$M$45, "In Progress", 'Project Tracker'!$J$5:$J$45, "No")</f>
        <v/>
      </c>
      <c r="E18" s="43">
        <f>COUNTIFS('Project Tracker'!$K$5:$K$45, "*" &amp; A18 &amp; "*", 'Project Tracker'!$M$5:$M$45, "&lt;&gt;Completed", 'Project Tracker'!$J$5:$J$45, "No")</f>
        <v/>
      </c>
      <c r="F18" s="44">
        <f>IFERROR(AVERAGEIFS('Project Tracker'!$N$5:$N$45, 'Project Tracker'!$K$5:$K$45, "*" &amp; A18 &amp; "*", 'Project Tracker'!$J$5:$J$45, "No"), 0)</f>
        <v/>
      </c>
      <c r="G18" s="12" t="inlineStr">
        <is>
          <t>Domain worker; clinical trial extraction, regulatory claim validation, and formulation specifications.</t>
        </is>
      </c>
    </row>
    <row r="19">
      <c r="A19" s="41" t="inlineStr">
        <is>
          <t>Customer Voice Engine &amp; S_PARSE</t>
        </is>
      </c>
      <c r="B19" s="36">
        <f>COUNTIFS('Project Tracker'!$K$5:$K$45, "*" &amp; A19 &amp; "*", 'Project Tracker'!$J$5:$J$45, "No")</f>
        <v/>
      </c>
      <c r="C19" s="36">
        <f>COUNTIFS('Project Tracker'!$K$5:$K$45, "*" &amp; A19 &amp; "*", 'Project Tracker'!$M$5:$M$45, "Completed", 'Project Tracker'!$J$5:$J$45, "No")</f>
        <v/>
      </c>
      <c r="D19" s="36">
        <f>COUNTIFS('Project Tracker'!$K$5:$K$45, "*" &amp; A19 &amp; "*", 'Project Tracker'!$M$5:$M$45, "In Progress", 'Project Tracker'!$J$5:$J$45, "No")</f>
        <v/>
      </c>
      <c r="E19" s="36">
        <f>COUNTIFS('Project Tracker'!$K$5:$K$45, "*" &amp; A19 &amp; "*", 'Project Tracker'!$M$5:$M$45, "&lt;&gt;Completed", 'Project Tracker'!$J$5:$J$45, "No")</f>
        <v/>
      </c>
      <c r="F19" s="37">
        <f>IFERROR(AVERAGEIFS('Project Tracker'!$N$5:$N$45, 'Project Tracker'!$K$5:$K$45, "*" &amp; A19 &amp; "*", 'Project Tracker'!$J$5:$J$45, "No"), 0)</f>
        <v/>
      </c>
      <c r="G19" s="6" t="inlineStr">
        <is>
          <t>Domain worker; CX ticket ingestion, sentiment clustering, and customer objection mapping.</t>
        </is>
      </c>
    </row>
    <row r="20">
      <c r="A20" s="42" t="inlineStr">
        <is>
          <t>Competitor Intel Engine &amp; S_SCRAPE</t>
        </is>
      </c>
      <c r="B20" s="43">
        <f>COUNTIFS('Project Tracker'!$K$5:$K$45, "*" &amp; A20 &amp; "*", 'Project Tracker'!$J$5:$J$45, "No")</f>
        <v/>
      </c>
      <c r="C20" s="43">
        <f>COUNTIFS('Project Tracker'!$K$5:$K$45, "*" &amp; A20 &amp; "*", 'Project Tracker'!$M$5:$M$45, "Completed", 'Project Tracker'!$J$5:$J$45, "No")</f>
        <v/>
      </c>
      <c r="D20" s="43">
        <f>COUNTIFS('Project Tracker'!$K$5:$K$45, "*" &amp; A20 &amp; "*", 'Project Tracker'!$M$5:$M$45, "In Progress", 'Project Tracker'!$J$5:$J$45, "No")</f>
        <v/>
      </c>
      <c r="E20" s="43">
        <f>COUNTIFS('Project Tracker'!$K$5:$K$45, "*" &amp; A20 &amp; "*", 'Project Tracker'!$M$5:$M$45, "&lt;&gt;Completed", 'Project Tracker'!$J$5:$J$45, "No")</f>
        <v/>
      </c>
      <c r="F20" s="44">
        <f>IFERROR(AVERAGEIFS('Project Tracker'!$N$5:$N$45, 'Project Tracker'!$K$5:$K$45, "*" &amp; A20 &amp; "*", 'Project Tracker'!$J$5:$J$45, "No"), 0)</f>
        <v/>
      </c>
      <c r="G20" s="12" t="inlineStr">
        <is>
          <t>Domain worker; proxy-mediated ad library scraping, price tracking, and positioning analysis.</t>
        </is>
      </c>
    </row>
    <row r="21">
      <c r="A21" s="41" t="inlineStr">
        <is>
          <t>Strategy Engine &amp; S_ALLOC</t>
        </is>
      </c>
      <c r="B21" s="36">
        <f>COUNTIFS('Project Tracker'!$K$5:$K$45, "*" &amp; A21 &amp; "*", 'Project Tracker'!$J$5:$J$45, "No")</f>
        <v/>
      </c>
      <c r="C21" s="36">
        <f>COUNTIFS('Project Tracker'!$K$5:$K$45, "*" &amp; A21 &amp; "*", 'Project Tracker'!$M$5:$M$45, "Completed", 'Project Tracker'!$J$5:$J$45, "No")</f>
        <v/>
      </c>
      <c r="D21" s="36">
        <f>COUNTIFS('Project Tracker'!$K$5:$K$45, "*" &amp; A21 &amp; "*", 'Project Tracker'!$M$5:$M$45, "In Progress", 'Project Tracker'!$J$5:$J$45, "No")</f>
        <v/>
      </c>
      <c r="E21" s="36">
        <f>COUNTIFS('Project Tracker'!$K$5:$K$45, "*" &amp; A21 &amp; "*", 'Project Tracker'!$M$5:$M$45, "&lt;&gt;Completed", 'Project Tracker'!$J$5:$J$45, "No")</f>
        <v/>
      </c>
      <c r="F21" s="37">
        <f>IFERROR(AVERAGEIFS('Project Tracker'!$N$5:$N$45, 'Project Tracker'!$K$5:$K$45, "*" &amp; A21 &amp; "*", 'Project Tracker'!$J$5:$J$45, "No"), 0)</f>
        <v/>
      </c>
      <c r="G21" s="6" t="inlineStr">
        <is>
          <t>Domain worker; multi-brand marketing roadmaps, budget allocation modeling, and funnel planning.</t>
        </is>
      </c>
    </row>
    <row r="22">
      <c r="A22" s="42" t="inlineStr">
        <is>
          <t>Creative &amp; Content Engine &amp; S_COPY</t>
        </is>
      </c>
      <c r="B22" s="43">
        <f>COUNTIFS('Project Tracker'!$K$5:$K$45, "*" &amp; A22 &amp; "*", 'Project Tracker'!$J$5:$J$45, "No")</f>
        <v/>
      </c>
      <c r="C22" s="43">
        <f>COUNTIFS('Project Tracker'!$K$5:$K$45, "*" &amp; A22 &amp; "*", 'Project Tracker'!$M$5:$M$45, "Completed", 'Project Tracker'!$J$5:$J$45, "No")</f>
        <v/>
      </c>
      <c r="D22" s="43">
        <f>COUNTIFS('Project Tracker'!$K$5:$K$45, "*" &amp; A22 &amp; "*", 'Project Tracker'!$M$5:$M$45, "In Progress", 'Project Tracker'!$J$5:$J$45, "No")</f>
        <v/>
      </c>
      <c r="E22" s="43">
        <f>COUNTIFS('Project Tracker'!$K$5:$K$45, "*" &amp; A22 &amp; "*", 'Project Tracker'!$M$5:$M$45, "&lt;&gt;Completed", 'Project Tracker'!$J$5:$J$45, "No")</f>
        <v/>
      </c>
      <c r="F22" s="44">
        <f>IFERROR(AVERAGEIFS('Project Tracker'!$N$5:$N$45, 'Project Tracker'!$K$5:$K$45, "*" &amp; A22 &amp; "*", 'Project Tracker'!$J$5:$J$45, "No"), 0)</f>
        <v/>
      </c>
      <c r="G22" s="12" t="inlineStr">
        <is>
          <t>Domain worker; multi-variant copy generation, hook drafting, and visual brief formatting.</t>
        </is>
      </c>
    </row>
    <row r="23">
      <c r="A23" s="41" t="inlineStr">
        <is>
          <t>Development Engine &amp; S_CODE</t>
        </is>
      </c>
      <c r="B23" s="36">
        <f>COUNTIFS('Project Tracker'!$K$5:$K$45, "*" &amp; A23 &amp; "*", 'Project Tracker'!$J$5:$J$45, "No")</f>
        <v/>
      </c>
      <c r="C23" s="36">
        <f>COUNTIFS('Project Tracker'!$K$5:$K$45, "*" &amp; A23 &amp; "*", 'Project Tracker'!$M$5:$M$45, "Completed", 'Project Tracker'!$J$5:$J$45, "No")</f>
        <v/>
      </c>
      <c r="D23" s="36">
        <f>COUNTIFS('Project Tracker'!$K$5:$K$45, "*" &amp; A23 &amp; "*", 'Project Tracker'!$M$5:$M$45, "In Progress", 'Project Tracker'!$J$5:$J$45, "No")</f>
        <v/>
      </c>
      <c r="E23" s="36">
        <f>COUNTIFS('Project Tracker'!$K$5:$K$45, "*" &amp; A23 &amp; "*", 'Project Tracker'!$M$5:$M$45, "&lt;&gt;Completed", 'Project Tracker'!$J$5:$J$45, "No")</f>
        <v/>
      </c>
      <c r="F23" s="37">
        <f>IFERROR(AVERAGEIFS('Project Tracker'!$N$5:$N$45, 'Project Tracker'!$K$5:$K$45, "*" &amp; A23 &amp; "*", 'Project Tracker'!$J$5:$J$45, "No"), 0)</f>
        <v/>
      </c>
      <c r="G23" s="6" t="inlineStr">
        <is>
          <t>Domain worker; storefront components, AST code linting, CMS schemas, and pull request diffs.</t>
        </is>
      </c>
    </row>
    <row r="24">
      <c r="A24" s="42" t="inlineStr">
        <is>
          <t>Human-in-the-Loop (HITL) Gate</t>
        </is>
      </c>
      <c r="B24" s="43">
        <f>COUNTIFS('Project Tracker'!$K$5:$K$45, "*" &amp; A24 &amp; "*", 'Project Tracker'!$J$5:$J$45, "No")</f>
        <v/>
      </c>
      <c r="C24" s="43">
        <f>COUNTIFS('Project Tracker'!$K$5:$K$45, "*" &amp; A24 &amp; "*", 'Project Tracker'!$M$5:$M$45, "Completed", 'Project Tracker'!$J$5:$J$45, "No")</f>
        <v/>
      </c>
      <c r="D24" s="43">
        <f>COUNTIFS('Project Tracker'!$K$5:$K$45, "*" &amp; A24 &amp; "*", 'Project Tracker'!$M$5:$M$45, "In Progress", 'Project Tracker'!$J$5:$J$45, "No")</f>
        <v/>
      </c>
      <c r="E24" s="43">
        <f>COUNTIFS('Project Tracker'!$K$5:$K$45, "*" &amp; A24 &amp; "*", 'Project Tracker'!$M$5:$M$45, "&lt;&gt;Completed", 'Project Tracker'!$J$5:$J$45, "No")</f>
        <v/>
      </c>
      <c r="F24" s="44">
        <f>IFERROR(AVERAGEIFS('Project Tracker'!$N$5:$N$45, 'Project Tracker'!$K$5:$K$45, "*" &amp; A24 &amp; "*", 'Project Tracker'!$J$5:$J$45, "No"), 0)</f>
        <v/>
      </c>
      <c r="G24" s="12" t="inlineStr">
        <is>
          <t>Quality gatekeeper; mandatory human clearance for marketing spend, legal claims, and code deployment.</t>
        </is>
      </c>
    </row>
    <row r="25">
      <c r="A25" s="41" t="inlineStr">
        <is>
          <t>Outbound Actuation MCP Boundary</t>
        </is>
      </c>
      <c r="B25" s="36">
        <f>COUNTIFS('Project Tracker'!$K$5:$K$45, "*" &amp; A25 &amp; "*", 'Project Tracker'!$J$5:$J$45, "No")</f>
        <v/>
      </c>
      <c r="C25" s="36">
        <f>COUNTIFS('Project Tracker'!$K$5:$K$45, "*" &amp; A25 &amp; "*", 'Project Tracker'!$M$5:$M$45, "Completed", 'Project Tracker'!$J$5:$J$45, "No")</f>
        <v/>
      </c>
      <c r="D25" s="36">
        <f>COUNTIFS('Project Tracker'!$K$5:$K$45, "*" &amp; A25 &amp; "*", 'Project Tracker'!$M$5:$M$45, "In Progress", 'Project Tracker'!$J$5:$J$45, "No")</f>
        <v/>
      </c>
      <c r="E25" s="36">
        <f>COUNTIFS('Project Tracker'!$K$5:$K$45, "*" &amp; A25 &amp; "*", 'Project Tracker'!$M$5:$M$45, "&lt;&gt;Completed", 'Project Tracker'!$J$5:$J$45, "No")</f>
        <v/>
      </c>
      <c r="F25" s="37">
        <f>IFERROR(AVERAGEIFS('Project Tracker'!$N$5:$N$45, 'Project Tracker'!$K$5:$K$45, "*" &amp; A25 &amp; "*", 'Project Tracker'!$J$5:$J$45, "No"), 0)</f>
        <v/>
      </c>
      <c r="G25" s="6" t="inlineStr">
        <is>
          <t>Security egress gateway; audience token injection, cryptographic signing, and rate-limited API dispatch.</t>
        </is>
      </c>
    </row>
    <row r="26">
      <c r="A26" s="42" t="inlineStr">
        <is>
          <t>Omnichannel Telemetry Engine</t>
        </is>
      </c>
      <c r="B26" s="43">
        <f>COUNTIFS('Project Tracker'!$K$5:$K$45, "*" &amp; A26 &amp; "*", 'Project Tracker'!$J$5:$J$45, "No")</f>
        <v/>
      </c>
      <c r="C26" s="43">
        <f>COUNTIFS('Project Tracker'!$K$5:$K$45, "*" &amp; A26 &amp; "*", 'Project Tracker'!$M$5:$M$45, "Completed", 'Project Tracker'!$J$5:$J$45, "No")</f>
        <v/>
      </c>
      <c r="D26" s="43">
        <f>COUNTIFS('Project Tracker'!$K$5:$K$45, "*" &amp; A26 &amp; "*", 'Project Tracker'!$M$5:$M$45, "In Progress", 'Project Tracker'!$J$5:$J$45, "No")</f>
        <v/>
      </c>
      <c r="E26" s="43">
        <f>COUNTIFS('Project Tracker'!$K$5:$K$45, "*" &amp; A26 &amp; "*", 'Project Tracker'!$M$5:$M$45, "&lt;&gt;Completed", 'Project Tracker'!$J$5:$J$45, "No")</f>
        <v/>
      </c>
      <c r="F26" s="44">
        <f>IFERROR(AVERAGEIFS('Project Tracker'!$N$5:$N$45, 'Project Tracker'!$K$5:$K$45, "*" &amp; A26 &amp; "*", 'Project Tracker'!$J$5:$J$45, "No"), 0)</f>
        <v/>
      </c>
      <c r="G26" s="12" t="inlineStr">
        <is>
          <t>Real-time event ingestor; webhooks, pixel triggers, conversion telemetry, and server log streams.</t>
        </is>
      </c>
    </row>
    <row r="27">
      <c r="A27" s="41" t="inlineStr">
        <is>
          <t>Learning &amp; Performance Engine &amp; S_ATTR</t>
        </is>
      </c>
      <c r="B27" s="36">
        <f>COUNTIFS('Project Tracker'!$K$5:$K$45, "*" &amp; A27 &amp; "*", 'Project Tracker'!$J$5:$J$45, "No")</f>
        <v/>
      </c>
      <c r="C27" s="36">
        <f>COUNTIFS('Project Tracker'!$K$5:$K$45, "*" &amp; A27 &amp; "*", 'Project Tracker'!$M$5:$M$45, "Completed", 'Project Tracker'!$J$5:$J$45, "No")</f>
        <v/>
      </c>
      <c r="D27" s="36">
        <f>COUNTIFS('Project Tracker'!$K$5:$K$45, "*" &amp; A27 &amp; "*", 'Project Tracker'!$M$5:$M$45, "In Progress", 'Project Tracker'!$J$5:$J$45, "No")</f>
        <v/>
      </c>
      <c r="E27" s="36">
        <f>COUNTIFS('Project Tracker'!$K$5:$K$45, "*" &amp; A27 &amp; "*", 'Project Tracker'!$M$5:$M$45, "&lt;&gt;Completed", 'Project Tracker'!$J$5:$J$45, "No")</f>
        <v/>
      </c>
      <c r="F27" s="37">
        <f>IFERROR(AVERAGEIFS('Project Tracker'!$N$5:$N$45, 'Project Tracker'!$K$5:$K$45, "*" &amp; A27 &amp; "*", 'Project Tracker'!$J$5:$J$45, "No"), 0)</f>
        <v/>
      </c>
      <c r="G27" s="6" t="inlineStr">
        <is>
          <t>Domain worker; multi-touch attribution, creative decay estimation, and ROAS optimization.</t>
        </is>
      </c>
    </row>
    <row r="28">
      <c r="A28" s="42" t="inlineStr">
        <is>
          <t>W3C PROV Immutable Ledger</t>
        </is>
      </c>
      <c r="B28" s="43">
        <f>COUNTIFS('Project Tracker'!$K$5:$K$45, "*" &amp; A28 &amp; "*", 'Project Tracker'!$J$5:$J$45, "No")</f>
        <v/>
      </c>
      <c r="C28" s="43">
        <f>COUNTIFS('Project Tracker'!$K$5:$K$45, "*" &amp; A28 &amp; "*", 'Project Tracker'!$M$5:$M$45, "Completed", 'Project Tracker'!$J$5:$J$45, "No")</f>
        <v/>
      </c>
      <c r="D28" s="43">
        <f>COUNTIFS('Project Tracker'!$K$5:$K$45, "*" &amp; A28 &amp; "*", 'Project Tracker'!$M$5:$M$45, "In Progress", 'Project Tracker'!$J$5:$J$45, "No")</f>
        <v/>
      </c>
      <c r="E28" s="43">
        <f>COUNTIFS('Project Tracker'!$K$5:$K$45, "*" &amp; A28 &amp; "*", 'Project Tracker'!$M$5:$M$45, "&lt;&gt;Completed", 'Project Tracker'!$J$5:$J$45, "No")</f>
        <v/>
      </c>
      <c r="F28" s="44">
        <f>IFERROR(AVERAGEIFS('Project Tracker'!$N$5:$N$45, 'Project Tracker'!$K$5:$K$45, "*" &amp; A28 &amp; "*", 'Project Tracker'!$J$5:$J$45, "No"), 0)</f>
        <v/>
      </c>
      <c r="G28" s="12" t="inlineStr">
        <is>
          <t>Tamper-evident audit store; W3C PROV entity-activity-agent relationships and execution lineage.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12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45" customWidth="1" min="3" max="3"/>
    <col width="45" customWidth="1" min="4" max="4"/>
    <col width="45" customWidth="1" min="5" max="5"/>
  </cols>
  <sheetData>
    <row r="2">
      <c r="A2" s="1" t="inlineStr">
        <is>
          <t>Governed Multi-Brand Agentic System — Architectural Assumptions &amp; Gaps</t>
        </is>
      </c>
    </row>
    <row r="3">
      <c r="A3" s="2" t="inlineStr">
        <is>
          <t>Formal reconciliation audit categorized by standard governance labels</t>
        </is>
      </c>
    </row>
    <row r="4">
      <c r="A4" s="24" t="inlineStr">
        <is>
          <t>Classification Label</t>
        </is>
      </c>
      <c r="B4" s="24" t="inlineStr">
        <is>
          <t>Source Field / Item</t>
        </is>
      </c>
      <c r="C4" s="24" t="inlineStr">
        <is>
          <t>Identified Condition / Architectural Context</t>
        </is>
      </c>
      <c r="D4" s="24" t="inlineStr">
        <is>
          <t>Resolution Implemented in Workbook</t>
        </is>
      </c>
      <c r="E4" s="24" t="inlineStr">
        <is>
          <t>User / Stakeholder Action Needed</t>
        </is>
      </c>
    </row>
    <row r="5">
      <c r="A5" s="45" t="inlineStr">
        <is>
          <t>[CONFLICT]</t>
        </is>
      </c>
      <c r="B5" s="41" t="inlineStr">
        <is>
          <t>System Architecture Flowcharts</t>
        </is>
      </c>
      <c r="C5" s="46" t="inlineStr">
        <is>
          <t>Comparison between Final-Level Full Architecture.md and flowchart.drawio.html.</t>
        </is>
      </c>
      <c r="D5" s="46" t="inlineStr">
        <is>
          <t>Zero architectural conflicts identified. The Draw.io XML contains the identical Mermaid syntax and layer groupings.</t>
        </is>
      </c>
      <c r="E5" s="46" t="inlineStr">
        <is>
          <t>None. System topology is 100% verified and structurally consistent.</t>
        </is>
      </c>
    </row>
    <row r="6">
      <c r="A6" s="47" t="inlineStr">
        <is>
          <t>[INFERRED]</t>
        </is>
      </c>
      <c r="B6" s="42" t="inlineStr">
        <is>
          <t>Task Calendar Scheduling</t>
        </is>
      </c>
      <c r="C6" s="48" t="inlineStr">
        <is>
          <t>Architectural specifications define DAG flow and component interactions without explicit calendar dates.</t>
        </is>
      </c>
      <c r="D6" s="48" t="inlineStr">
        <is>
          <t>Inferred continuous dates across the fixed 34-day project window (2026-09-11 to 2026-10-14) respecting all DAG dependencies.</t>
        </is>
      </c>
      <c r="E6" s="48" t="inlineStr">
        <is>
          <t>Review inferred task sequencing; adjust individual Start/End dates if team availability shifts.</t>
        </is>
      </c>
    </row>
    <row r="7">
      <c r="A7" s="47" t="inlineStr">
        <is>
          <t>[INFERRED]</t>
        </is>
      </c>
      <c r="B7" s="41" t="inlineStr">
        <is>
          <t>Baseline Progress Protocol</t>
        </is>
      </c>
      <c r="C7" s="46" t="inlineStr">
        <is>
          <t>Blueprint indicates foundational specifications are established, but operational project requires live tracking.</t>
        </is>
      </c>
      <c r="D7" s="46" t="inlineStr">
        <is>
          <t>All tasks initialized at 0% with 'Not Started' status to allow live tracking from day one; baseline readiness documented in notes.</t>
        </is>
      </c>
      <c r="E7" s="46" t="inlineStr">
        <is>
          <t>Update Progress % in Project Tracker as implementation milestones are executed.</t>
        </is>
      </c>
    </row>
    <row r="8">
      <c r="A8" s="47" t="inlineStr">
        <is>
          <t>[INFERRED]</t>
        </is>
      </c>
      <c r="B8" s="42" t="inlineStr">
        <is>
          <t>Finish-to-Start Same-Day Handoffs</t>
        </is>
      </c>
      <c r="C8" s="48" t="inlineStr">
        <is>
          <t>Successive tasks share boundary dates (e.g., T01/T02 finish on Sept 12 while T03/T04 start on Sept 12).</t>
        </is>
      </c>
      <c r="D8" s="48" t="inlineStr">
        <is>
          <t>Treated as valid same-day handoffs where predecessor deliverables unblock successor initialization within the same working day.</t>
        </is>
      </c>
      <c r="E8" s="48" t="inlineStr">
        <is>
          <t>Confirm operational teams are prepared for intra-day handoffs at Phase transition points.</t>
        </is>
      </c>
    </row>
    <row r="9">
      <c r="A9" s="49" t="inlineStr">
        <is>
          <t>[MISSING]</t>
        </is>
      </c>
      <c r="B9" s="41" t="inlineStr">
        <is>
          <t>External Platform Credentials</t>
        </is>
      </c>
      <c r="C9" s="46" t="inlineStr">
        <is>
          <t>API keys, OAuth tokens, and staging credentials for Meta Ads, Google Ads, TikTok, and CMS production are omitted.</t>
        </is>
      </c>
      <c r="D9" s="46" t="inlineStr">
        <is>
          <t>Assumed that credentials will be injected via enterprise secret management vaults into Outbound MCP Boundary during T25.</t>
        </is>
      </c>
      <c r="E9" s="46" t="inlineStr">
        <is>
          <t>Security team must provision cryptographic secrets and audience tokens in key vaults prior to Phase 6.</t>
        </is>
      </c>
    </row>
    <row r="10">
      <c r="A10" s="49" t="inlineStr">
        <is>
          <t>[MISSING]</t>
        </is>
      </c>
      <c r="B10" s="42" t="inlineStr">
        <is>
          <t>Exact Financial Spend Caps</t>
        </is>
      </c>
      <c r="C10" s="48" t="inlineStr">
        <is>
          <t>Data flow diagrams reference spend limits and media budgets conceptually without discrete currency numbers.</t>
        </is>
      </c>
      <c r="D10" s="48" t="inlineStr">
        <is>
          <t>Structured action preview generator (T23) is designed to ingest exact budget envelopes defined by Brand Owner in T01.</t>
        </is>
      </c>
      <c r="E10" s="48" t="inlineStr">
        <is>
          <t>Brand Portfolio Owner must supply numerical budget ceilings during Task T01 kickoff.</t>
        </is>
      </c>
    </row>
    <row r="11">
      <c r="A11" s="50" t="inlineStr">
        <is>
          <t>[OUTSIDE WINDOW]</t>
        </is>
      </c>
      <c r="B11" s="41" t="inlineStr">
        <is>
          <t>Project Window Conformance</t>
        </is>
      </c>
      <c r="C11" s="46" t="inlineStr">
        <is>
          <t>Verification of all 34 tasks and 7 milestones against fixed window (2026-09-11 to 2026-10-14).</t>
        </is>
      </c>
      <c r="D11" s="46" t="inlineStr">
        <is>
          <t>Zero tasks scheduled outside the allowed project window. Earliest start is Sept 11, 2026; latest end is Oct 14, 2026.</t>
        </is>
      </c>
      <c r="E11" s="46" t="inlineStr">
        <is>
          <t>None. Schedule conforms strictly to the 34-calendar-day mandate.</t>
        </is>
      </c>
    </row>
    <row r="12">
      <c r="A12" s="50" t="inlineStr">
        <is>
          <t>[DEPENDENCY ISSUE]</t>
        </is>
      </c>
      <c r="B12" s="42" t="inlineStr">
        <is>
          <t>DAG Integrity Verification</t>
        </is>
      </c>
      <c r="C12" s="48" t="inlineStr">
        <is>
          <t>Audit of direct predecessor and successor relationships across the multi-tier engine hierarchy.</t>
        </is>
      </c>
      <c r="D12" s="48" t="inlineStr">
        <is>
          <t>Zero dependency cycles or orphan nodes exist. Authority monotonically decreases down the delegation tree.</t>
        </is>
      </c>
      <c r="E12" s="48" t="inlineStr">
        <is>
          <t>Maintain Model A broker exclusivity when modifying task dependencies.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D14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8" customWidth="1" min="2" max="2"/>
    <col width="45" customWidth="1" min="3" max="3"/>
    <col width="45" customWidth="1" min="4" max="4"/>
  </cols>
  <sheetData>
    <row r="2">
      <c r="A2" s="1" t="inlineStr">
        <is>
          <t>Governed Multi-Brand Agentic System — Standard Operating Instructions</t>
        </is>
      </c>
    </row>
    <row r="3">
      <c r="A3" s="2" t="inlineStr">
        <is>
          <t>Operational guide for editing, updating progress, maintaining dependencies, and tracking schedules</t>
        </is>
      </c>
    </row>
    <row r="4">
      <c r="A4" s="3" t="inlineStr">
        <is>
          <t>Instruction Topic</t>
        </is>
      </c>
      <c r="B4" s="3" t="inlineStr">
        <is>
          <t>Standard Operating Protocol</t>
        </is>
      </c>
      <c r="C4" s="3" t="inlineStr">
        <is>
          <t>Impact on Formulas &amp; Sheets</t>
        </is>
      </c>
      <c r="D4" s="3" t="inlineStr">
        <is>
          <t>Best Practice Guidance</t>
        </is>
      </c>
    </row>
    <row r="5">
      <c r="A5" s="41" t="inlineStr">
        <is>
          <t>1. Where to Edit Tasks</t>
        </is>
      </c>
      <c r="B5" s="46" t="inlineStr">
        <is>
          <t>Edit tasks strictly in Sheet 1 ('Project Tracker'). Columns A through F, H, I, J, K, L, M, N, and P accept user inputs.</t>
        </is>
      </c>
      <c r="C5" s="46" t="inlineStr">
        <is>
          <t>Changes automatically propagate to Sheet 2 ('Gantt'), Sheet 3 ('Dashboard'), and Sheet 4 ('Resources').</t>
        </is>
      </c>
      <c r="D5" s="46" t="inlineStr">
        <is>
          <t>Never type over calculated columns (Column G: Duration, Column O: Schedule Health).</t>
        </is>
      </c>
    </row>
    <row r="6">
      <c r="A6" s="42" t="inlineStr">
        <is>
          <t>2. How to Change Dates</t>
        </is>
      </c>
      <c r="B6" s="48" t="inlineStr">
        <is>
          <t>Enter dates in 'YYYY-MM-DD' format in Start Date (Col E) and End Date (Col F).</t>
        </is>
      </c>
      <c r="C6" s="48" t="inlineStr">
        <is>
          <t>Duration automatically recalculates via formula (=[@End]-[@Start]+1). Gantt timeline bars adjust length.</t>
        </is>
      </c>
      <c r="D6" s="48" t="inlineStr">
        <is>
          <t>Ensure Start Date &lt;= End Date. Stay within project bounds (2026-09-11 to 2026-10-14).</t>
        </is>
      </c>
    </row>
    <row r="7">
      <c r="A7" s="41" t="inlineStr">
        <is>
          <t>3. How to Update Progress %</t>
        </is>
      </c>
      <c r="B7" s="46" t="inlineStr">
        <is>
          <t>Type a percentage (e.g., 50%) or decimal (e.g., 0.50) into Progress % (Col N). Cell is validated for 0.0 to 1.0.</t>
        </is>
      </c>
      <c r="C7" s="46" t="inlineStr">
        <is>
          <t>Gantt fills the completed duration bar with dark blue blocks ('█') based on the percentage entered.</t>
        </is>
      </c>
      <c r="D7" s="46" t="inlineStr">
        <is>
          <t>When progress reaches 100%, update Status to 'Completed' to sync health indicators.</t>
        </is>
      </c>
    </row>
    <row r="8">
      <c r="A8" s="42" t="inlineStr">
        <is>
          <t>4. How to Change Status</t>
        </is>
      </c>
      <c r="B8" s="48" t="inlineStr">
        <is>
          <t>Select Status from the Data Validation dropdown in Col M (Not Started, In Progress, Completed, On Hold, Delayed).</t>
        </is>
      </c>
      <c r="C8" s="48" t="inlineStr">
        <is>
          <t>Reconciles with Schedule Health (Col O) and updates Dashboard KPI cards and status breakdown table.</t>
        </is>
      </c>
      <c r="D8" s="48" t="inlineStr">
        <is>
          <t>If a task is blocked, mark as 'On Hold' or 'Delayed' rather than artificially changing dates.</t>
        </is>
      </c>
    </row>
    <row r="9">
      <c r="A9" s="41" t="inlineStr">
        <is>
          <t>5. How to Assign Resources</t>
        </is>
      </c>
      <c r="B9" s="46" t="inlineStr">
        <is>
          <t>Select or enter the responsible entity in Col K. Use approved roster names to ensure proper resource aggregation.</t>
        </is>
      </c>
      <c r="C9" s="46" t="inlineStr">
        <is>
          <t>Updates assigned task counts, completion rates, and average progress in Sheet 4 ('Resources').</t>
        </is>
      </c>
      <c r="D9" s="46" t="inlineStr">
        <is>
          <t>For joint ownership, enter comma-separated entities (e.g., 'Intelligence Engine &amp; Brand Owner').</t>
        </is>
      </c>
    </row>
    <row r="10">
      <c r="A10" s="42" t="inlineStr">
        <is>
          <t>6. Adding or Modifying Dependencies</t>
        </is>
      </c>
      <c r="B10" s="48" t="inlineStr">
        <is>
          <t>Update Predecessor IDs in Col H (e.g., 'T01, T02') and select Dependency Type in Col I (FS, SS, FF, SF).</t>
        </is>
      </c>
      <c r="C10" s="48" t="inlineStr">
        <is>
          <t>Maintains the Directed Acyclic Graph (DAG). Does not alter dates automatically but guides schedule integrity.</t>
        </is>
      </c>
      <c r="D10" s="48" t="inlineStr">
        <is>
          <t>Successor start dates should never precede the completion date of their finish-to-start predecessors.</t>
        </is>
      </c>
    </row>
    <row r="11">
      <c r="A11" s="41" t="inlineStr">
        <is>
          <t>7. Adding a New Task Safely</t>
        </is>
      </c>
      <c r="B11" s="46" t="inlineStr">
        <is>
          <t>Right-click inside 'ProjectTrackerTable' above row 45 and select Insert &gt; Table Rows Above.</t>
        </is>
      </c>
      <c r="C11" s="46" t="inlineStr">
        <is>
          <t>Formulas in Duration and Schedule Health, as well as Data Validation rules, expand automatically.</t>
        </is>
      </c>
      <c r="D11" s="46" t="inlineStr">
        <is>
          <t>Assign a unique Task ID (e.g., T35). Update Gantt row links to maintain alignment.</t>
        </is>
      </c>
    </row>
    <row r="12">
      <c r="A12" s="42" t="inlineStr">
        <is>
          <t>8. Milestone Markers</t>
        </is>
      </c>
      <c r="B12" s="48" t="inlineStr">
        <is>
          <t>Set Milestone to 'Yes' in Col J. Set Start Date equal to End Date (e.g., 2026-09-14).</t>
        </is>
      </c>
      <c r="C12" s="48" t="inlineStr">
        <is>
          <t>Gantt renders a gold diamond symbol ('◆') instead of a duration bar; row highlights yellow.</t>
        </is>
      </c>
      <c r="D12" s="48" t="inlineStr">
        <is>
          <t>Milestones are tracked separately in Dashboard KPI cards and Milestone clearance schedules.</t>
        </is>
      </c>
    </row>
    <row r="13">
      <c r="A13" s="41" t="inlineStr">
        <is>
          <t>9. Dynamic Gantt Behavior</t>
        </is>
      </c>
      <c r="B13" s="46" t="inlineStr">
        <is>
          <t>Sheet 2 ('Gantt') is 100% formula-driven from 'Project Tracker' across 34 continuous calendar days.</t>
        </is>
      </c>
      <c r="C13" s="46" t="inlineStr">
        <is>
          <t>No manual coloring needed. Completed portions show as '█' (solid blue), remaining as '░' (light blue).</t>
        </is>
      </c>
      <c r="D13" s="46" t="inlineStr">
        <is>
          <t>Weekend days (Sat/Sun) feature dedicated shading in timeline header rows 4 and 5.</t>
        </is>
      </c>
    </row>
    <row r="14">
      <c r="A14" s="42" t="inlineStr">
        <is>
          <t>10. Dashboard Health Indicators</t>
        </is>
      </c>
      <c r="B14" s="48" t="inlineStr">
        <is>
          <t>Sheet 3 ('Dashboard') aggregates all active task data using COUNTIFS and AVERAGEIFS.</t>
        </is>
      </c>
      <c r="C14" s="48" t="inlineStr">
        <is>
          <t>Health shows 'On Track' (normal), 'Behind Schedule' (start elapsed with 0%), 'Overdue' (end elapsed), or 'Complete'.</t>
        </is>
      </c>
      <c r="D14" s="48" t="inlineStr">
        <is>
          <t>Review the 'Key Program Milestones' table on the Dashboard weekly to ensure delivery on schedule.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2026-09-10T15:50:29Z</dcterms:created>
  <dcterms:modified xmlns:dcterms="http://purl.org/dc/terms/" xmlns:xsi="http://www.w3.org/2001/XMLSchema-instance" xsi:type="dcterms:W3CDTF">2026-09-10T15:50:29Z</dcterms:modified>
</cp:coreProperties>
</file>